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"/>
    </mc:Choice>
  </mc:AlternateContent>
  <xr:revisionPtr revIDLastSave="0" documentId="13_ncr:1_{1C0B5E81-6F40-45D2-A839-4BB96CC47D0B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Форма!$G$1:$AW$91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91" i="42" l="1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3" i="39" l="1"/>
  <c r="AC3" i="39" s="1"/>
  <c r="T3" i="39"/>
  <c r="T5" i="39"/>
  <c r="T7" i="39"/>
  <c r="T9" i="39"/>
  <c r="T11" i="39"/>
  <c r="T13" i="39"/>
  <c r="S4" i="39"/>
  <c r="AE4" i="39" s="1"/>
  <c r="S6" i="39"/>
  <c r="AE6" i="39" s="1"/>
  <c r="S8" i="39"/>
  <c r="AE8" i="39" s="1"/>
  <c r="S10" i="39"/>
  <c r="S12" i="39"/>
  <c r="S14" i="39"/>
  <c r="S16" i="39"/>
  <c r="S18" i="39"/>
  <c r="S20" i="39"/>
  <c r="S22" i="39"/>
  <c r="S24" i="39"/>
  <c r="T4" i="39"/>
  <c r="T6" i="39"/>
  <c r="T8" i="39"/>
  <c r="T10" i="39"/>
  <c r="T12" i="39"/>
  <c r="T14" i="39"/>
  <c r="T16" i="39"/>
  <c r="T18" i="39"/>
  <c r="T20" i="39"/>
  <c r="T22" i="39"/>
  <c r="T24" i="39"/>
  <c r="T26" i="39"/>
  <c r="T28" i="39"/>
  <c r="T30" i="39"/>
  <c r="T23" i="39"/>
  <c r="S26" i="39"/>
  <c r="S5" i="39"/>
  <c r="AE5" i="39" s="1"/>
  <c r="S13" i="39"/>
  <c r="T34" i="39"/>
  <c r="S35" i="39"/>
  <c r="S19" i="39"/>
  <c r="T35" i="39"/>
  <c r="S38" i="39"/>
  <c r="S40" i="39"/>
  <c r="S42" i="39"/>
  <c r="S44" i="39"/>
  <c r="S46" i="39"/>
  <c r="S48" i="39"/>
  <c r="S50" i="39"/>
  <c r="S52" i="39"/>
  <c r="S7" i="39"/>
  <c r="AE7" i="39" s="1"/>
  <c r="S17" i="39"/>
  <c r="T19" i="39"/>
  <c r="S21" i="39"/>
  <c r="S25" i="39"/>
  <c r="S31" i="39"/>
  <c r="S36" i="39"/>
  <c r="T38" i="39"/>
  <c r="T40" i="39"/>
  <c r="T42" i="39"/>
  <c r="T44" i="39"/>
  <c r="T46" i="39"/>
  <c r="T48" i="39"/>
  <c r="S15" i="39"/>
  <c r="T17" i="39"/>
  <c r="T21" i="39"/>
  <c r="T25" i="39"/>
  <c r="S29" i="39"/>
  <c r="S30" i="39"/>
  <c r="T31" i="39"/>
  <c r="T36" i="39"/>
  <c r="S9" i="39"/>
  <c r="AE9" i="39" s="1"/>
  <c r="T15" i="39"/>
  <c r="S27" i="39"/>
  <c r="S28" i="39"/>
  <c r="T32" i="39"/>
  <c r="S33" i="39"/>
  <c r="S37" i="39"/>
  <c r="S39" i="39"/>
  <c r="S41" i="39"/>
  <c r="S43" i="39"/>
  <c r="S45" i="39"/>
  <c r="S47" i="39"/>
  <c r="S49" i="39"/>
  <c r="T33" i="39"/>
  <c r="T43" i="39"/>
  <c r="T55" i="39"/>
  <c r="T57" i="39"/>
  <c r="T59" i="39"/>
  <c r="T61" i="39"/>
  <c r="T63" i="39"/>
  <c r="T65" i="39"/>
  <c r="T67" i="39"/>
  <c r="T69" i="39"/>
  <c r="T71" i="39"/>
  <c r="T73" i="39"/>
  <c r="T75" i="39"/>
  <c r="T27" i="39"/>
  <c r="T52" i="39"/>
  <c r="T53" i="39"/>
  <c r="T54" i="39"/>
  <c r="T56" i="39"/>
  <c r="T58" i="39"/>
  <c r="T60" i="39"/>
  <c r="T62" i="39"/>
  <c r="T64" i="39"/>
  <c r="T66" i="39"/>
  <c r="T68" i="39"/>
  <c r="T70" i="39"/>
  <c r="S23" i="39"/>
  <c r="T49" i="39"/>
  <c r="S51" i="39"/>
  <c r="S32" i="39"/>
  <c r="T41" i="39"/>
  <c r="S53" i="39"/>
  <c r="S59" i="39"/>
  <c r="S66" i="39"/>
  <c r="T77" i="39"/>
  <c r="T79" i="39"/>
  <c r="T81" i="39"/>
  <c r="T83" i="39"/>
  <c r="S11" i="39"/>
  <c r="AE11" i="39" s="1"/>
  <c r="T45" i="39"/>
  <c r="T50" i="39"/>
  <c r="S56" i="39"/>
  <c r="S65" i="39"/>
  <c r="S75" i="39"/>
  <c r="S76" i="39"/>
  <c r="S78" i="39"/>
  <c r="S80" i="39"/>
  <c r="S82" i="39"/>
  <c r="S84" i="39"/>
  <c r="S86" i="39"/>
  <c r="T47" i="39"/>
  <c r="S58" i="39"/>
  <c r="S67" i="39"/>
  <c r="S74" i="39"/>
  <c r="T76" i="39"/>
  <c r="T78" i="39"/>
  <c r="T80" i="39"/>
  <c r="T82" i="39"/>
  <c r="T84" i="39"/>
  <c r="T29" i="39"/>
  <c r="T51" i="39"/>
  <c r="S60" i="39"/>
  <c r="S69" i="39"/>
  <c r="S73" i="39"/>
  <c r="T74" i="39"/>
  <c r="T37" i="39"/>
  <c r="S55" i="39"/>
  <c r="S62" i="39"/>
  <c r="S72" i="39"/>
  <c r="S34" i="39"/>
  <c r="T39" i="39"/>
  <c r="S57" i="39"/>
  <c r="T72" i="39"/>
  <c r="S88" i="39"/>
  <c r="S90" i="39"/>
  <c r="S71" i="39"/>
  <c r="S54" i="39"/>
  <c r="S61" i="39"/>
  <c r="S83" i="39"/>
  <c r="S85" i="39"/>
  <c r="T86" i="39"/>
  <c r="T90" i="39"/>
  <c r="S70" i="39"/>
  <c r="S68" i="39"/>
  <c r="S77" i="39"/>
  <c r="S89" i="39"/>
  <c r="S79" i="39"/>
  <c r="S87" i="39"/>
  <c r="T89" i="39"/>
  <c r="S91" i="39"/>
  <c r="S63" i="39"/>
  <c r="S81" i="39"/>
  <c r="T87" i="39"/>
  <c r="T91" i="39"/>
  <c r="T85" i="39"/>
  <c r="T88" i="39"/>
  <c r="S64" i="39"/>
  <c r="S2" i="39"/>
  <c r="AE2" i="39" s="1"/>
  <c r="AE10" i="39"/>
  <c r="A25" i="43"/>
  <c r="A10" i="39"/>
  <c r="A18" i="39"/>
  <c r="A26" i="39"/>
  <c r="A34" i="39"/>
  <c r="A42" i="39"/>
  <c r="A50" i="39"/>
  <c r="A58" i="39"/>
  <c r="A66" i="39"/>
  <c r="A74" i="39"/>
  <c r="A82" i="39"/>
  <c r="A90" i="39"/>
  <c r="A2" i="39"/>
  <c r="P2" i="39" s="1"/>
  <c r="A31" i="39"/>
  <c r="A8" i="39"/>
  <c r="A72" i="39"/>
  <c r="A9" i="39"/>
  <c r="A81" i="39"/>
  <c r="A3" i="39"/>
  <c r="A11" i="39"/>
  <c r="A19" i="39"/>
  <c r="A27" i="39"/>
  <c r="A35" i="39"/>
  <c r="A43" i="39"/>
  <c r="A51" i="39"/>
  <c r="A59" i="39"/>
  <c r="A67" i="39"/>
  <c r="A75" i="39"/>
  <c r="A83" i="39"/>
  <c r="A91" i="39"/>
  <c r="A39" i="39"/>
  <c r="A32" i="39"/>
  <c r="A41" i="39"/>
  <c r="A4" i="39"/>
  <c r="A12" i="39"/>
  <c r="A20" i="39"/>
  <c r="A28" i="39"/>
  <c r="A36" i="39"/>
  <c r="A44" i="39"/>
  <c r="A52" i="39"/>
  <c r="A60" i="39"/>
  <c r="A68" i="39"/>
  <c r="A76" i="39"/>
  <c r="A84" i="39"/>
  <c r="A47" i="39"/>
  <c r="A24" i="39"/>
  <c r="A64" i="39"/>
  <c r="A88" i="39"/>
  <c r="A33" i="39"/>
  <c r="A65" i="39"/>
  <c r="A5" i="39"/>
  <c r="A13" i="39"/>
  <c r="A21" i="39"/>
  <c r="A29" i="39"/>
  <c r="A37" i="39"/>
  <c r="A45" i="39"/>
  <c r="A53" i="39"/>
  <c r="A61" i="39"/>
  <c r="A69" i="39"/>
  <c r="A77" i="39"/>
  <c r="A85" i="39"/>
  <c r="A15" i="39"/>
  <c r="A16" i="39"/>
  <c r="A56" i="39"/>
  <c r="A80" i="39"/>
  <c r="A17" i="39"/>
  <c r="A73" i="39"/>
  <c r="A6" i="39"/>
  <c r="A14" i="39"/>
  <c r="A22" i="39"/>
  <c r="A30" i="39"/>
  <c r="A38" i="39"/>
  <c r="A46" i="39"/>
  <c r="A54" i="39"/>
  <c r="A62" i="39"/>
  <c r="A70" i="39"/>
  <c r="A78" i="39"/>
  <c r="A86" i="39"/>
  <c r="A7" i="39"/>
  <c r="A55" i="39"/>
  <c r="A63" i="39"/>
  <c r="A71" i="39"/>
  <c r="A79" i="39"/>
  <c r="A87" i="39"/>
  <c r="A40" i="39"/>
  <c r="A49" i="39"/>
  <c r="A23" i="39"/>
  <c r="A48" i="39"/>
  <c r="A25" i="39"/>
  <c r="A57" i="39"/>
  <c r="A89" i="39"/>
  <c r="T2" i="39"/>
  <c r="A17" i="43"/>
  <c r="P77" i="39" l="1"/>
  <c r="P20" i="39"/>
  <c r="P26" i="39"/>
  <c r="P79" i="39"/>
  <c r="P62" i="39"/>
  <c r="P73" i="39"/>
  <c r="P69" i="39"/>
  <c r="P5" i="39"/>
  <c r="P76" i="39"/>
  <c r="P12" i="39"/>
  <c r="P67" i="39"/>
  <c r="P82" i="39"/>
  <c r="P18" i="39"/>
  <c r="P87" i="39"/>
  <c r="P75" i="39"/>
  <c r="P57" i="39"/>
  <c r="P65" i="39"/>
  <c r="P25" i="39"/>
  <c r="P63" i="39"/>
  <c r="P46" i="39"/>
  <c r="P80" i="39"/>
  <c r="P53" i="39"/>
  <c r="P33" i="39"/>
  <c r="P60" i="39"/>
  <c r="P41" i="39"/>
  <c r="P51" i="39"/>
  <c r="P9" i="39"/>
  <c r="P66" i="39"/>
  <c r="P54" i="39"/>
  <c r="P61" i="39"/>
  <c r="P4" i="39"/>
  <c r="P74" i="39"/>
  <c r="P48" i="39"/>
  <c r="P55" i="39"/>
  <c r="P38" i="39"/>
  <c r="P56" i="39"/>
  <c r="P45" i="39"/>
  <c r="P88" i="39"/>
  <c r="P52" i="39"/>
  <c r="P32" i="39"/>
  <c r="P43" i="39"/>
  <c r="P72" i="39"/>
  <c r="P58" i="39"/>
  <c r="P70" i="39"/>
  <c r="P84" i="39"/>
  <c r="P90" i="39"/>
  <c r="P71" i="39"/>
  <c r="P17" i="39"/>
  <c r="P68" i="39"/>
  <c r="P59" i="39"/>
  <c r="P10" i="39"/>
  <c r="P23" i="39"/>
  <c r="P7" i="39"/>
  <c r="P30" i="39"/>
  <c r="P16" i="39"/>
  <c r="P37" i="39"/>
  <c r="P64" i="39"/>
  <c r="P44" i="39"/>
  <c r="P39" i="39"/>
  <c r="P35" i="39"/>
  <c r="P8" i="39"/>
  <c r="P50" i="39"/>
  <c r="P6" i="39"/>
  <c r="P49" i="39"/>
  <c r="P22" i="39"/>
  <c r="P29" i="39"/>
  <c r="P91" i="39"/>
  <c r="P42" i="39"/>
  <c r="P13" i="39"/>
  <c r="P11" i="39"/>
  <c r="P86" i="39"/>
  <c r="P15" i="39"/>
  <c r="P24" i="39"/>
  <c r="P36" i="39"/>
  <c r="P27" i="39"/>
  <c r="P31" i="39"/>
  <c r="P40" i="39"/>
  <c r="P78" i="39"/>
  <c r="P14" i="39"/>
  <c r="P85" i="39"/>
  <c r="P21" i="39"/>
  <c r="P47" i="39"/>
  <c r="P28" i="39"/>
  <c r="P83" i="39"/>
  <c r="P19" i="39"/>
  <c r="P34" i="39"/>
  <c r="Q2" i="39"/>
  <c r="AU69" i="39"/>
  <c r="P3" i="39"/>
  <c r="AE3" i="39"/>
  <c r="AU81" i="39"/>
  <c r="P81" i="39"/>
  <c r="AU89" i="39"/>
  <c r="P89" i="39"/>
  <c r="AU87" i="39"/>
  <c r="AU80" i="39"/>
  <c r="AU68" i="39"/>
  <c r="AU91" i="39"/>
  <c r="AU74" i="39"/>
  <c r="AU64" i="39"/>
  <c r="AU76" i="39"/>
  <c r="AU72" i="39"/>
  <c r="AU82" i="39"/>
  <c r="AU79" i="39"/>
  <c r="AU86" i="39"/>
  <c r="AU60" i="39"/>
  <c r="AU66" i="39"/>
  <c r="AU71" i="39"/>
  <c r="AU52" i="39"/>
  <c r="AU75" i="39"/>
  <c r="B2" i="39"/>
  <c r="AU63" i="39"/>
  <c r="AU70" i="39"/>
  <c r="AU61" i="39"/>
  <c r="AU67" i="39"/>
  <c r="AU53" i="39"/>
  <c r="AU65" i="39"/>
  <c r="AU59" i="39"/>
  <c r="AU56" i="39"/>
  <c r="AU77" i="39"/>
  <c r="AU54" i="39"/>
  <c r="AU73" i="39"/>
  <c r="AU57" i="39"/>
  <c r="AU84" i="39"/>
  <c r="AU90" i="39"/>
  <c r="AC2" i="39"/>
  <c r="I40" i="39"/>
  <c r="B40" i="39"/>
  <c r="J40" i="39"/>
  <c r="C40" i="39"/>
  <c r="AB40" i="39" s="1"/>
  <c r="K40" i="39"/>
  <c r="D40" i="39"/>
  <c r="L40" i="39"/>
  <c r="AQ40" i="39" s="1"/>
  <c r="F40" i="39"/>
  <c r="N40" i="39"/>
  <c r="O40" i="39"/>
  <c r="E40" i="39"/>
  <c r="G40" i="39"/>
  <c r="R40" i="39" s="1"/>
  <c r="Q40" i="39"/>
  <c r="M40" i="39"/>
  <c r="H40" i="39"/>
  <c r="F87" i="39"/>
  <c r="AM87" i="39" s="1"/>
  <c r="N87" i="39"/>
  <c r="B87" i="39"/>
  <c r="K87" i="39"/>
  <c r="AK87" i="39" s="1"/>
  <c r="D87" i="39"/>
  <c r="AJ87" i="39" s="1"/>
  <c r="M87" i="39"/>
  <c r="AS87" i="39" s="1"/>
  <c r="E87" i="39"/>
  <c r="O87" i="39"/>
  <c r="L87" i="39"/>
  <c r="AQ87" i="39" s="1"/>
  <c r="Q87" i="39"/>
  <c r="C87" i="39"/>
  <c r="G87" i="39"/>
  <c r="R87" i="39" s="1"/>
  <c r="H87" i="39"/>
  <c r="I87" i="39"/>
  <c r="Z87" i="39" s="1"/>
  <c r="J87" i="39"/>
  <c r="AN87" i="39" s="1"/>
  <c r="G62" i="39"/>
  <c r="R62" i="39" s="1"/>
  <c r="O62" i="39"/>
  <c r="C62" i="39"/>
  <c r="K62" i="39"/>
  <c r="AK62" i="39" s="1"/>
  <c r="D62" i="39"/>
  <c r="AJ62" i="39" s="1"/>
  <c r="L62" i="39"/>
  <c r="AQ62" i="39" s="1"/>
  <c r="I62" i="39"/>
  <c r="AO62" i="39" s="1"/>
  <c r="N62" i="39"/>
  <c r="B62" i="39"/>
  <c r="Q62" i="39"/>
  <c r="E62" i="39"/>
  <c r="F62" i="39"/>
  <c r="AM62" i="39" s="1"/>
  <c r="J62" i="39"/>
  <c r="AN62" i="39" s="1"/>
  <c r="M62" i="39"/>
  <c r="AS62" i="39" s="1"/>
  <c r="H62" i="39"/>
  <c r="D17" i="39"/>
  <c r="L17" i="39"/>
  <c r="AQ17" i="39" s="1"/>
  <c r="E17" i="39"/>
  <c r="M17" i="39"/>
  <c r="F17" i="39"/>
  <c r="N17" i="39"/>
  <c r="G17" i="39"/>
  <c r="R17" i="39" s="1"/>
  <c r="O17" i="39"/>
  <c r="H17" i="39"/>
  <c r="Q17" i="39"/>
  <c r="J17" i="39"/>
  <c r="K17" i="39"/>
  <c r="B17" i="39"/>
  <c r="C17" i="39"/>
  <c r="AB17" i="39" s="1"/>
  <c r="I17" i="39"/>
  <c r="Z17" i="39" s="1"/>
  <c r="E53" i="39"/>
  <c r="M53" i="39"/>
  <c r="AS53" i="39" s="1"/>
  <c r="F53" i="39"/>
  <c r="AM53" i="39" s="1"/>
  <c r="N53" i="39"/>
  <c r="C53" i="39"/>
  <c r="O53" i="39"/>
  <c r="I53" i="39"/>
  <c r="Z53" i="39" s="1"/>
  <c r="J53" i="39"/>
  <c r="AN53" i="39" s="1"/>
  <c r="B53" i="39"/>
  <c r="H53" i="39"/>
  <c r="K53" i="39"/>
  <c r="AK53" i="39" s="1"/>
  <c r="L53" i="39"/>
  <c r="AQ53" i="39" s="1"/>
  <c r="Q53" i="39"/>
  <c r="D53" i="39"/>
  <c r="AJ53" i="39" s="1"/>
  <c r="G53" i="39"/>
  <c r="R53" i="39" s="1"/>
  <c r="C65" i="39"/>
  <c r="K65" i="39"/>
  <c r="AK65" i="39" s="1"/>
  <c r="G65" i="39"/>
  <c r="R65" i="39" s="1"/>
  <c r="O65" i="39"/>
  <c r="H65" i="39"/>
  <c r="Q65" i="39"/>
  <c r="M65" i="39"/>
  <c r="AS65" i="39" s="1"/>
  <c r="E65" i="39"/>
  <c r="F65" i="39"/>
  <c r="AM65" i="39" s="1"/>
  <c r="I65" i="39"/>
  <c r="AO65" i="39" s="1"/>
  <c r="J65" i="39"/>
  <c r="AN65" i="39" s="1"/>
  <c r="B65" i="39"/>
  <c r="D65" i="39"/>
  <c r="AJ65" i="39" s="1"/>
  <c r="L65" i="39"/>
  <c r="AQ65" i="39" s="1"/>
  <c r="N65" i="39"/>
  <c r="G76" i="39"/>
  <c r="R76" i="39" s="1"/>
  <c r="D76" i="39"/>
  <c r="AJ76" i="39" s="1"/>
  <c r="L76" i="39"/>
  <c r="AQ76" i="39" s="1"/>
  <c r="E76" i="39"/>
  <c r="O76" i="39"/>
  <c r="I76" i="39"/>
  <c r="J76" i="39"/>
  <c r="AN76" i="39" s="1"/>
  <c r="K76" i="39"/>
  <c r="AK76" i="39" s="1"/>
  <c r="B76" i="39"/>
  <c r="M76" i="39"/>
  <c r="AS76" i="39" s="1"/>
  <c r="C76" i="39"/>
  <c r="F76" i="39"/>
  <c r="AM76" i="39" s="1"/>
  <c r="H76" i="39"/>
  <c r="N76" i="39"/>
  <c r="Q76" i="39"/>
  <c r="G12" i="39"/>
  <c r="R12" i="39" s="1"/>
  <c r="O12" i="39"/>
  <c r="H12" i="39"/>
  <c r="Q12" i="39"/>
  <c r="I12" i="39"/>
  <c r="Z12" i="39" s="1"/>
  <c r="B12" i="39"/>
  <c r="J12" i="39"/>
  <c r="C12" i="39"/>
  <c r="AB12" i="39" s="1"/>
  <c r="K12" i="39"/>
  <c r="D12" i="39"/>
  <c r="L12" i="39"/>
  <c r="AQ12" i="39" s="1"/>
  <c r="E12" i="39"/>
  <c r="F12" i="39"/>
  <c r="M12" i="39"/>
  <c r="N12" i="39"/>
  <c r="E51" i="39"/>
  <c r="M51" i="39"/>
  <c r="F51" i="39"/>
  <c r="N51" i="39"/>
  <c r="K51" i="39"/>
  <c r="G51" i="39"/>
  <c r="R51" i="39" s="1"/>
  <c r="H51" i="39"/>
  <c r="I51" i="39"/>
  <c r="Z51" i="39" s="1"/>
  <c r="O51" i="39"/>
  <c r="Q51" i="39"/>
  <c r="B51" i="39"/>
  <c r="C51" i="39"/>
  <c r="AB51" i="39" s="1"/>
  <c r="D51" i="39"/>
  <c r="J51" i="39"/>
  <c r="L51" i="39"/>
  <c r="AQ51" i="39" s="1"/>
  <c r="G31" i="39"/>
  <c r="R31" i="39" s="1"/>
  <c r="H31" i="39"/>
  <c r="Q31" i="39"/>
  <c r="E31" i="39"/>
  <c r="O31" i="39"/>
  <c r="F31" i="39"/>
  <c r="I31" i="39"/>
  <c r="Z31" i="39" s="1"/>
  <c r="J31" i="39"/>
  <c r="B31" i="39"/>
  <c r="L31" i="39"/>
  <c r="AQ31" i="39" s="1"/>
  <c r="K31" i="39"/>
  <c r="M31" i="39"/>
  <c r="N31" i="39"/>
  <c r="C31" i="39"/>
  <c r="AB31" i="39" s="1"/>
  <c r="D31" i="39"/>
  <c r="B90" i="39"/>
  <c r="J90" i="39"/>
  <c r="AN90" i="39" s="1"/>
  <c r="D90" i="39"/>
  <c r="AJ90" i="39" s="1"/>
  <c r="L90" i="39"/>
  <c r="AQ90" i="39" s="1"/>
  <c r="E90" i="39"/>
  <c r="M90" i="39"/>
  <c r="AS90" i="39" s="1"/>
  <c r="G90" i="39"/>
  <c r="R90" i="39" s="1"/>
  <c r="H90" i="39"/>
  <c r="I90" i="39"/>
  <c r="AO90" i="39" s="1"/>
  <c r="K90" i="39"/>
  <c r="AK90" i="39" s="1"/>
  <c r="N90" i="39"/>
  <c r="O90" i="39"/>
  <c r="C90" i="39"/>
  <c r="Q90" i="39"/>
  <c r="F90" i="39"/>
  <c r="AM90" i="39" s="1"/>
  <c r="I26" i="39"/>
  <c r="Z26" i="39" s="1"/>
  <c r="B26" i="39"/>
  <c r="C26" i="39"/>
  <c r="AB26" i="39" s="1"/>
  <c r="K26" i="39"/>
  <c r="D26" i="39"/>
  <c r="L26" i="39"/>
  <c r="AQ26" i="39" s="1"/>
  <c r="G26" i="39"/>
  <c r="R26" i="39" s="1"/>
  <c r="H26" i="39"/>
  <c r="J26" i="39"/>
  <c r="M26" i="39"/>
  <c r="N26" i="39"/>
  <c r="O26" i="39"/>
  <c r="E26" i="39"/>
  <c r="Q26" i="39"/>
  <c r="F26" i="39"/>
  <c r="E49" i="39"/>
  <c r="M49" i="39"/>
  <c r="F49" i="39"/>
  <c r="N49" i="39"/>
  <c r="G49" i="39"/>
  <c r="R49" i="39" s="1"/>
  <c r="O49" i="39"/>
  <c r="H49" i="39"/>
  <c r="Q49" i="39"/>
  <c r="B49" i="39"/>
  <c r="J49" i="39"/>
  <c r="D49" i="39"/>
  <c r="I49" i="39"/>
  <c r="AO49" i="39" s="1"/>
  <c r="K49" i="39"/>
  <c r="L49" i="39"/>
  <c r="AQ49" i="39" s="1"/>
  <c r="C49" i="39"/>
  <c r="AB49" i="39" s="1"/>
  <c r="C79" i="39"/>
  <c r="K79" i="39"/>
  <c r="AK79" i="39" s="1"/>
  <c r="F79" i="39"/>
  <c r="AM79" i="39" s="1"/>
  <c r="N79" i="39"/>
  <c r="G79" i="39"/>
  <c r="R79" i="39" s="1"/>
  <c r="O79" i="39"/>
  <c r="H79" i="39"/>
  <c r="Q79" i="39"/>
  <c r="I79" i="39"/>
  <c r="D79" i="39"/>
  <c r="AJ79" i="39" s="1"/>
  <c r="J79" i="39"/>
  <c r="AN79" i="39" s="1"/>
  <c r="L79" i="39"/>
  <c r="AQ79" i="39" s="1"/>
  <c r="B79" i="39"/>
  <c r="E79" i="39"/>
  <c r="M79" i="39"/>
  <c r="AS79" i="39" s="1"/>
  <c r="I54" i="39"/>
  <c r="AO54" i="39" s="1"/>
  <c r="B54" i="39"/>
  <c r="J54" i="39"/>
  <c r="AN54" i="39" s="1"/>
  <c r="E54" i="39"/>
  <c r="O54" i="39"/>
  <c r="K54" i="39"/>
  <c r="AK54" i="39" s="1"/>
  <c r="L54" i="39"/>
  <c r="AQ54" i="39" s="1"/>
  <c r="Q54" i="39"/>
  <c r="F54" i="39"/>
  <c r="AM54" i="39" s="1"/>
  <c r="G54" i="39"/>
  <c r="R54" i="39" s="1"/>
  <c r="H54" i="39"/>
  <c r="M54" i="39"/>
  <c r="AS54" i="39" s="1"/>
  <c r="D54" i="39"/>
  <c r="AJ54" i="39" s="1"/>
  <c r="C54" i="39"/>
  <c r="N54" i="39"/>
  <c r="G80" i="39"/>
  <c r="R80" i="39" s="1"/>
  <c r="O80" i="39"/>
  <c r="B80" i="39"/>
  <c r="J80" i="39"/>
  <c r="AN80" i="39" s="1"/>
  <c r="C80" i="39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I80" i="39"/>
  <c r="Z80" i="39" s="1"/>
  <c r="N80" i="39"/>
  <c r="H80" i="39"/>
  <c r="Q80" i="39"/>
  <c r="E45" i="39"/>
  <c r="M45" i="39"/>
  <c r="F45" i="39"/>
  <c r="N45" i="39"/>
  <c r="G45" i="39"/>
  <c r="R45" i="39" s="1"/>
  <c r="O45" i="39"/>
  <c r="H45" i="39"/>
  <c r="Q45" i="39"/>
  <c r="B45" i="39"/>
  <c r="J45" i="39"/>
  <c r="K45" i="39"/>
  <c r="L45" i="39"/>
  <c r="AQ45" i="39" s="1"/>
  <c r="D45" i="39"/>
  <c r="I45" i="39"/>
  <c r="C45" i="39"/>
  <c r="AB45" i="39" s="1"/>
  <c r="H33" i="39"/>
  <c r="Q33" i="39"/>
  <c r="C33" i="39"/>
  <c r="AB33" i="39" s="1"/>
  <c r="L33" i="39"/>
  <c r="AQ33" i="39" s="1"/>
  <c r="D33" i="39"/>
  <c r="M33" i="39"/>
  <c r="E33" i="39"/>
  <c r="N33" i="39"/>
  <c r="F33" i="39"/>
  <c r="O33" i="39"/>
  <c r="I33" i="39"/>
  <c r="G33" i="39"/>
  <c r="R33" i="39" s="1"/>
  <c r="J33" i="39"/>
  <c r="K33" i="39"/>
  <c r="B33" i="39"/>
  <c r="B88" i="39"/>
  <c r="J88" i="39"/>
  <c r="AN88" i="39" s="1"/>
  <c r="I88" i="39"/>
  <c r="C88" i="39"/>
  <c r="L88" i="39"/>
  <c r="AQ88" i="39" s="1"/>
  <c r="D88" i="39"/>
  <c r="AJ88" i="39" s="1"/>
  <c r="M88" i="39"/>
  <c r="AS88" i="39" s="1"/>
  <c r="G88" i="39"/>
  <c r="R88" i="39" s="1"/>
  <c r="H88" i="39"/>
  <c r="K88" i="39"/>
  <c r="AK88" i="39" s="1"/>
  <c r="N88" i="39"/>
  <c r="O88" i="39"/>
  <c r="Q88" i="39"/>
  <c r="E88" i="39"/>
  <c r="F88" i="39"/>
  <c r="AM88" i="39" s="1"/>
  <c r="G68" i="39"/>
  <c r="R68" i="39" s="1"/>
  <c r="O68" i="39"/>
  <c r="C68" i="39"/>
  <c r="K68" i="39"/>
  <c r="AK68" i="39" s="1"/>
  <c r="D68" i="39"/>
  <c r="AJ68" i="39" s="1"/>
  <c r="L68" i="39"/>
  <c r="AQ68" i="39" s="1"/>
  <c r="E68" i="39"/>
  <c r="I68" i="39"/>
  <c r="Z68" i="39" s="1"/>
  <c r="J68" i="39"/>
  <c r="AN68" i="39" s="1"/>
  <c r="M68" i="39"/>
  <c r="AS68" i="39" s="1"/>
  <c r="N68" i="39"/>
  <c r="B68" i="39"/>
  <c r="H68" i="39"/>
  <c r="Q68" i="39"/>
  <c r="F68" i="39"/>
  <c r="AM68" i="39" s="1"/>
  <c r="F4" i="39"/>
  <c r="N4" i="39"/>
  <c r="G4" i="39"/>
  <c r="R4" i="39" s="1"/>
  <c r="O4" i="39"/>
  <c r="H4" i="39"/>
  <c r="Q4" i="39"/>
  <c r="I4" i="39"/>
  <c r="Z4" i="39" s="1"/>
  <c r="B4" i="39"/>
  <c r="J4" i="39"/>
  <c r="C4" i="39"/>
  <c r="AB4" i="39" s="1"/>
  <c r="K4" i="39"/>
  <c r="D4" i="39"/>
  <c r="L4" i="39"/>
  <c r="AQ4" i="39" s="1"/>
  <c r="E4" i="39"/>
  <c r="M4" i="39"/>
  <c r="E43" i="39"/>
  <c r="M43" i="39"/>
  <c r="F43" i="39"/>
  <c r="N43" i="39"/>
  <c r="G43" i="39"/>
  <c r="R43" i="39" s="1"/>
  <c r="O43" i="39"/>
  <c r="H43" i="39"/>
  <c r="Q43" i="39"/>
  <c r="B43" i="39"/>
  <c r="J43" i="39"/>
  <c r="I43" i="39"/>
  <c r="K43" i="39"/>
  <c r="L43" i="39"/>
  <c r="AQ43" i="39" s="1"/>
  <c r="C43" i="39"/>
  <c r="AB43" i="39" s="1"/>
  <c r="D43" i="39"/>
  <c r="J2" i="39"/>
  <c r="N2" i="39"/>
  <c r="K2" i="39"/>
  <c r="I2" i="39"/>
  <c r="Z2" i="39" s="1"/>
  <c r="H2" i="39"/>
  <c r="G2" i="39"/>
  <c r="F2" i="39"/>
  <c r="E2" i="39"/>
  <c r="O2" i="39"/>
  <c r="M2" i="39"/>
  <c r="D2" i="39"/>
  <c r="L2" i="39"/>
  <c r="AQ2" i="39" s="1"/>
  <c r="C2" i="39"/>
  <c r="AB2" i="39" s="1"/>
  <c r="G82" i="39"/>
  <c r="R82" i="39" s="1"/>
  <c r="O82" i="39"/>
  <c r="B82" i="39"/>
  <c r="J82" i="39"/>
  <c r="AN82" i="39" s="1"/>
  <c r="C82" i="39"/>
  <c r="AB82" i="39" s="1"/>
  <c r="K82" i="39"/>
  <c r="AK82" i="39" s="1"/>
  <c r="D82" i="39"/>
  <c r="AJ82" i="39" s="1"/>
  <c r="L82" i="39"/>
  <c r="AQ82" i="39" s="1"/>
  <c r="E82" i="39"/>
  <c r="M82" i="39"/>
  <c r="AS82" i="39" s="1"/>
  <c r="H82" i="39"/>
  <c r="N82" i="39"/>
  <c r="Q82" i="39"/>
  <c r="I82" i="39"/>
  <c r="F82" i="39"/>
  <c r="AM82" i="39" s="1"/>
  <c r="H18" i="39"/>
  <c r="Q18" i="39"/>
  <c r="I18" i="39"/>
  <c r="Z18" i="39" s="1"/>
  <c r="B18" i="39"/>
  <c r="J18" i="39"/>
  <c r="C18" i="39"/>
  <c r="AB18" i="39" s="1"/>
  <c r="K18" i="39"/>
  <c r="D18" i="39"/>
  <c r="L18" i="39"/>
  <c r="AQ18" i="39" s="1"/>
  <c r="M18" i="39"/>
  <c r="N18" i="39"/>
  <c r="O18" i="39"/>
  <c r="E18" i="39"/>
  <c r="F18" i="39"/>
  <c r="G18" i="39"/>
  <c r="R18" i="39" s="1"/>
  <c r="AU88" i="39"/>
  <c r="AU62" i="39"/>
  <c r="F89" i="39"/>
  <c r="AM89" i="39" s="1"/>
  <c r="N89" i="39"/>
  <c r="H89" i="39"/>
  <c r="Q89" i="39"/>
  <c r="I89" i="39"/>
  <c r="Z89" i="39" s="1"/>
  <c r="B89" i="39"/>
  <c r="M89" i="39"/>
  <c r="AS89" i="39" s="1"/>
  <c r="C89" i="39"/>
  <c r="O89" i="39"/>
  <c r="D89" i="39"/>
  <c r="AJ89" i="39" s="1"/>
  <c r="E89" i="39"/>
  <c r="G89" i="39"/>
  <c r="R89" i="39" s="1"/>
  <c r="J89" i="39"/>
  <c r="AN89" i="39" s="1"/>
  <c r="K89" i="39"/>
  <c r="AK89" i="39" s="1"/>
  <c r="L89" i="39"/>
  <c r="AQ89" i="39" s="1"/>
  <c r="I48" i="39"/>
  <c r="B48" i="39"/>
  <c r="J48" i="39"/>
  <c r="C48" i="39"/>
  <c r="AB48" i="39" s="1"/>
  <c r="K48" i="39"/>
  <c r="D48" i="39"/>
  <c r="L48" i="39"/>
  <c r="AQ48" i="39" s="1"/>
  <c r="F48" i="39"/>
  <c r="N48" i="39"/>
  <c r="E48" i="39"/>
  <c r="O48" i="39"/>
  <c r="Q48" i="39"/>
  <c r="M48" i="39"/>
  <c r="G48" i="39"/>
  <c r="R48" i="39" s="1"/>
  <c r="H48" i="39"/>
  <c r="C71" i="39"/>
  <c r="K71" i="39"/>
  <c r="AK71" i="39" s="1"/>
  <c r="G71" i="39"/>
  <c r="R71" i="39" s="1"/>
  <c r="H71" i="39"/>
  <c r="Q71" i="39"/>
  <c r="I71" i="39"/>
  <c r="M71" i="39"/>
  <c r="AS71" i="39" s="1"/>
  <c r="B71" i="39"/>
  <c r="N71" i="39"/>
  <c r="D71" i="39"/>
  <c r="AJ71" i="39" s="1"/>
  <c r="O71" i="39"/>
  <c r="E71" i="39"/>
  <c r="J71" i="39"/>
  <c r="AN71" i="39" s="1"/>
  <c r="F71" i="39"/>
  <c r="AM71" i="39" s="1"/>
  <c r="L71" i="39"/>
  <c r="AQ71" i="39" s="1"/>
  <c r="I46" i="39"/>
  <c r="B46" i="39"/>
  <c r="J46" i="39"/>
  <c r="C46" i="39"/>
  <c r="AB46" i="39" s="1"/>
  <c r="K46" i="39"/>
  <c r="D46" i="39"/>
  <c r="L46" i="39"/>
  <c r="AQ46" i="39" s="1"/>
  <c r="F46" i="39"/>
  <c r="N46" i="39"/>
  <c r="M46" i="39"/>
  <c r="O46" i="39"/>
  <c r="E46" i="39"/>
  <c r="G46" i="39"/>
  <c r="R46" i="39" s="1"/>
  <c r="H46" i="39"/>
  <c r="Q46" i="39"/>
  <c r="G56" i="39"/>
  <c r="R56" i="39" s="1"/>
  <c r="O56" i="39"/>
  <c r="C56" i="39"/>
  <c r="K56" i="39"/>
  <c r="AK56" i="39" s="1"/>
  <c r="D56" i="39"/>
  <c r="AJ56" i="39" s="1"/>
  <c r="L56" i="39"/>
  <c r="AQ56" i="39" s="1"/>
  <c r="N56" i="39"/>
  <c r="F56" i="39"/>
  <c r="AM56" i="39" s="1"/>
  <c r="H56" i="39"/>
  <c r="I56" i="39"/>
  <c r="AO56" i="39" s="1"/>
  <c r="J56" i="39"/>
  <c r="AN56" i="39" s="1"/>
  <c r="B56" i="39"/>
  <c r="M56" i="39"/>
  <c r="AS56" i="39" s="1"/>
  <c r="Q56" i="39"/>
  <c r="E56" i="39"/>
  <c r="E37" i="39"/>
  <c r="M37" i="39"/>
  <c r="F37" i="39"/>
  <c r="N37" i="39"/>
  <c r="G37" i="39"/>
  <c r="R37" i="39" s="1"/>
  <c r="O37" i="39"/>
  <c r="H37" i="39"/>
  <c r="Q37" i="39"/>
  <c r="B37" i="39"/>
  <c r="J37" i="39"/>
  <c r="K37" i="39"/>
  <c r="C37" i="39"/>
  <c r="AB37" i="39" s="1"/>
  <c r="I37" i="39"/>
  <c r="L37" i="39"/>
  <c r="AQ37" i="39" s="1"/>
  <c r="D37" i="39"/>
  <c r="G64" i="39"/>
  <c r="R64" i="39" s="1"/>
  <c r="O64" i="39"/>
  <c r="C64" i="39"/>
  <c r="K64" i="39"/>
  <c r="AK64" i="39" s="1"/>
  <c r="D64" i="39"/>
  <c r="AJ64" i="39" s="1"/>
  <c r="L64" i="39"/>
  <c r="AQ64" i="39" s="1"/>
  <c r="H64" i="39"/>
  <c r="M64" i="39"/>
  <c r="AS64" i="39" s="1"/>
  <c r="N64" i="39"/>
  <c r="B64" i="39"/>
  <c r="Q64" i="39"/>
  <c r="E64" i="39"/>
  <c r="J64" i="39"/>
  <c r="AN64" i="39" s="1"/>
  <c r="F64" i="39"/>
  <c r="AM64" i="39" s="1"/>
  <c r="I64" i="39"/>
  <c r="Z64" i="39" s="1"/>
  <c r="G60" i="39"/>
  <c r="R60" i="39" s="1"/>
  <c r="O60" i="39"/>
  <c r="C60" i="39"/>
  <c r="AH60" i="39" s="1"/>
  <c r="K60" i="39"/>
  <c r="AK60" i="39" s="1"/>
  <c r="D60" i="39"/>
  <c r="AJ60" i="39" s="1"/>
  <c r="L60" i="39"/>
  <c r="AQ60" i="39" s="1"/>
  <c r="J60" i="39"/>
  <c r="AN60" i="39" s="1"/>
  <c r="B60" i="39"/>
  <c r="Q60" i="39"/>
  <c r="E60" i="39"/>
  <c r="F60" i="39"/>
  <c r="AM60" i="39" s="1"/>
  <c r="H60" i="39"/>
  <c r="I60" i="39"/>
  <c r="M60" i="39"/>
  <c r="AS60" i="39" s="1"/>
  <c r="N60" i="39"/>
  <c r="H35" i="39"/>
  <c r="Q35" i="39"/>
  <c r="I35" i="39"/>
  <c r="J35" i="39"/>
  <c r="B35" i="39"/>
  <c r="K35" i="39"/>
  <c r="C35" i="39"/>
  <c r="AB35" i="39" s="1"/>
  <c r="L35" i="39"/>
  <c r="AQ35" i="39" s="1"/>
  <c r="E35" i="39"/>
  <c r="N35" i="39"/>
  <c r="D35" i="39"/>
  <c r="O35" i="39"/>
  <c r="G35" i="39"/>
  <c r="R35" i="39" s="1"/>
  <c r="M35" i="39"/>
  <c r="F35" i="39"/>
  <c r="G74" i="39"/>
  <c r="R74" i="39" s="1"/>
  <c r="O74" i="39"/>
  <c r="D74" i="39"/>
  <c r="AJ74" i="39" s="1"/>
  <c r="L74" i="39"/>
  <c r="AQ74" i="39" s="1"/>
  <c r="B74" i="39"/>
  <c r="M74" i="39"/>
  <c r="AS74" i="39" s="1"/>
  <c r="F74" i="39"/>
  <c r="AM74" i="39" s="1"/>
  <c r="H74" i="39"/>
  <c r="I74" i="39"/>
  <c r="J74" i="39"/>
  <c r="AN74" i="39" s="1"/>
  <c r="E74" i="39"/>
  <c r="N74" i="39"/>
  <c r="Q74" i="39"/>
  <c r="C74" i="39"/>
  <c r="K74" i="39"/>
  <c r="AK74" i="39" s="1"/>
  <c r="G10" i="39"/>
  <c r="R10" i="39" s="1"/>
  <c r="O10" i="39"/>
  <c r="H10" i="39"/>
  <c r="Q10" i="39"/>
  <c r="I10" i="39"/>
  <c r="Z10" i="39" s="1"/>
  <c r="B10" i="39"/>
  <c r="J10" i="39"/>
  <c r="C10" i="39"/>
  <c r="AB10" i="39" s="1"/>
  <c r="K10" i="39"/>
  <c r="D10" i="39"/>
  <c r="L10" i="39"/>
  <c r="AQ10" i="39" s="1"/>
  <c r="M10" i="39"/>
  <c r="N10" i="39"/>
  <c r="E10" i="39"/>
  <c r="F10" i="39"/>
  <c r="C57" i="39"/>
  <c r="AB57" i="39" s="1"/>
  <c r="K57" i="39"/>
  <c r="AK57" i="39" s="1"/>
  <c r="G57" i="39"/>
  <c r="R57" i="39" s="1"/>
  <c r="O57" i="39"/>
  <c r="H57" i="39"/>
  <c r="Q57" i="39"/>
  <c r="F57" i="39"/>
  <c r="AM57" i="39" s="1"/>
  <c r="L57" i="39"/>
  <c r="AQ57" i="39" s="1"/>
  <c r="M57" i="39"/>
  <c r="AS57" i="39" s="1"/>
  <c r="B57" i="39"/>
  <c r="N57" i="39"/>
  <c r="D57" i="39"/>
  <c r="AJ57" i="39" s="1"/>
  <c r="E57" i="39"/>
  <c r="I57" i="39"/>
  <c r="AO57" i="39" s="1"/>
  <c r="J57" i="39"/>
  <c r="AN57" i="39" s="1"/>
  <c r="C63" i="39"/>
  <c r="AH63" i="39" s="1"/>
  <c r="K63" i="39"/>
  <c r="AK63" i="39" s="1"/>
  <c r="G63" i="39"/>
  <c r="R63" i="39" s="1"/>
  <c r="O63" i="39"/>
  <c r="H63" i="39"/>
  <c r="Q63" i="39"/>
  <c r="B63" i="39"/>
  <c r="AF63" i="39" s="1"/>
  <c r="N63" i="39"/>
  <c r="F63" i="39"/>
  <c r="AM63" i="39" s="1"/>
  <c r="I63" i="39"/>
  <c r="J63" i="39"/>
  <c r="AN63" i="39" s="1"/>
  <c r="L63" i="39"/>
  <c r="AQ63" i="39" s="1"/>
  <c r="E63" i="39"/>
  <c r="M63" i="39"/>
  <c r="AS63" i="39" s="1"/>
  <c r="D63" i="39"/>
  <c r="AJ63" i="39" s="1"/>
  <c r="I38" i="39"/>
  <c r="B38" i="39"/>
  <c r="J38" i="39"/>
  <c r="C38" i="39"/>
  <c r="AB38" i="39" s="1"/>
  <c r="K38" i="39"/>
  <c r="D38" i="39"/>
  <c r="L38" i="39"/>
  <c r="AQ38" i="39" s="1"/>
  <c r="F38" i="39"/>
  <c r="N38" i="39"/>
  <c r="M38" i="39"/>
  <c r="E38" i="39"/>
  <c r="H38" i="39"/>
  <c r="G38" i="39"/>
  <c r="R38" i="39" s="1"/>
  <c r="O38" i="39"/>
  <c r="Q38" i="39"/>
  <c r="H16" i="39"/>
  <c r="Q16" i="39"/>
  <c r="I16" i="39"/>
  <c r="Z16" i="39" s="1"/>
  <c r="B16" i="39"/>
  <c r="J16" i="39"/>
  <c r="C16" i="39"/>
  <c r="AB16" i="39" s="1"/>
  <c r="K16" i="39"/>
  <c r="D16" i="39"/>
  <c r="L16" i="39"/>
  <c r="AQ16" i="39" s="1"/>
  <c r="G16" i="39"/>
  <c r="R16" i="39" s="1"/>
  <c r="M16" i="39"/>
  <c r="N16" i="39"/>
  <c r="O16" i="39"/>
  <c r="E16" i="39"/>
  <c r="F16" i="39"/>
  <c r="G29" i="39"/>
  <c r="R29" i="39" s="1"/>
  <c r="O29" i="39"/>
  <c r="H29" i="39"/>
  <c r="Q29" i="39"/>
  <c r="C29" i="39"/>
  <c r="AB29" i="39" s="1"/>
  <c r="M29" i="39"/>
  <c r="D29" i="39"/>
  <c r="N29" i="39"/>
  <c r="E29" i="39"/>
  <c r="F29" i="39"/>
  <c r="J29" i="39"/>
  <c r="I29" i="39"/>
  <c r="Z29" i="39" s="1"/>
  <c r="K29" i="39"/>
  <c r="B29" i="39"/>
  <c r="L29" i="39"/>
  <c r="AQ29" i="39" s="1"/>
  <c r="I24" i="39"/>
  <c r="Z24" i="39" s="1"/>
  <c r="B24" i="39"/>
  <c r="J24" i="39"/>
  <c r="C24" i="39"/>
  <c r="AB24" i="39" s="1"/>
  <c r="K24" i="39"/>
  <c r="D24" i="39"/>
  <c r="L24" i="39"/>
  <c r="AQ24" i="39" s="1"/>
  <c r="O24" i="39"/>
  <c r="Q24" i="39"/>
  <c r="E24" i="39"/>
  <c r="F24" i="39"/>
  <c r="G24" i="39"/>
  <c r="R24" i="39" s="1"/>
  <c r="H24" i="39"/>
  <c r="M24" i="39"/>
  <c r="N24" i="39"/>
  <c r="I52" i="39"/>
  <c r="B52" i="39"/>
  <c r="J52" i="39"/>
  <c r="AN52" i="39" s="1"/>
  <c r="C52" i="39"/>
  <c r="AH52" i="39" s="1"/>
  <c r="M52" i="39"/>
  <c r="AS52" i="39" s="1"/>
  <c r="G52" i="39"/>
  <c r="R52" i="39" s="1"/>
  <c r="H52" i="39"/>
  <c r="E52" i="39"/>
  <c r="L52" i="39"/>
  <c r="AQ52" i="39" s="1"/>
  <c r="N52" i="39"/>
  <c r="O52" i="39"/>
  <c r="Q52" i="39"/>
  <c r="D52" i="39"/>
  <c r="AJ52" i="39" s="1"/>
  <c r="K52" i="39"/>
  <c r="AK52" i="39" s="1"/>
  <c r="F52" i="39"/>
  <c r="AM52" i="39" s="1"/>
  <c r="F91" i="39"/>
  <c r="AM91" i="39" s="1"/>
  <c r="N91" i="39"/>
  <c r="H91" i="39"/>
  <c r="Q91" i="39"/>
  <c r="I91" i="39"/>
  <c r="Z91" i="39" s="1"/>
  <c r="L91" i="39"/>
  <c r="AQ91" i="39" s="1"/>
  <c r="B91" i="39"/>
  <c r="M91" i="39"/>
  <c r="AS91" i="39" s="1"/>
  <c r="C91" i="39"/>
  <c r="O91" i="39"/>
  <c r="D91" i="39"/>
  <c r="AJ91" i="39" s="1"/>
  <c r="E91" i="39"/>
  <c r="G91" i="39"/>
  <c r="R91" i="39" s="1"/>
  <c r="J91" i="39"/>
  <c r="AN91" i="39" s="1"/>
  <c r="K91" i="39"/>
  <c r="AK91" i="39" s="1"/>
  <c r="G27" i="39"/>
  <c r="R27" i="39" s="1"/>
  <c r="O27" i="39"/>
  <c r="H27" i="39"/>
  <c r="Q27" i="39"/>
  <c r="J27" i="39"/>
  <c r="K27" i="39"/>
  <c r="B27" i="39"/>
  <c r="L27" i="39"/>
  <c r="AQ27" i="39" s="1"/>
  <c r="C27" i="39"/>
  <c r="AB27" i="39" s="1"/>
  <c r="M27" i="39"/>
  <c r="D27" i="39"/>
  <c r="N27" i="39"/>
  <c r="E27" i="39"/>
  <c r="F27" i="39"/>
  <c r="I27" i="39"/>
  <c r="Z27" i="39" s="1"/>
  <c r="G66" i="39"/>
  <c r="R66" i="39" s="1"/>
  <c r="O66" i="39"/>
  <c r="C66" i="39"/>
  <c r="AH66" i="39" s="1"/>
  <c r="K66" i="39"/>
  <c r="AK66" i="39" s="1"/>
  <c r="D66" i="39"/>
  <c r="AJ66" i="39" s="1"/>
  <c r="L66" i="39"/>
  <c r="AQ66" i="39" s="1"/>
  <c r="F66" i="39"/>
  <c r="AM66" i="39" s="1"/>
  <c r="J66" i="39"/>
  <c r="AN66" i="39" s="1"/>
  <c r="M66" i="39"/>
  <c r="AS66" i="39" s="1"/>
  <c r="N66" i="39"/>
  <c r="B66" i="39"/>
  <c r="Q66" i="39"/>
  <c r="H66" i="39"/>
  <c r="E66" i="39"/>
  <c r="I66" i="39"/>
  <c r="AO66" i="39" s="1"/>
  <c r="E25" i="39"/>
  <c r="M25" i="39"/>
  <c r="F25" i="39"/>
  <c r="N25" i="39"/>
  <c r="G25" i="39"/>
  <c r="R25" i="39" s="1"/>
  <c r="O25" i="39"/>
  <c r="H25" i="39"/>
  <c r="Q25" i="39"/>
  <c r="K25" i="39"/>
  <c r="L25" i="39"/>
  <c r="AQ25" i="39" s="1"/>
  <c r="B25" i="39"/>
  <c r="C25" i="39"/>
  <c r="AB25" i="39" s="1"/>
  <c r="D25" i="39"/>
  <c r="I25" i="39"/>
  <c r="AO25" i="39" s="1"/>
  <c r="J25" i="39"/>
  <c r="E23" i="39"/>
  <c r="M23" i="39"/>
  <c r="F23" i="39"/>
  <c r="N23" i="39"/>
  <c r="G23" i="39"/>
  <c r="R23" i="39" s="1"/>
  <c r="O23" i="39"/>
  <c r="H23" i="39"/>
  <c r="Q23" i="39"/>
  <c r="C23" i="39"/>
  <c r="AB23" i="39" s="1"/>
  <c r="D23" i="39"/>
  <c r="I23" i="39"/>
  <c r="Z23" i="39" s="1"/>
  <c r="J23" i="39"/>
  <c r="K23" i="39"/>
  <c r="L23" i="39"/>
  <c r="AQ23" i="39" s="1"/>
  <c r="B23" i="39"/>
  <c r="C55" i="39"/>
  <c r="K55" i="39"/>
  <c r="AK55" i="39" s="1"/>
  <c r="G55" i="39"/>
  <c r="R55" i="39" s="1"/>
  <c r="O55" i="39"/>
  <c r="H55" i="39"/>
  <c r="Q55" i="39"/>
  <c r="I55" i="39"/>
  <c r="Z55" i="39" s="1"/>
  <c r="M55" i="39"/>
  <c r="AS55" i="39" s="1"/>
  <c r="B55" i="39"/>
  <c r="AF55" i="39" s="1"/>
  <c r="N55" i="39"/>
  <c r="D55" i="39"/>
  <c r="AJ55" i="39" s="1"/>
  <c r="E55" i="39"/>
  <c r="F55" i="39"/>
  <c r="AM55" i="39" s="1"/>
  <c r="J55" i="39"/>
  <c r="AN55" i="39" s="1"/>
  <c r="L55" i="39"/>
  <c r="AQ55" i="39" s="1"/>
  <c r="C30" i="39"/>
  <c r="AB30" i="39" s="1"/>
  <c r="K30" i="39"/>
  <c r="D30" i="39"/>
  <c r="L30" i="39"/>
  <c r="AQ30" i="39" s="1"/>
  <c r="E30" i="39"/>
  <c r="O30" i="39"/>
  <c r="F30" i="39"/>
  <c r="Q30" i="39"/>
  <c r="G30" i="39"/>
  <c r="R30" i="39" s="1"/>
  <c r="H30" i="39"/>
  <c r="J30" i="39"/>
  <c r="N30" i="39"/>
  <c r="M30" i="39"/>
  <c r="B30" i="39"/>
  <c r="I30" i="39"/>
  <c r="Z30" i="39" s="1"/>
  <c r="C15" i="39"/>
  <c r="AB15" i="39" s="1"/>
  <c r="D15" i="39"/>
  <c r="L15" i="39"/>
  <c r="AQ15" i="39" s="1"/>
  <c r="E15" i="39"/>
  <c r="M15" i="39"/>
  <c r="F15" i="39"/>
  <c r="N15" i="39"/>
  <c r="G15" i="39"/>
  <c r="R15" i="39" s="1"/>
  <c r="O15" i="39"/>
  <c r="H15" i="39"/>
  <c r="Q15" i="39"/>
  <c r="I15" i="39"/>
  <c r="Z15" i="39" s="1"/>
  <c r="J15" i="39"/>
  <c r="K15" i="39"/>
  <c r="B15" i="39"/>
  <c r="C85" i="39"/>
  <c r="AB85" i="39" s="1"/>
  <c r="K85" i="39"/>
  <c r="AK85" i="39" s="1"/>
  <c r="F85" i="39"/>
  <c r="AM85" i="39" s="1"/>
  <c r="N85" i="39"/>
  <c r="G85" i="39"/>
  <c r="R85" i="39" s="1"/>
  <c r="B85" i="39"/>
  <c r="O85" i="39"/>
  <c r="E85" i="39"/>
  <c r="H85" i="39"/>
  <c r="I85" i="39"/>
  <c r="X85" i="39" s="1"/>
  <c r="J85" i="39"/>
  <c r="AN85" i="39" s="1"/>
  <c r="L85" i="39"/>
  <c r="AQ85" i="39" s="1"/>
  <c r="M85" i="39"/>
  <c r="AS85" i="39" s="1"/>
  <c r="Q85" i="39"/>
  <c r="D85" i="39"/>
  <c r="AJ85" i="39" s="1"/>
  <c r="E21" i="39"/>
  <c r="M21" i="39"/>
  <c r="F21" i="39"/>
  <c r="N21" i="39"/>
  <c r="G21" i="39"/>
  <c r="R21" i="39" s="1"/>
  <c r="O21" i="39"/>
  <c r="H21" i="39"/>
  <c r="Q21" i="39"/>
  <c r="K21" i="39"/>
  <c r="L21" i="39"/>
  <c r="AQ21" i="39" s="1"/>
  <c r="B21" i="39"/>
  <c r="C21" i="39"/>
  <c r="AB21" i="39" s="1"/>
  <c r="D21" i="39"/>
  <c r="I21" i="39"/>
  <c r="J21" i="39"/>
  <c r="I44" i="39"/>
  <c r="AO44" i="39" s="1"/>
  <c r="B44" i="39"/>
  <c r="J44" i="39"/>
  <c r="C44" i="39"/>
  <c r="AB44" i="39" s="1"/>
  <c r="K44" i="39"/>
  <c r="D44" i="39"/>
  <c r="L44" i="39"/>
  <c r="AQ44" i="39" s="1"/>
  <c r="F44" i="39"/>
  <c r="N44" i="39"/>
  <c r="H44" i="39"/>
  <c r="M44" i="39"/>
  <c r="E44" i="39"/>
  <c r="G44" i="39"/>
  <c r="R44" i="39" s="1"/>
  <c r="O44" i="39"/>
  <c r="Q44" i="39"/>
  <c r="E39" i="39"/>
  <c r="M39" i="39"/>
  <c r="F39" i="39"/>
  <c r="N39" i="39"/>
  <c r="G39" i="39"/>
  <c r="R39" i="39" s="1"/>
  <c r="O39" i="39"/>
  <c r="H39" i="39"/>
  <c r="Q39" i="39"/>
  <c r="B39" i="39"/>
  <c r="J39" i="39"/>
  <c r="L39" i="39"/>
  <c r="AQ39" i="39" s="1"/>
  <c r="C39" i="39"/>
  <c r="AB39" i="39" s="1"/>
  <c r="D39" i="39"/>
  <c r="I39" i="39"/>
  <c r="K39" i="39"/>
  <c r="C83" i="39"/>
  <c r="AB83" i="39" s="1"/>
  <c r="K83" i="39"/>
  <c r="AK83" i="39" s="1"/>
  <c r="F83" i="39"/>
  <c r="AM83" i="39" s="1"/>
  <c r="N83" i="39"/>
  <c r="G83" i="39"/>
  <c r="R83" i="39" s="1"/>
  <c r="O83" i="39"/>
  <c r="H83" i="39"/>
  <c r="Q83" i="39"/>
  <c r="I83" i="39"/>
  <c r="AO83" i="39" s="1"/>
  <c r="J83" i="39"/>
  <c r="AN83" i="39" s="1"/>
  <c r="M83" i="39"/>
  <c r="AS83" i="39" s="1"/>
  <c r="B83" i="39"/>
  <c r="D83" i="39"/>
  <c r="AJ83" i="39" s="1"/>
  <c r="E83" i="39"/>
  <c r="L83" i="39"/>
  <c r="AQ83" i="39" s="1"/>
  <c r="D19" i="39"/>
  <c r="L19" i="39"/>
  <c r="AQ19" i="39" s="1"/>
  <c r="E19" i="39"/>
  <c r="M19" i="39"/>
  <c r="F19" i="39"/>
  <c r="N19" i="39"/>
  <c r="G19" i="39"/>
  <c r="R19" i="39" s="1"/>
  <c r="O19" i="39"/>
  <c r="H19" i="39"/>
  <c r="Q19" i="39"/>
  <c r="K19" i="39"/>
  <c r="B19" i="39"/>
  <c r="C19" i="39"/>
  <c r="AB19" i="39" s="1"/>
  <c r="I19" i="39"/>
  <c r="AD19" i="39" s="1"/>
  <c r="J19" i="39"/>
  <c r="G58" i="39"/>
  <c r="R58" i="39" s="1"/>
  <c r="O58" i="39"/>
  <c r="C58" i="39"/>
  <c r="K58" i="39"/>
  <c r="AK58" i="39" s="1"/>
  <c r="D58" i="39"/>
  <c r="AJ58" i="39" s="1"/>
  <c r="L58" i="39"/>
  <c r="AQ58" i="39" s="1"/>
  <c r="M58" i="39"/>
  <c r="AS58" i="39" s="1"/>
  <c r="E58" i="39"/>
  <c r="F58" i="39"/>
  <c r="AM58" i="39" s="1"/>
  <c r="H58" i="39"/>
  <c r="I58" i="39"/>
  <c r="B58" i="39"/>
  <c r="AF58" i="39" s="1"/>
  <c r="J58" i="39"/>
  <c r="AN58" i="39" s="1"/>
  <c r="N58" i="39"/>
  <c r="Q58" i="39"/>
  <c r="C7" i="39"/>
  <c r="AB7" i="39" s="1"/>
  <c r="K7" i="39"/>
  <c r="D7" i="39"/>
  <c r="L7" i="39"/>
  <c r="AQ7" i="39" s="1"/>
  <c r="E7" i="39"/>
  <c r="M7" i="39"/>
  <c r="F7" i="39"/>
  <c r="N7" i="39"/>
  <c r="G7" i="39"/>
  <c r="R7" i="39" s="1"/>
  <c r="O7" i="39"/>
  <c r="H7" i="39"/>
  <c r="Q7" i="39"/>
  <c r="I7" i="39"/>
  <c r="AO7" i="39" s="1"/>
  <c r="J7" i="39"/>
  <c r="B7" i="39"/>
  <c r="B86" i="39"/>
  <c r="AF86" i="39" s="1"/>
  <c r="J86" i="39"/>
  <c r="AN86" i="39" s="1"/>
  <c r="D86" i="39"/>
  <c r="AJ86" i="39" s="1"/>
  <c r="M86" i="39"/>
  <c r="AS86" i="39" s="1"/>
  <c r="F86" i="39"/>
  <c r="AM86" i="39" s="1"/>
  <c r="O86" i="39"/>
  <c r="G86" i="39"/>
  <c r="R86" i="39" s="1"/>
  <c r="Q86" i="39"/>
  <c r="C86" i="39"/>
  <c r="AH86" i="39" s="1"/>
  <c r="E86" i="39"/>
  <c r="H86" i="39"/>
  <c r="I86" i="39"/>
  <c r="Z86" i="39" s="1"/>
  <c r="K86" i="39"/>
  <c r="AK86" i="39" s="1"/>
  <c r="L86" i="39"/>
  <c r="AQ86" i="39" s="1"/>
  <c r="N86" i="39"/>
  <c r="I22" i="39"/>
  <c r="Z22" i="39" s="1"/>
  <c r="B22" i="39"/>
  <c r="J22" i="39"/>
  <c r="C22" i="39"/>
  <c r="AB22" i="39" s="1"/>
  <c r="K22" i="39"/>
  <c r="D22" i="39"/>
  <c r="L22" i="39"/>
  <c r="AQ22" i="39" s="1"/>
  <c r="G22" i="39"/>
  <c r="R22" i="39" s="1"/>
  <c r="H22" i="39"/>
  <c r="M22" i="39"/>
  <c r="N22" i="39"/>
  <c r="O22" i="39"/>
  <c r="Q22" i="39"/>
  <c r="E22" i="39"/>
  <c r="F22" i="39"/>
  <c r="C77" i="39"/>
  <c r="AB77" i="39" s="1"/>
  <c r="K77" i="39"/>
  <c r="AK77" i="39" s="1"/>
  <c r="F77" i="39"/>
  <c r="AM77" i="39" s="1"/>
  <c r="N77" i="39"/>
  <c r="G77" i="39"/>
  <c r="R77" i="39" s="1"/>
  <c r="O77" i="39"/>
  <c r="H77" i="39"/>
  <c r="Q77" i="39"/>
  <c r="I77" i="39"/>
  <c r="B77" i="39"/>
  <c r="AF77" i="39" s="1"/>
  <c r="E77" i="39"/>
  <c r="J77" i="39"/>
  <c r="AN77" i="39" s="1"/>
  <c r="L77" i="39"/>
  <c r="AQ77" i="39" s="1"/>
  <c r="M77" i="39"/>
  <c r="AS77" i="39" s="1"/>
  <c r="D77" i="39"/>
  <c r="AJ77" i="39" s="1"/>
  <c r="C13" i="39"/>
  <c r="AB13" i="39" s="1"/>
  <c r="K13" i="39"/>
  <c r="D13" i="39"/>
  <c r="L13" i="39"/>
  <c r="AQ13" i="39" s="1"/>
  <c r="E13" i="39"/>
  <c r="M13" i="39"/>
  <c r="F13" i="39"/>
  <c r="N13" i="39"/>
  <c r="G13" i="39"/>
  <c r="R13" i="39" s="1"/>
  <c r="O13" i="39"/>
  <c r="H13" i="39"/>
  <c r="Q13" i="39"/>
  <c r="B13" i="39"/>
  <c r="I13" i="39"/>
  <c r="Z13" i="39" s="1"/>
  <c r="J13" i="39"/>
  <c r="D36" i="39"/>
  <c r="L36" i="39"/>
  <c r="AQ36" i="39" s="1"/>
  <c r="G36" i="39"/>
  <c r="R36" i="39" s="1"/>
  <c r="Q36" i="39"/>
  <c r="H36" i="39"/>
  <c r="I36" i="39"/>
  <c r="J36" i="39"/>
  <c r="C36" i="39"/>
  <c r="AB36" i="39" s="1"/>
  <c r="M36" i="39"/>
  <c r="F36" i="39"/>
  <c r="N36" i="39"/>
  <c r="B36" i="39"/>
  <c r="E36" i="39"/>
  <c r="K36" i="39"/>
  <c r="O36" i="39"/>
  <c r="C75" i="39"/>
  <c r="AH75" i="39" s="1"/>
  <c r="K75" i="39"/>
  <c r="AK75" i="39" s="1"/>
  <c r="H75" i="39"/>
  <c r="Q75" i="39"/>
  <c r="D75" i="39"/>
  <c r="AJ75" i="39" s="1"/>
  <c r="N75" i="39"/>
  <c r="G75" i="39"/>
  <c r="R75" i="39" s="1"/>
  <c r="I75" i="39"/>
  <c r="AO75" i="39" s="1"/>
  <c r="J75" i="39"/>
  <c r="AN75" i="39" s="1"/>
  <c r="L75" i="39"/>
  <c r="AQ75" i="39" s="1"/>
  <c r="O75" i="39"/>
  <c r="F75" i="39"/>
  <c r="AM75" i="39" s="1"/>
  <c r="M75" i="39"/>
  <c r="AS75" i="39" s="1"/>
  <c r="B75" i="39"/>
  <c r="AF75" i="39" s="1"/>
  <c r="E75" i="39"/>
  <c r="C11" i="39"/>
  <c r="AB11" i="39" s="1"/>
  <c r="K11" i="39"/>
  <c r="D11" i="39"/>
  <c r="L11" i="39"/>
  <c r="AQ11" i="39" s="1"/>
  <c r="E11" i="39"/>
  <c r="M11" i="39"/>
  <c r="F11" i="39"/>
  <c r="N11" i="39"/>
  <c r="G11" i="39"/>
  <c r="R11" i="39" s="1"/>
  <c r="O11" i="39"/>
  <c r="H11" i="39"/>
  <c r="Q11" i="39"/>
  <c r="B11" i="39"/>
  <c r="I11" i="39"/>
  <c r="Z11" i="39" s="1"/>
  <c r="J11" i="39"/>
  <c r="I50" i="39"/>
  <c r="B50" i="39"/>
  <c r="J50" i="39"/>
  <c r="AN50" i="39" s="1"/>
  <c r="C50" i="39"/>
  <c r="AB50" i="39" s="1"/>
  <c r="K50" i="39"/>
  <c r="D50" i="39"/>
  <c r="L50" i="39"/>
  <c r="AQ50" i="39" s="1"/>
  <c r="F50" i="39"/>
  <c r="G50" i="39"/>
  <c r="R50" i="39" s="1"/>
  <c r="O50" i="39"/>
  <c r="Q50" i="39"/>
  <c r="H50" i="39"/>
  <c r="E50" i="39"/>
  <c r="M50" i="39"/>
  <c r="N50" i="39"/>
  <c r="AU78" i="39"/>
  <c r="G78" i="39"/>
  <c r="R78" i="39" s="1"/>
  <c r="O78" i="39"/>
  <c r="B78" i="39"/>
  <c r="AF78" i="39" s="1"/>
  <c r="J78" i="39"/>
  <c r="AN78" i="39" s="1"/>
  <c r="C78" i="39"/>
  <c r="AB78" i="39" s="1"/>
  <c r="K78" i="39"/>
  <c r="AK78" i="39" s="1"/>
  <c r="D78" i="39"/>
  <c r="AJ78" i="39" s="1"/>
  <c r="L78" i="39"/>
  <c r="AQ78" i="39" s="1"/>
  <c r="E78" i="39"/>
  <c r="M78" i="39"/>
  <c r="AS78" i="39" s="1"/>
  <c r="H78" i="39"/>
  <c r="I78" i="39"/>
  <c r="Z78" i="39" s="1"/>
  <c r="F78" i="39"/>
  <c r="AM78" i="39" s="1"/>
  <c r="N78" i="39"/>
  <c r="Q78" i="39"/>
  <c r="G14" i="39"/>
  <c r="R14" i="39" s="1"/>
  <c r="O14" i="39"/>
  <c r="H14" i="39"/>
  <c r="Q14" i="39"/>
  <c r="I14" i="39"/>
  <c r="Z14" i="39" s="1"/>
  <c r="B14" i="39"/>
  <c r="J14" i="39"/>
  <c r="C14" i="39"/>
  <c r="AB14" i="39" s="1"/>
  <c r="K14" i="39"/>
  <c r="D14" i="39"/>
  <c r="L14" i="39"/>
  <c r="AQ14" i="39" s="1"/>
  <c r="E14" i="39"/>
  <c r="F14" i="39"/>
  <c r="M14" i="39"/>
  <c r="N14" i="39"/>
  <c r="C69" i="39"/>
  <c r="AH69" i="39" s="1"/>
  <c r="K69" i="39"/>
  <c r="AK69" i="39" s="1"/>
  <c r="G69" i="39"/>
  <c r="R69" i="39" s="1"/>
  <c r="O69" i="39"/>
  <c r="H69" i="39"/>
  <c r="Q69" i="39"/>
  <c r="J69" i="39"/>
  <c r="AN69" i="39" s="1"/>
  <c r="B69" i="39"/>
  <c r="N69" i="39"/>
  <c r="D69" i="39"/>
  <c r="AJ69" i="39" s="1"/>
  <c r="E69" i="39"/>
  <c r="F69" i="39"/>
  <c r="AM69" i="39" s="1"/>
  <c r="M69" i="39"/>
  <c r="AS69" i="39" s="1"/>
  <c r="I69" i="39"/>
  <c r="X69" i="39" s="1"/>
  <c r="L69" i="39"/>
  <c r="AQ69" i="39" s="1"/>
  <c r="C5" i="39"/>
  <c r="AB5" i="39" s="1"/>
  <c r="K5" i="39"/>
  <c r="D5" i="39"/>
  <c r="L5" i="39"/>
  <c r="AQ5" i="39" s="1"/>
  <c r="E5" i="39"/>
  <c r="M5" i="39"/>
  <c r="F5" i="39"/>
  <c r="N5" i="39"/>
  <c r="G5" i="39"/>
  <c r="R5" i="39" s="1"/>
  <c r="O5" i="39"/>
  <c r="H5" i="39"/>
  <c r="Q5" i="39"/>
  <c r="B5" i="39"/>
  <c r="I5" i="39"/>
  <c r="Z5" i="39" s="1"/>
  <c r="J5" i="39"/>
  <c r="C28" i="39"/>
  <c r="AB28" i="39" s="1"/>
  <c r="K28" i="39"/>
  <c r="D28" i="39"/>
  <c r="L28" i="39"/>
  <c r="AQ28" i="39" s="1"/>
  <c r="M28" i="39"/>
  <c r="B28" i="39"/>
  <c r="N28" i="39"/>
  <c r="E28" i="39"/>
  <c r="O28" i="39"/>
  <c r="F28" i="39"/>
  <c r="Q28" i="39"/>
  <c r="H28" i="39"/>
  <c r="J28" i="39"/>
  <c r="I28" i="39"/>
  <c r="Z28" i="39" s="1"/>
  <c r="G28" i="39"/>
  <c r="R28" i="39" s="1"/>
  <c r="C67" i="39"/>
  <c r="AB67" i="39" s="1"/>
  <c r="K67" i="39"/>
  <c r="AK67" i="39" s="1"/>
  <c r="G67" i="39"/>
  <c r="R67" i="39" s="1"/>
  <c r="O67" i="39"/>
  <c r="H67" i="39"/>
  <c r="Q67" i="39"/>
  <c r="L67" i="39"/>
  <c r="AQ67" i="39" s="1"/>
  <c r="D67" i="39"/>
  <c r="AJ67" i="39" s="1"/>
  <c r="E67" i="39"/>
  <c r="F67" i="39"/>
  <c r="AM67" i="39" s="1"/>
  <c r="I67" i="39"/>
  <c r="AO67" i="39" s="1"/>
  <c r="N67" i="39"/>
  <c r="B67" i="39"/>
  <c r="AF67" i="39" s="1"/>
  <c r="J67" i="39"/>
  <c r="AN67" i="39" s="1"/>
  <c r="M67" i="39"/>
  <c r="AS67" i="39" s="1"/>
  <c r="B3" i="39"/>
  <c r="J3" i="39"/>
  <c r="C3" i="39"/>
  <c r="AB3" i="39" s="1"/>
  <c r="K3" i="39"/>
  <c r="D3" i="39"/>
  <c r="L3" i="39"/>
  <c r="AQ3" i="39" s="1"/>
  <c r="E3" i="39"/>
  <c r="M3" i="39"/>
  <c r="F3" i="39"/>
  <c r="N3" i="39"/>
  <c r="G3" i="39"/>
  <c r="R3" i="39" s="1"/>
  <c r="O3" i="39"/>
  <c r="H3" i="39"/>
  <c r="Q3" i="39"/>
  <c r="I3" i="39"/>
  <c r="Z3" i="39" s="1"/>
  <c r="C81" i="39"/>
  <c r="K81" i="39"/>
  <c r="AK81" i="39" s="1"/>
  <c r="F81" i="39"/>
  <c r="AM81" i="39" s="1"/>
  <c r="N81" i="39"/>
  <c r="G81" i="39"/>
  <c r="R81" i="39" s="1"/>
  <c r="O81" i="39"/>
  <c r="H81" i="39"/>
  <c r="Q81" i="39"/>
  <c r="I81" i="39"/>
  <c r="E81" i="39"/>
  <c r="L81" i="39"/>
  <c r="AQ81" i="39" s="1"/>
  <c r="M81" i="39"/>
  <c r="AS81" i="39" s="1"/>
  <c r="B81" i="39"/>
  <c r="AF81" i="39" s="1"/>
  <c r="D81" i="39"/>
  <c r="AJ81" i="39" s="1"/>
  <c r="J81" i="39"/>
  <c r="AN81" i="39" s="1"/>
  <c r="G72" i="39"/>
  <c r="R72" i="39" s="1"/>
  <c r="O72" i="39"/>
  <c r="D72" i="39"/>
  <c r="AJ72" i="39" s="1"/>
  <c r="L72" i="39"/>
  <c r="AQ72" i="39" s="1"/>
  <c r="J72" i="39"/>
  <c r="AN72" i="39" s="1"/>
  <c r="C72" i="39"/>
  <c r="AH72" i="39" s="1"/>
  <c r="N72" i="39"/>
  <c r="E72" i="39"/>
  <c r="Q72" i="39"/>
  <c r="F72" i="39"/>
  <c r="AM72" i="39" s="1"/>
  <c r="H72" i="39"/>
  <c r="B72" i="39"/>
  <c r="AF72" i="39" s="1"/>
  <c r="I72" i="39"/>
  <c r="AO72" i="39" s="1"/>
  <c r="K72" i="39"/>
  <c r="AK72" i="39" s="1"/>
  <c r="M72" i="39"/>
  <c r="AS72" i="39" s="1"/>
  <c r="I42" i="39"/>
  <c r="B42" i="39"/>
  <c r="J42" i="39"/>
  <c r="C42" i="39"/>
  <c r="AB42" i="39" s="1"/>
  <c r="K42" i="39"/>
  <c r="D42" i="39"/>
  <c r="L42" i="39"/>
  <c r="AQ42" i="39" s="1"/>
  <c r="F42" i="39"/>
  <c r="N42" i="39"/>
  <c r="Q42" i="39"/>
  <c r="G42" i="39"/>
  <c r="R42" i="39" s="1"/>
  <c r="H42" i="39"/>
  <c r="M42" i="39"/>
  <c r="O42" i="39"/>
  <c r="E42" i="39"/>
  <c r="G70" i="39"/>
  <c r="R70" i="39" s="1"/>
  <c r="O70" i="39"/>
  <c r="C70" i="39"/>
  <c r="K70" i="39"/>
  <c r="AK70" i="39" s="1"/>
  <c r="D70" i="39"/>
  <c r="AJ70" i="39" s="1"/>
  <c r="L70" i="39"/>
  <c r="AQ70" i="39" s="1"/>
  <c r="B70" i="39"/>
  <c r="Q70" i="39"/>
  <c r="H70" i="39"/>
  <c r="I70" i="39"/>
  <c r="X70" i="39" s="1"/>
  <c r="J70" i="39"/>
  <c r="AN70" i="39" s="1"/>
  <c r="M70" i="39"/>
  <c r="AS70" i="39" s="1"/>
  <c r="E70" i="39"/>
  <c r="F70" i="39"/>
  <c r="AM70" i="39" s="1"/>
  <c r="N70" i="39"/>
  <c r="G6" i="39"/>
  <c r="R6" i="39" s="1"/>
  <c r="O6" i="39"/>
  <c r="H6" i="39"/>
  <c r="Q6" i="39"/>
  <c r="I6" i="39"/>
  <c r="Z6" i="39" s="1"/>
  <c r="B6" i="39"/>
  <c r="J6" i="39"/>
  <c r="C6" i="39"/>
  <c r="AB6" i="39" s="1"/>
  <c r="K6" i="39"/>
  <c r="D6" i="39"/>
  <c r="L6" i="39"/>
  <c r="AQ6" i="39" s="1"/>
  <c r="E6" i="39"/>
  <c r="F6" i="39"/>
  <c r="M6" i="39"/>
  <c r="N6" i="39"/>
  <c r="C73" i="39"/>
  <c r="AH73" i="39" s="1"/>
  <c r="K73" i="39"/>
  <c r="AK73" i="39" s="1"/>
  <c r="H73" i="39"/>
  <c r="Q73" i="39"/>
  <c r="L73" i="39"/>
  <c r="AQ73" i="39" s="1"/>
  <c r="E73" i="39"/>
  <c r="O73" i="39"/>
  <c r="F73" i="39"/>
  <c r="AM73" i="39" s="1"/>
  <c r="G73" i="39"/>
  <c r="R73" i="39" s="1"/>
  <c r="I73" i="39"/>
  <c r="Z73" i="39" s="1"/>
  <c r="D73" i="39"/>
  <c r="AJ73" i="39" s="1"/>
  <c r="J73" i="39"/>
  <c r="AN73" i="39" s="1"/>
  <c r="B73" i="39"/>
  <c r="M73" i="39"/>
  <c r="AS73" i="39" s="1"/>
  <c r="N73" i="39"/>
  <c r="C61" i="39"/>
  <c r="AB61" i="39" s="1"/>
  <c r="K61" i="39"/>
  <c r="AK61" i="39" s="1"/>
  <c r="G61" i="39"/>
  <c r="R61" i="39" s="1"/>
  <c r="O61" i="39"/>
  <c r="H61" i="39"/>
  <c r="Q61" i="39"/>
  <c r="D61" i="39"/>
  <c r="AJ61" i="39" s="1"/>
  <c r="I61" i="39"/>
  <c r="Z61" i="39" s="1"/>
  <c r="J61" i="39"/>
  <c r="AN61" i="39" s="1"/>
  <c r="L61" i="39"/>
  <c r="AQ61" i="39" s="1"/>
  <c r="M61" i="39"/>
  <c r="AS61" i="39" s="1"/>
  <c r="E61" i="39"/>
  <c r="N61" i="39"/>
  <c r="B61" i="39"/>
  <c r="F61" i="39"/>
  <c r="AM61" i="39" s="1"/>
  <c r="E47" i="39"/>
  <c r="M47" i="39"/>
  <c r="F47" i="39"/>
  <c r="N47" i="39"/>
  <c r="G47" i="39"/>
  <c r="R47" i="39" s="1"/>
  <c r="O47" i="39"/>
  <c r="H47" i="39"/>
  <c r="Q47" i="39"/>
  <c r="B47" i="39"/>
  <c r="J47" i="39"/>
  <c r="C47" i="39"/>
  <c r="AB47" i="39" s="1"/>
  <c r="L47" i="39"/>
  <c r="AQ47" i="39" s="1"/>
  <c r="K47" i="39"/>
  <c r="D47" i="39"/>
  <c r="AJ47" i="39" s="1"/>
  <c r="I47" i="39"/>
  <c r="G84" i="39"/>
  <c r="R84" i="39" s="1"/>
  <c r="O84" i="39"/>
  <c r="B84" i="39"/>
  <c r="AF84" i="39" s="1"/>
  <c r="J84" i="39"/>
  <c r="AN84" i="39" s="1"/>
  <c r="C84" i="39"/>
  <c r="AH84" i="39" s="1"/>
  <c r="K84" i="39"/>
  <c r="AK84" i="39" s="1"/>
  <c r="D84" i="39"/>
  <c r="AJ84" i="39" s="1"/>
  <c r="E84" i="39"/>
  <c r="I84" i="39"/>
  <c r="X84" i="39" s="1"/>
  <c r="M84" i="39"/>
  <c r="AS84" i="39" s="1"/>
  <c r="N84" i="39"/>
  <c r="F84" i="39"/>
  <c r="AM84" i="39" s="1"/>
  <c r="H84" i="39"/>
  <c r="L84" i="39"/>
  <c r="AQ84" i="39" s="1"/>
  <c r="Q84" i="39"/>
  <c r="H20" i="39"/>
  <c r="Q20" i="39"/>
  <c r="I20" i="39"/>
  <c r="Z20" i="39" s="1"/>
  <c r="B20" i="39"/>
  <c r="J20" i="39"/>
  <c r="C20" i="39"/>
  <c r="AB20" i="39" s="1"/>
  <c r="K20" i="39"/>
  <c r="D20" i="39"/>
  <c r="L20" i="39"/>
  <c r="AQ20" i="39" s="1"/>
  <c r="N20" i="39"/>
  <c r="O20" i="39"/>
  <c r="E20" i="39"/>
  <c r="F20" i="39"/>
  <c r="G20" i="39"/>
  <c r="R20" i="39" s="1"/>
  <c r="M20" i="39"/>
  <c r="E41" i="39"/>
  <c r="M41" i="39"/>
  <c r="F41" i="39"/>
  <c r="N41" i="39"/>
  <c r="G41" i="39"/>
  <c r="R41" i="39" s="1"/>
  <c r="O41" i="39"/>
  <c r="H41" i="39"/>
  <c r="Q41" i="39"/>
  <c r="B41" i="39"/>
  <c r="J41" i="39"/>
  <c r="D41" i="39"/>
  <c r="I41" i="39"/>
  <c r="X41" i="39" s="1"/>
  <c r="C41" i="39"/>
  <c r="AB41" i="39" s="1"/>
  <c r="K41" i="39"/>
  <c r="L41" i="39"/>
  <c r="AQ41" i="39" s="1"/>
  <c r="D32" i="39"/>
  <c r="L32" i="39"/>
  <c r="AQ32" i="39" s="1"/>
  <c r="E32" i="39"/>
  <c r="N32" i="39"/>
  <c r="F32" i="39"/>
  <c r="O32" i="39"/>
  <c r="G32" i="39"/>
  <c r="R32" i="39" s="1"/>
  <c r="Q32" i="39"/>
  <c r="H32" i="39"/>
  <c r="J32" i="39"/>
  <c r="M32" i="39"/>
  <c r="B32" i="39"/>
  <c r="C32" i="39"/>
  <c r="AB32" i="39" s="1"/>
  <c r="I32" i="39"/>
  <c r="Z32" i="39" s="1"/>
  <c r="K32" i="39"/>
  <c r="C59" i="39"/>
  <c r="K59" i="39"/>
  <c r="AK59" i="39" s="1"/>
  <c r="G59" i="39"/>
  <c r="R59" i="39" s="1"/>
  <c r="O59" i="39"/>
  <c r="H59" i="39"/>
  <c r="Q59" i="39"/>
  <c r="E59" i="39"/>
  <c r="J59" i="39"/>
  <c r="AN59" i="39" s="1"/>
  <c r="L59" i="39"/>
  <c r="AQ59" i="39" s="1"/>
  <c r="M59" i="39"/>
  <c r="AS59" i="39" s="1"/>
  <c r="B59" i="39"/>
  <c r="AF59" i="39" s="1"/>
  <c r="N59" i="39"/>
  <c r="I59" i="39"/>
  <c r="AO59" i="39" s="1"/>
  <c r="D59" i="39"/>
  <c r="AJ59" i="39" s="1"/>
  <c r="F59" i="39"/>
  <c r="AM59" i="39" s="1"/>
  <c r="C9" i="39"/>
  <c r="AB9" i="39" s="1"/>
  <c r="K9" i="39"/>
  <c r="D9" i="39"/>
  <c r="L9" i="39"/>
  <c r="AQ9" i="39" s="1"/>
  <c r="E9" i="39"/>
  <c r="M9" i="39"/>
  <c r="F9" i="39"/>
  <c r="N9" i="39"/>
  <c r="G9" i="39"/>
  <c r="R9" i="39" s="1"/>
  <c r="O9" i="39"/>
  <c r="H9" i="39"/>
  <c r="Q9" i="39"/>
  <c r="B9" i="39"/>
  <c r="I9" i="39"/>
  <c r="J9" i="39"/>
  <c r="G8" i="39"/>
  <c r="R8" i="39" s="1"/>
  <c r="O8" i="39"/>
  <c r="H8" i="39"/>
  <c r="Q8" i="39"/>
  <c r="I8" i="39"/>
  <c r="Z8" i="39" s="1"/>
  <c r="B8" i="39"/>
  <c r="J8" i="39"/>
  <c r="C8" i="39"/>
  <c r="AB8" i="39" s="1"/>
  <c r="K8" i="39"/>
  <c r="D8" i="39"/>
  <c r="L8" i="39"/>
  <c r="AQ8" i="39" s="1"/>
  <c r="E8" i="39"/>
  <c r="F8" i="39"/>
  <c r="M8" i="39"/>
  <c r="N8" i="39"/>
  <c r="D34" i="39"/>
  <c r="L34" i="39"/>
  <c r="AQ34" i="39" s="1"/>
  <c r="J34" i="39"/>
  <c r="B34" i="39"/>
  <c r="K34" i="39"/>
  <c r="C34" i="39"/>
  <c r="AB34" i="39" s="1"/>
  <c r="M34" i="39"/>
  <c r="E34" i="39"/>
  <c r="N34" i="39"/>
  <c r="G34" i="39"/>
  <c r="R34" i="39" s="1"/>
  <c r="Q34" i="39"/>
  <c r="I34" i="39"/>
  <c r="O34" i="39"/>
  <c r="F34" i="39"/>
  <c r="H34" i="39"/>
  <c r="AU83" i="39"/>
  <c r="AO85" i="39"/>
  <c r="AU58" i="39"/>
  <c r="AU85" i="39"/>
  <c r="AU55" i="39"/>
  <c r="AO31" i="39"/>
  <c r="AO4" i="39"/>
  <c r="AO46" i="39"/>
  <c r="AO2" i="39"/>
  <c r="AO40" i="39"/>
  <c r="AO19" i="39"/>
  <c r="AO26" i="39"/>
  <c r="AO63" i="39"/>
  <c r="AO51" i="39"/>
  <c r="AO33" i="39"/>
  <c r="AO17" i="39"/>
  <c r="AO87" i="39"/>
  <c r="AO76" i="39"/>
  <c r="AO43" i="39"/>
  <c r="AO12" i="39"/>
  <c r="AO79" i="39"/>
  <c r="AO82" i="39"/>
  <c r="AO68" i="39"/>
  <c r="AO89" i="39"/>
  <c r="AO81" i="39"/>
  <c r="AO53" i="39"/>
  <c r="AF87" i="39"/>
  <c r="AF52" i="39"/>
  <c r="AC89" i="39"/>
  <c r="AL89" i="39"/>
  <c r="AE89" i="39"/>
  <c r="AR79" i="39"/>
  <c r="AH87" i="39"/>
  <c r="AB87" i="39"/>
  <c r="AR88" i="39"/>
  <c r="Y66" i="39"/>
  <c r="AC84" i="39"/>
  <c r="AE84" i="39"/>
  <c r="AL84" i="39"/>
  <c r="AF88" i="39"/>
  <c r="AE87" i="39"/>
  <c r="AC87" i="39"/>
  <c r="AL87" i="39"/>
  <c r="AF83" i="39"/>
  <c r="AB66" i="39"/>
  <c r="AR54" i="39"/>
  <c r="AB63" i="39"/>
  <c r="AC59" i="39"/>
  <c r="AL59" i="39"/>
  <c r="AE59" i="39"/>
  <c r="AE77" i="39"/>
  <c r="AC77" i="39"/>
  <c r="AL77" i="39"/>
  <c r="Y53" i="39"/>
  <c r="X53" i="39"/>
  <c r="AD53" i="39"/>
  <c r="AB65" i="39"/>
  <c r="AH65" i="39"/>
  <c r="AC68" i="39"/>
  <c r="AL68" i="39"/>
  <c r="AE68" i="39"/>
  <c r="AD65" i="39"/>
  <c r="Y65" i="39"/>
  <c r="X65" i="39"/>
  <c r="AC80" i="39"/>
  <c r="AL80" i="39"/>
  <c r="AE80" i="39"/>
  <c r="AR80" i="39"/>
  <c r="AB80" i="39"/>
  <c r="AH80" i="39"/>
  <c r="X79" i="39"/>
  <c r="Y79" i="39"/>
  <c r="AD79" i="39"/>
  <c r="AE73" i="39"/>
  <c r="AC73" i="39"/>
  <c r="AL73" i="39"/>
  <c r="AE70" i="39"/>
  <c r="AL70" i="39"/>
  <c r="AC70" i="39"/>
  <c r="AH82" i="39"/>
  <c r="AR62" i="39"/>
  <c r="AE75" i="39"/>
  <c r="AL75" i="39"/>
  <c r="AC75" i="39"/>
  <c r="AF74" i="39"/>
  <c r="AC57" i="39"/>
  <c r="AL57" i="39"/>
  <c r="AE57" i="39"/>
  <c r="AE74" i="39"/>
  <c r="AL74" i="39"/>
  <c r="AC74" i="39"/>
  <c r="AD71" i="39"/>
  <c r="Y71" i="39"/>
  <c r="AR66" i="39"/>
  <c r="AC55" i="39"/>
  <c r="AL55" i="39"/>
  <c r="AE55" i="39"/>
  <c r="AF54" i="39"/>
  <c r="AF56" i="39"/>
  <c r="AR52" i="39"/>
  <c r="AL52" i="39"/>
  <c r="AC52" i="39"/>
  <c r="AE52" i="39"/>
  <c r="AE90" i="39"/>
  <c r="AC90" i="39"/>
  <c r="AL90" i="39"/>
  <c r="AB68" i="39"/>
  <c r="AH68" i="39"/>
  <c r="AR90" i="39"/>
  <c r="AH56" i="39"/>
  <c r="AB56" i="39"/>
  <c r="AC91" i="39"/>
  <c r="AL91" i="39"/>
  <c r="AE91" i="39"/>
  <c r="AD88" i="39"/>
  <c r="X88" i="39"/>
  <c r="Y88" i="39"/>
  <c r="AE82" i="39"/>
  <c r="AL82" i="39"/>
  <c r="AC82" i="39"/>
  <c r="AC86" i="39"/>
  <c r="AL86" i="39"/>
  <c r="AE86" i="39"/>
  <c r="AF82" i="39"/>
  <c r="AE61" i="39"/>
  <c r="AL61" i="39"/>
  <c r="AC61" i="39"/>
  <c r="AF80" i="39"/>
  <c r="AC83" i="39"/>
  <c r="AL83" i="39"/>
  <c r="AE83" i="39"/>
  <c r="AC71" i="39"/>
  <c r="AL71" i="39"/>
  <c r="AE71" i="39"/>
  <c r="AR74" i="39"/>
  <c r="AH76" i="39"/>
  <c r="AB76" i="39"/>
  <c r="AE53" i="39"/>
  <c r="AC53" i="39"/>
  <c r="AL53" i="39"/>
  <c r="AH64" i="39"/>
  <c r="AB64" i="39"/>
  <c r="AF68" i="39"/>
  <c r="AH57" i="39"/>
  <c r="AF53" i="39"/>
  <c r="AB62" i="39"/>
  <c r="AH62" i="39"/>
  <c r="AC60" i="39"/>
  <c r="AL60" i="39"/>
  <c r="AE60" i="39"/>
  <c r="AD57" i="39"/>
  <c r="Y57" i="39"/>
  <c r="AE62" i="39"/>
  <c r="AC62" i="39"/>
  <c r="AL62" i="39"/>
  <c r="AD52" i="39"/>
  <c r="X52" i="39"/>
  <c r="AH89" i="39"/>
  <c r="AB89" i="39"/>
  <c r="AD54" i="39"/>
  <c r="X54" i="39"/>
  <c r="Y54" i="39"/>
  <c r="Y89" i="39"/>
  <c r="AD89" i="39"/>
  <c r="X89" i="39"/>
  <c r="AF90" i="39"/>
  <c r="Y81" i="39"/>
  <c r="AD81" i="39"/>
  <c r="X81" i="39"/>
  <c r="AD56" i="39"/>
  <c r="X56" i="39"/>
  <c r="Y56" i="39"/>
  <c r="AB60" i="39"/>
  <c r="AC64" i="39"/>
  <c r="AL64" i="39"/>
  <c r="AE64" i="39"/>
  <c r="AR53" i="39"/>
  <c r="AR58" i="39"/>
  <c r="AC69" i="39"/>
  <c r="AL69" i="39"/>
  <c r="AE69" i="39"/>
  <c r="AC76" i="39"/>
  <c r="AE76" i="39"/>
  <c r="AL76" i="39"/>
  <c r="AF89" i="39"/>
  <c r="AR87" i="39"/>
  <c r="Y75" i="39"/>
  <c r="AD75" i="39"/>
  <c r="X75" i="39"/>
  <c r="X82" i="39"/>
  <c r="Y82" i="39"/>
  <c r="AD82" i="39"/>
  <c r="AE56" i="39"/>
  <c r="AC56" i="39"/>
  <c r="AL56" i="39"/>
  <c r="AB74" i="39"/>
  <c r="AH74" i="39"/>
  <c r="AF70" i="39"/>
  <c r="AC72" i="39"/>
  <c r="AL72" i="39"/>
  <c r="AE72" i="39"/>
  <c r="AD62" i="39"/>
  <c r="X62" i="39"/>
  <c r="Y62" i="39"/>
  <c r="AF69" i="39"/>
  <c r="AF60" i="39"/>
  <c r="AF65" i="39"/>
  <c r="AB54" i="39"/>
  <c r="AH54" i="39"/>
  <c r="AR63" i="39"/>
  <c r="AR65" i="39"/>
  <c r="AE54" i="39"/>
  <c r="AL54" i="39"/>
  <c r="AC54" i="39"/>
  <c r="AD90" i="39"/>
  <c r="X90" i="39"/>
  <c r="Y90" i="39"/>
  <c r="AB88" i="39"/>
  <c r="AH88" i="39"/>
  <c r="AB84" i="39"/>
  <c r="AR77" i="39"/>
  <c r="AR89" i="39"/>
  <c r="AB90" i="39"/>
  <c r="AH90" i="39"/>
  <c r="AC79" i="39"/>
  <c r="AL79" i="39"/>
  <c r="AE79" i="39"/>
  <c r="AH79" i="39"/>
  <c r="AB79" i="39"/>
  <c r="AR71" i="39"/>
  <c r="AC81" i="39"/>
  <c r="AE81" i="39"/>
  <c r="AL81" i="39"/>
  <c r="AC67" i="39"/>
  <c r="AL67" i="39"/>
  <c r="AE67" i="39"/>
  <c r="AD74" i="39"/>
  <c r="Y74" i="39"/>
  <c r="X74" i="39"/>
  <c r="AF66" i="39"/>
  <c r="AF79" i="39"/>
  <c r="AR69" i="39"/>
  <c r="AL66" i="39"/>
  <c r="AC66" i="39"/>
  <c r="AE66" i="39"/>
  <c r="Y63" i="39"/>
  <c r="AD63" i="39"/>
  <c r="X63" i="39"/>
  <c r="AD68" i="39"/>
  <c r="X68" i="39"/>
  <c r="Y68" i="39"/>
  <c r="AH59" i="39"/>
  <c r="AB59" i="39"/>
  <c r="AF57" i="39"/>
  <c r="AF76" i="39"/>
  <c r="AB91" i="39"/>
  <c r="AH91" i="39"/>
  <c r="AR83" i="39"/>
  <c r="X76" i="39"/>
  <c r="Y76" i="39"/>
  <c r="AD76" i="39"/>
  <c r="AE85" i="39"/>
  <c r="AL85" i="39"/>
  <c r="AC85" i="39"/>
  <c r="AC88" i="39"/>
  <c r="AL88" i="39"/>
  <c r="AE88" i="39"/>
  <c r="Y78" i="39"/>
  <c r="X78" i="39"/>
  <c r="AD78" i="39"/>
  <c r="AR81" i="39"/>
  <c r="AF85" i="39"/>
  <c r="AE78" i="39"/>
  <c r="AL78" i="39"/>
  <c r="AC78" i="39"/>
  <c r="AC65" i="39"/>
  <c r="AL65" i="39"/>
  <c r="AE65" i="39"/>
  <c r="X80" i="39"/>
  <c r="AD80" i="39"/>
  <c r="Y80" i="39"/>
  <c r="X61" i="39"/>
  <c r="AF73" i="39"/>
  <c r="AR75" i="39"/>
  <c r="AR68" i="39"/>
  <c r="AH55" i="39"/>
  <c r="AB55" i="39"/>
  <c r="AR55" i="39"/>
  <c r="AR57" i="39"/>
  <c r="X87" i="39"/>
  <c r="AD87" i="39"/>
  <c r="Y87" i="39"/>
  <c r="AB58" i="39"/>
  <c r="AH58" i="39"/>
  <c r="AD85" i="39"/>
  <c r="Y85" i="39"/>
  <c r="AH83" i="39"/>
  <c r="AR82" i="39"/>
  <c r="AB70" i="39"/>
  <c r="AH70" i="39"/>
  <c r="AH78" i="39"/>
  <c r="AF91" i="39"/>
  <c r="AR73" i="39"/>
  <c r="AF61" i="39"/>
  <c r="AB81" i="39"/>
  <c r="AH81" i="39"/>
  <c r="AF71" i="39"/>
  <c r="AD64" i="39"/>
  <c r="X64" i="39"/>
  <c r="Y64" i="39"/>
  <c r="AR76" i="39"/>
  <c r="AR64" i="39"/>
  <c r="AH71" i="39"/>
  <c r="AB71" i="39"/>
  <c r="AC58" i="39"/>
  <c r="AE58" i="39"/>
  <c r="AL58" i="39"/>
  <c r="Y55" i="39"/>
  <c r="AD55" i="39"/>
  <c r="X55" i="39"/>
  <c r="AC63" i="39"/>
  <c r="AL63" i="39"/>
  <c r="AE63" i="39"/>
  <c r="AD60" i="39"/>
  <c r="X60" i="39"/>
  <c r="Y60" i="39"/>
  <c r="AF62" i="39"/>
  <c r="AF64" i="39"/>
  <c r="AH53" i="39"/>
  <c r="AB53" i="39"/>
  <c r="X20" i="39"/>
  <c r="X38" i="39"/>
  <c r="X43" i="39"/>
  <c r="Y34" i="39"/>
  <c r="Y24" i="39"/>
  <c r="Y9" i="39"/>
  <c r="X29" i="39"/>
  <c r="Y13" i="39"/>
  <c r="X4" i="39"/>
  <c r="Y18" i="39"/>
  <c r="Y40" i="39"/>
  <c r="Y10" i="39"/>
  <c r="Y36" i="39"/>
  <c r="X7" i="39"/>
  <c r="Y47" i="39"/>
  <c r="Y27" i="39"/>
  <c r="Y17" i="39"/>
  <c r="X37" i="39"/>
  <c r="Y51" i="39"/>
  <c r="Y44" i="39"/>
  <c r="X49" i="39"/>
  <c r="Y41" i="39"/>
  <c r="Y30" i="39"/>
  <c r="X6" i="39"/>
  <c r="Y23" i="39"/>
  <c r="X46" i="39"/>
  <c r="Y48" i="39"/>
  <c r="X42" i="39"/>
  <c r="X16" i="39"/>
  <c r="Y21" i="39"/>
  <c r="Y25" i="39"/>
  <c r="Y12" i="39"/>
  <c r="X31" i="39"/>
  <c r="Y39" i="39"/>
  <c r="X36" i="39"/>
  <c r="Y22" i="39"/>
  <c r="X10" i="39"/>
  <c r="X17" i="39"/>
  <c r="Y26" i="39"/>
  <c r="X26" i="39"/>
  <c r="Y6" i="39"/>
  <c r="X13" i="39"/>
  <c r="X44" i="39"/>
  <c r="X51" i="39"/>
  <c r="X24" i="39"/>
  <c r="Y8" i="39"/>
  <c r="X50" i="39"/>
  <c r="X18" i="39"/>
  <c r="Y37" i="39"/>
  <c r="X9" i="39"/>
  <c r="Y45" i="39"/>
  <c r="X2" i="39"/>
  <c r="X35" i="39"/>
  <c r="Y35" i="39"/>
  <c r="X23" i="39"/>
  <c r="X40" i="39"/>
  <c r="X19" i="39"/>
  <c r="Y29" i="39"/>
  <c r="X3" i="39"/>
  <c r="X48" i="39"/>
  <c r="X28" i="39"/>
  <c r="X14" i="39"/>
  <c r="Y3" i="39"/>
  <c r="X11" i="39"/>
  <c r="Y14" i="39"/>
  <c r="Y50" i="39"/>
  <c r="Y28" i="39"/>
  <c r="Y31" i="39"/>
  <c r="X39" i="39"/>
  <c r="Y7" i="39"/>
  <c r="Y38" i="39"/>
  <c r="Y16" i="39"/>
  <c r="Y42" i="39"/>
  <c r="Y4" i="39"/>
  <c r="X45" i="39"/>
  <c r="X25" i="39"/>
  <c r="Y46" i="39"/>
  <c r="X12" i="39"/>
  <c r="X47" i="39"/>
  <c r="Y20" i="39"/>
  <c r="B2" i="43"/>
  <c r="R2" i="39"/>
  <c r="Y43" i="39"/>
  <c r="X30" i="39"/>
  <c r="Y49" i="39"/>
  <c r="X27" i="39"/>
  <c r="X33" i="39"/>
  <c r="Y33" i="39"/>
  <c r="X15" i="39"/>
  <c r="X21" i="39"/>
  <c r="Y15" i="39"/>
  <c r="AS51" i="39"/>
  <c r="AR51" i="39"/>
  <c r="AN51" i="39"/>
  <c r="AM51" i="39"/>
  <c r="AL51" i="39"/>
  <c r="AK51" i="39"/>
  <c r="AJ51" i="39"/>
  <c r="AH51" i="39"/>
  <c r="AE51" i="39"/>
  <c r="AD51" i="39"/>
  <c r="AU51" i="39"/>
  <c r="AC51" i="39"/>
  <c r="AF51" i="39" s="1"/>
  <c r="AS50" i="39"/>
  <c r="AR50" i="39"/>
  <c r="AM50" i="39"/>
  <c r="AL50" i="39"/>
  <c r="AK50" i="39"/>
  <c r="AJ50" i="39"/>
  <c r="AH50" i="39"/>
  <c r="AE50" i="39"/>
  <c r="AD50" i="39"/>
  <c r="AU50" i="39"/>
  <c r="AC50" i="39"/>
  <c r="AF50" i="39" s="1"/>
  <c r="AS49" i="39"/>
  <c r="AR49" i="39"/>
  <c r="AN49" i="39"/>
  <c r="AM49" i="39"/>
  <c r="AL49" i="39"/>
  <c r="AK49" i="39"/>
  <c r="AJ49" i="39"/>
  <c r="AH49" i="39"/>
  <c r="AE49" i="39"/>
  <c r="AD49" i="39"/>
  <c r="AU49" i="39"/>
  <c r="AC49" i="39"/>
  <c r="AF49" i="39" s="1"/>
  <c r="AS48" i="39"/>
  <c r="AR48" i="39"/>
  <c r="AN48" i="39"/>
  <c r="AM48" i="39"/>
  <c r="AL48" i="39"/>
  <c r="AK48" i="39"/>
  <c r="AJ48" i="39"/>
  <c r="AH48" i="39"/>
  <c r="AE48" i="39"/>
  <c r="AD48" i="39"/>
  <c r="AU48" i="39"/>
  <c r="AC48" i="39"/>
  <c r="AF48" i="39" s="1"/>
  <c r="AS47" i="39"/>
  <c r="AR47" i="39"/>
  <c r="AN47" i="39"/>
  <c r="AM47" i="39"/>
  <c r="AL47" i="39"/>
  <c r="AK47" i="39"/>
  <c r="AE47" i="39"/>
  <c r="AD47" i="39"/>
  <c r="AU47" i="39"/>
  <c r="AC47" i="39"/>
  <c r="AU46" i="39"/>
  <c r="AS46" i="39"/>
  <c r="AR46" i="39"/>
  <c r="AN46" i="39"/>
  <c r="AM46" i="39"/>
  <c r="AL46" i="39"/>
  <c r="AK46" i="39"/>
  <c r="AJ46" i="39"/>
  <c r="AH46" i="39"/>
  <c r="AE46" i="39"/>
  <c r="AD46" i="39"/>
  <c r="AC46" i="39"/>
  <c r="AF46" i="39" s="1"/>
  <c r="AS45" i="39"/>
  <c r="AR45" i="39"/>
  <c r="AN45" i="39"/>
  <c r="AM45" i="39"/>
  <c r="AL45" i="39"/>
  <c r="AK45" i="39"/>
  <c r="AJ45" i="39"/>
  <c r="AH45" i="39"/>
  <c r="AE45" i="39"/>
  <c r="AD45" i="39"/>
  <c r="AU45" i="39"/>
  <c r="AC45" i="39"/>
  <c r="AF45" i="39" s="1"/>
  <c r="AU44" i="39"/>
  <c r="AS44" i="39"/>
  <c r="AR44" i="39"/>
  <c r="AN44" i="39"/>
  <c r="AM44" i="39"/>
  <c r="AL44" i="39"/>
  <c r="AK44" i="39"/>
  <c r="AJ44" i="39"/>
  <c r="AH44" i="39"/>
  <c r="AE44" i="39"/>
  <c r="AD44" i="39"/>
  <c r="AC44" i="39"/>
  <c r="AF44" i="39" s="1"/>
  <c r="AS43" i="39"/>
  <c r="AR43" i="39"/>
  <c r="AN43" i="39"/>
  <c r="AM43" i="39"/>
  <c r="AL43" i="39"/>
  <c r="AK43" i="39"/>
  <c r="AJ43" i="39"/>
  <c r="AH43" i="39"/>
  <c r="AE43" i="39"/>
  <c r="AD43" i="39"/>
  <c r="AC43" i="39"/>
  <c r="AF43" i="39" s="1"/>
  <c r="AI43" i="39"/>
  <c r="AS42" i="39"/>
  <c r="AR42" i="39"/>
  <c r="AN42" i="39"/>
  <c r="AM42" i="39"/>
  <c r="AL42" i="39"/>
  <c r="AK42" i="39"/>
  <c r="AJ42" i="39"/>
  <c r="AH42" i="39"/>
  <c r="AE42" i="39"/>
  <c r="AD42" i="39"/>
  <c r="AC42" i="39"/>
  <c r="AF42" i="39" s="1"/>
  <c r="AS41" i="39"/>
  <c r="AR41" i="39"/>
  <c r="AN41" i="39"/>
  <c r="AM41" i="39"/>
  <c r="AL41" i="39"/>
  <c r="AK41" i="39"/>
  <c r="AJ41" i="39"/>
  <c r="AH41" i="39"/>
  <c r="AE41" i="39"/>
  <c r="AD41" i="39"/>
  <c r="AU41" i="39"/>
  <c r="AC41" i="39"/>
  <c r="AF41" i="39" s="1"/>
  <c r="AS40" i="39"/>
  <c r="AR40" i="39"/>
  <c r="AN40" i="39"/>
  <c r="AM40" i="39"/>
  <c r="AL40" i="39"/>
  <c r="AK40" i="39"/>
  <c r="AJ40" i="39"/>
  <c r="AH40" i="39"/>
  <c r="AE40" i="39"/>
  <c r="AD40" i="39"/>
  <c r="AC40" i="39"/>
  <c r="AF40" i="39" s="1"/>
  <c r="AI40" i="39"/>
  <c r="AS39" i="39"/>
  <c r="AR39" i="39"/>
  <c r="AN39" i="39"/>
  <c r="AM39" i="39"/>
  <c r="AL39" i="39"/>
  <c r="AK39" i="39"/>
  <c r="AJ39" i="39"/>
  <c r="AH39" i="39"/>
  <c r="AE39" i="39"/>
  <c r="AD39" i="39"/>
  <c r="AU39" i="39"/>
  <c r="AC39" i="39"/>
  <c r="AF39" i="39" s="1"/>
  <c r="AS38" i="39"/>
  <c r="AR38" i="39"/>
  <c r="AN38" i="39"/>
  <c r="AM38" i="39"/>
  <c r="AL38" i="39"/>
  <c r="AK38" i="39"/>
  <c r="AJ38" i="39"/>
  <c r="AH38" i="39"/>
  <c r="AE38" i="39"/>
  <c r="AD38" i="39"/>
  <c r="AU38" i="39"/>
  <c r="AC38" i="39"/>
  <c r="AF38" i="39" s="1"/>
  <c r="AS37" i="39"/>
  <c r="AR37" i="39"/>
  <c r="AN37" i="39"/>
  <c r="AM37" i="39"/>
  <c r="AL37" i="39"/>
  <c r="AK37" i="39"/>
  <c r="AJ37" i="39"/>
  <c r="AH37" i="39"/>
  <c r="AE37" i="39"/>
  <c r="AD37" i="39"/>
  <c r="AU37" i="39"/>
  <c r="AC37" i="39"/>
  <c r="AF37" i="39" s="1"/>
  <c r="AS36" i="39"/>
  <c r="AR36" i="39"/>
  <c r="AN36" i="39"/>
  <c r="AM36" i="39"/>
  <c r="AL36" i="39"/>
  <c r="AK36" i="39"/>
  <c r="AJ36" i="39"/>
  <c r="AH36" i="39"/>
  <c r="AE36" i="39"/>
  <c r="AD36" i="39"/>
  <c r="AU36" i="39"/>
  <c r="AC36" i="39"/>
  <c r="AF36" i="39" s="1"/>
  <c r="AS35" i="39"/>
  <c r="AR35" i="39"/>
  <c r="AN35" i="39"/>
  <c r="AM35" i="39"/>
  <c r="AL35" i="39"/>
  <c r="AK35" i="39"/>
  <c r="AJ35" i="39"/>
  <c r="AH35" i="39"/>
  <c r="AE35" i="39"/>
  <c r="AD35" i="39"/>
  <c r="AU35" i="39"/>
  <c r="AC35" i="39"/>
  <c r="AF35" i="39" s="1"/>
  <c r="AI35" i="39"/>
  <c r="AS34" i="39"/>
  <c r="AR34" i="39"/>
  <c r="AN34" i="39"/>
  <c r="AM34" i="39"/>
  <c r="AL34" i="39"/>
  <c r="AK34" i="39"/>
  <c r="AJ34" i="39"/>
  <c r="AE34" i="39"/>
  <c r="AD34" i="39"/>
  <c r="AU34" i="39"/>
  <c r="AC34" i="39"/>
  <c r="AF34" i="39" s="1"/>
  <c r="AS33" i="39"/>
  <c r="AR33" i="39"/>
  <c r="AN33" i="39"/>
  <c r="AM33" i="39"/>
  <c r="AL33" i="39"/>
  <c r="AK33" i="39"/>
  <c r="AJ33" i="39"/>
  <c r="AH33" i="39"/>
  <c r="AE33" i="39"/>
  <c r="AD33" i="39"/>
  <c r="AU33" i="39"/>
  <c r="AC33" i="39"/>
  <c r="AF33" i="39" s="1"/>
  <c r="AS32" i="39"/>
  <c r="AR32" i="39"/>
  <c r="AN32" i="39"/>
  <c r="AM32" i="39"/>
  <c r="AL32" i="39"/>
  <c r="AK32" i="39"/>
  <c r="AJ32" i="39"/>
  <c r="AH32" i="39"/>
  <c r="AE32" i="39"/>
  <c r="AD32" i="39"/>
  <c r="AU32" i="39"/>
  <c r="AC32" i="39"/>
  <c r="AF32" i="39" s="1"/>
  <c r="AU31" i="39"/>
  <c r="AS31" i="39"/>
  <c r="AR31" i="39"/>
  <c r="AN31" i="39"/>
  <c r="AM31" i="39"/>
  <c r="AL31" i="39"/>
  <c r="AK31" i="39"/>
  <c r="AJ31" i="39"/>
  <c r="AH31" i="39"/>
  <c r="AE31" i="39"/>
  <c r="AD31" i="39"/>
  <c r="AC31" i="39"/>
  <c r="AF31" i="39" s="1"/>
  <c r="AU30" i="39"/>
  <c r="AS30" i="39"/>
  <c r="AR30" i="39"/>
  <c r="AN30" i="39"/>
  <c r="AM30" i="39"/>
  <c r="AL30" i="39"/>
  <c r="AK30" i="39"/>
  <c r="AJ30" i="39"/>
  <c r="AH30" i="39"/>
  <c r="AE30" i="39"/>
  <c r="AD30" i="39"/>
  <c r="AC30" i="39"/>
  <c r="AF30" i="39" s="1"/>
  <c r="AS29" i="39"/>
  <c r="AR29" i="39"/>
  <c r="AN29" i="39"/>
  <c r="AM29" i="39"/>
  <c r="AL29" i="39"/>
  <c r="AK29" i="39"/>
  <c r="AJ29" i="39"/>
  <c r="AH29" i="39"/>
  <c r="AE29" i="39"/>
  <c r="AD29" i="39"/>
  <c r="AU29" i="39"/>
  <c r="AC29" i="39"/>
  <c r="AF29" i="39" s="1"/>
  <c r="AS28" i="39"/>
  <c r="AR28" i="39"/>
  <c r="AN28" i="39"/>
  <c r="AM28" i="39"/>
  <c r="AL28" i="39"/>
  <c r="AK28" i="39"/>
  <c r="AJ28" i="39"/>
  <c r="AH28" i="39"/>
  <c r="AE28" i="39"/>
  <c r="AD28" i="39"/>
  <c r="AU28" i="39"/>
  <c r="AC28" i="39"/>
  <c r="AF28" i="39" s="1"/>
  <c r="AS27" i="39"/>
  <c r="AR27" i="39"/>
  <c r="AN27" i="39"/>
  <c r="AM27" i="39"/>
  <c r="AL27" i="39"/>
  <c r="AK27" i="39"/>
  <c r="AJ27" i="39"/>
  <c r="AH27" i="39"/>
  <c r="AE27" i="39"/>
  <c r="AD27" i="39"/>
  <c r="AU27" i="39"/>
  <c r="AC27" i="39"/>
  <c r="AF27" i="39" s="1"/>
  <c r="AS26" i="39"/>
  <c r="AR26" i="39"/>
  <c r="AN26" i="39"/>
  <c r="AM26" i="39"/>
  <c r="AL26" i="39"/>
  <c r="AK26" i="39"/>
  <c r="AJ26" i="39"/>
  <c r="AH26" i="39"/>
  <c r="AE26" i="39"/>
  <c r="AD26" i="39"/>
  <c r="AU26" i="39"/>
  <c r="AC26" i="39"/>
  <c r="AF26" i="39" s="1"/>
  <c r="AU25" i="39"/>
  <c r="AS25" i="39"/>
  <c r="AR25" i="39"/>
  <c r="AN25" i="39"/>
  <c r="AM25" i="39"/>
  <c r="AL25" i="39"/>
  <c r="AK25" i="39"/>
  <c r="AJ25" i="39"/>
  <c r="AH25" i="39"/>
  <c r="AE25" i="39"/>
  <c r="AD25" i="39"/>
  <c r="AC25" i="39"/>
  <c r="AF25" i="39" s="1"/>
  <c r="AS24" i="39"/>
  <c r="AR24" i="39"/>
  <c r="AN24" i="39"/>
  <c r="AM24" i="39"/>
  <c r="AL24" i="39"/>
  <c r="AK24" i="39"/>
  <c r="AJ24" i="39"/>
  <c r="AH24" i="39"/>
  <c r="AE24" i="39"/>
  <c r="AD24" i="39"/>
  <c r="AU24" i="39"/>
  <c r="AC24" i="39"/>
  <c r="AF24" i="39" s="1"/>
  <c r="AS23" i="39"/>
  <c r="AR23" i="39"/>
  <c r="AN23" i="39"/>
  <c r="AM23" i="39"/>
  <c r="AL23" i="39"/>
  <c r="AK23" i="39"/>
  <c r="AJ23" i="39"/>
  <c r="AH23" i="39"/>
  <c r="AE23" i="39"/>
  <c r="AD23" i="39"/>
  <c r="AU23" i="39"/>
  <c r="AC23" i="39"/>
  <c r="AF23" i="39" s="1"/>
  <c r="AS22" i="39"/>
  <c r="AR22" i="39"/>
  <c r="AN22" i="39"/>
  <c r="AM22" i="39"/>
  <c r="AL22" i="39"/>
  <c r="AK22" i="39"/>
  <c r="AJ22" i="39"/>
  <c r="AH22" i="39"/>
  <c r="AE22" i="39"/>
  <c r="AD22" i="39"/>
  <c r="AU22" i="39"/>
  <c r="AC22" i="39"/>
  <c r="AF22" i="39" s="1"/>
  <c r="AS21" i="39"/>
  <c r="AR21" i="39"/>
  <c r="AN21" i="39"/>
  <c r="AM21" i="39"/>
  <c r="AL21" i="39"/>
  <c r="AK21" i="39"/>
  <c r="AJ21" i="39"/>
  <c r="AH21" i="39"/>
  <c r="AE21" i="39"/>
  <c r="AD21" i="39"/>
  <c r="AU21" i="39"/>
  <c r="AC21" i="39"/>
  <c r="AF21" i="39" s="1"/>
  <c r="AS20" i="39"/>
  <c r="AR20" i="39"/>
  <c r="AN20" i="39"/>
  <c r="AM20" i="39"/>
  <c r="AL20" i="39"/>
  <c r="AK20" i="39"/>
  <c r="AJ20" i="39"/>
  <c r="AH20" i="39"/>
  <c r="AE20" i="39"/>
  <c r="AD20" i="39"/>
  <c r="AU20" i="39"/>
  <c r="AC20" i="39"/>
  <c r="AF20" i="39" s="1"/>
  <c r="AI20" i="39"/>
  <c r="AS19" i="39"/>
  <c r="AR19" i="39"/>
  <c r="AN19" i="39"/>
  <c r="AM19" i="39"/>
  <c r="AL19" i="39"/>
  <c r="AK19" i="39"/>
  <c r="AJ19" i="39"/>
  <c r="AH19" i="39"/>
  <c r="AE19" i="39"/>
  <c r="AU19" i="39"/>
  <c r="AC19" i="39"/>
  <c r="AF19" i="39" s="1"/>
  <c r="AI19" i="39"/>
  <c r="AS18" i="39"/>
  <c r="AR18" i="39"/>
  <c r="AN18" i="39"/>
  <c r="AM18" i="39"/>
  <c r="AL18" i="39"/>
  <c r="AK18" i="39"/>
  <c r="AJ18" i="39"/>
  <c r="AH18" i="39"/>
  <c r="AE18" i="39"/>
  <c r="AD18" i="39"/>
  <c r="AU18" i="39"/>
  <c r="AC18" i="39"/>
  <c r="AF18" i="39" s="1"/>
  <c r="AI18" i="39"/>
  <c r="AU17" i="39"/>
  <c r="AS17" i="39"/>
  <c r="AR17" i="39"/>
  <c r="AN17" i="39"/>
  <c r="AM17" i="39"/>
  <c r="AL17" i="39"/>
  <c r="AK17" i="39"/>
  <c r="AJ17" i="39"/>
  <c r="AH17" i="39"/>
  <c r="AE17" i="39"/>
  <c r="AD17" i="39"/>
  <c r="AC17" i="39"/>
  <c r="AF17" i="39" s="1"/>
  <c r="AS16" i="39"/>
  <c r="AR16" i="39"/>
  <c r="AN16" i="39"/>
  <c r="AM16" i="39"/>
  <c r="AL16" i="39"/>
  <c r="AK16" i="39"/>
  <c r="AJ16" i="39"/>
  <c r="AH16" i="39"/>
  <c r="AE16" i="39"/>
  <c r="AD16" i="39"/>
  <c r="AU16" i="39"/>
  <c r="AC16" i="39"/>
  <c r="AF16" i="39" s="1"/>
  <c r="AS15" i="39"/>
  <c r="AR15" i="39"/>
  <c r="AN15" i="39"/>
  <c r="AM15" i="39"/>
  <c r="AL15" i="39"/>
  <c r="AK15" i="39"/>
  <c r="AJ15" i="39"/>
  <c r="AH15" i="39"/>
  <c r="AE15" i="39"/>
  <c r="AD15" i="39"/>
  <c r="AU15" i="39"/>
  <c r="AC15" i="39"/>
  <c r="AF15" i="39" s="1"/>
  <c r="AS14" i="39"/>
  <c r="AR14" i="39"/>
  <c r="AN14" i="39"/>
  <c r="AM14" i="39"/>
  <c r="AL14" i="39"/>
  <c r="AK14" i="39"/>
  <c r="AJ14" i="39"/>
  <c r="AH14" i="39"/>
  <c r="AE14" i="39"/>
  <c r="AD14" i="39"/>
  <c r="AU14" i="39"/>
  <c r="AC14" i="39"/>
  <c r="AF14" i="39" s="1"/>
  <c r="AS13" i="39"/>
  <c r="AR13" i="39"/>
  <c r="AN13" i="39"/>
  <c r="AM13" i="39"/>
  <c r="AL13" i="39"/>
  <c r="AK13" i="39"/>
  <c r="AJ13" i="39"/>
  <c r="AH13" i="39"/>
  <c r="AE13" i="39"/>
  <c r="AD13" i="39"/>
  <c r="AU13" i="39"/>
  <c r="AC13" i="39"/>
  <c r="AF13" i="39" s="1"/>
  <c r="AS12" i="39"/>
  <c r="AR12" i="39"/>
  <c r="AN12" i="39"/>
  <c r="AM12" i="39"/>
  <c r="AL12" i="39"/>
  <c r="AK12" i="39"/>
  <c r="AJ12" i="39"/>
  <c r="AH12" i="39"/>
  <c r="AE12" i="39"/>
  <c r="AD12" i="39"/>
  <c r="AU12" i="39"/>
  <c r="AC12" i="39"/>
  <c r="AF12" i="39" s="1"/>
  <c r="AI12" i="39"/>
  <c r="AS11" i="39"/>
  <c r="AR11" i="39"/>
  <c r="AN11" i="39"/>
  <c r="AM11" i="39"/>
  <c r="AL11" i="39"/>
  <c r="AK11" i="39"/>
  <c r="AJ11" i="39"/>
  <c r="AH11" i="39"/>
  <c r="AD11" i="39"/>
  <c r="AU11" i="39"/>
  <c r="AC11" i="39"/>
  <c r="AF11" i="39" s="1"/>
  <c r="AI11" i="39"/>
  <c r="AS10" i="39"/>
  <c r="AR10" i="39"/>
  <c r="AN10" i="39"/>
  <c r="AM10" i="39"/>
  <c r="AL10" i="39"/>
  <c r="AK10" i="39"/>
  <c r="AJ10" i="39"/>
  <c r="AH10" i="39"/>
  <c r="AD10" i="39"/>
  <c r="AU10" i="39"/>
  <c r="AC10" i="39"/>
  <c r="AF10" i="39" s="1"/>
  <c r="AS9" i="39"/>
  <c r="AR9" i="39"/>
  <c r="AN9" i="39"/>
  <c r="AM9" i="39"/>
  <c r="AL9" i="39"/>
  <c r="AK9" i="39"/>
  <c r="AJ9" i="39"/>
  <c r="AH9" i="39"/>
  <c r="AD9" i="39"/>
  <c r="AU9" i="39"/>
  <c r="AC9" i="39"/>
  <c r="AF9" i="39" s="1"/>
  <c r="AS8" i="39"/>
  <c r="AR8" i="39"/>
  <c r="AN8" i="39"/>
  <c r="AM8" i="39"/>
  <c r="AL8" i="39"/>
  <c r="AK8" i="39"/>
  <c r="AJ8" i="39"/>
  <c r="AH8" i="39"/>
  <c r="AD8" i="39"/>
  <c r="AU8" i="39"/>
  <c r="AC8" i="39"/>
  <c r="AF8" i="39" s="1"/>
  <c r="AS7" i="39"/>
  <c r="AR7" i="39"/>
  <c r="AN7" i="39"/>
  <c r="AM7" i="39"/>
  <c r="AL7" i="39"/>
  <c r="AK7" i="39"/>
  <c r="AJ7" i="39"/>
  <c r="AH7" i="39"/>
  <c r="AD7" i="39"/>
  <c r="AU7" i="39"/>
  <c r="AC7" i="39"/>
  <c r="AF7" i="39" s="1"/>
  <c r="AS6" i="39"/>
  <c r="AR6" i="39"/>
  <c r="AN6" i="39"/>
  <c r="AM6" i="39"/>
  <c r="AL6" i="39"/>
  <c r="AK6" i="39"/>
  <c r="AJ6" i="39"/>
  <c r="AH6" i="39"/>
  <c r="AD6" i="39"/>
  <c r="AC6" i="39"/>
  <c r="AF6" i="39" s="1"/>
  <c r="AS5" i="39"/>
  <c r="AR5" i="39"/>
  <c r="AN5" i="39"/>
  <c r="AM5" i="39"/>
  <c r="AL5" i="39"/>
  <c r="AK5" i="39"/>
  <c r="AJ5" i="39"/>
  <c r="AH5" i="39"/>
  <c r="AD5" i="39"/>
  <c r="AC5" i="39"/>
  <c r="AF5" i="39" s="1"/>
  <c r="AI5" i="39"/>
  <c r="AS4" i="39"/>
  <c r="AR4" i="39"/>
  <c r="AN4" i="39"/>
  <c r="AM4" i="39"/>
  <c r="AL4" i="39"/>
  <c r="AK4" i="39"/>
  <c r="AJ4" i="39"/>
  <c r="AH4" i="39"/>
  <c r="AD4" i="39"/>
  <c r="AC4" i="39"/>
  <c r="AF4" i="39" s="1"/>
  <c r="AI4" i="39"/>
  <c r="AS3" i="39"/>
  <c r="AR3" i="39"/>
  <c r="AN3" i="39"/>
  <c r="AM3" i="39"/>
  <c r="AL3" i="39"/>
  <c r="AK3" i="39"/>
  <c r="AJ3" i="39"/>
  <c r="AH3" i="39"/>
  <c r="AD3" i="39"/>
  <c r="AF3" i="39"/>
  <c r="AS2" i="39"/>
  <c r="AR2" i="39"/>
  <c r="AN2" i="39"/>
  <c r="AM2" i="39"/>
  <c r="AL2" i="39"/>
  <c r="AK2" i="39"/>
  <c r="AJ2" i="39"/>
  <c r="AH2" i="39"/>
  <c r="AD2" i="39"/>
  <c r="AU2" i="39"/>
  <c r="AF2" i="39"/>
  <c r="AH34" i="39" l="1"/>
  <c r="AF47" i="39"/>
  <c r="X8" i="39"/>
  <c r="X73" i="39"/>
  <c r="AR85" i="39"/>
  <c r="AD61" i="39"/>
  <c r="AB73" i="39"/>
  <c r="AB52" i="39"/>
  <c r="V52" i="39" s="1"/>
  <c r="AH47" i="39"/>
  <c r="X5" i="39"/>
  <c r="Y11" i="39"/>
  <c r="Y19" i="39"/>
  <c r="X22" i="39"/>
  <c r="AB86" i="39"/>
  <c r="Y69" i="39"/>
  <c r="AR91" i="39"/>
  <c r="AD86" i="39"/>
  <c r="X86" i="39"/>
  <c r="Y86" i="39"/>
  <c r="Y2" i="39"/>
  <c r="X57" i="39"/>
  <c r="Y91" i="39"/>
  <c r="Y5" i="39"/>
  <c r="AH61" i="39"/>
  <c r="Z75" i="39"/>
  <c r="Z59" i="39"/>
  <c r="AP59" i="39" s="1"/>
  <c r="Z90" i="39"/>
  <c r="AP90" i="39" s="1"/>
  <c r="Z72" i="39"/>
  <c r="AP72" i="39" s="1"/>
  <c r="Z88" i="39"/>
  <c r="AP88" i="39" s="1"/>
  <c r="Z25" i="39"/>
  <c r="Z67" i="39"/>
  <c r="AP67" i="39" s="1"/>
  <c r="AP19" i="39"/>
  <c r="Z7" i="39"/>
  <c r="AP7" i="39" s="1"/>
  <c r="Z84" i="39"/>
  <c r="AP84" i="39" s="1"/>
  <c r="Z54" i="39"/>
  <c r="AP54" i="39" s="1"/>
  <c r="Z65" i="39"/>
  <c r="AP68" i="39"/>
  <c r="AP80" i="39"/>
  <c r="AP87" i="39"/>
  <c r="AP89" i="39"/>
  <c r="Z83" i="39"/>
  <c r="AP83" i="39" s="1"/>
  <c r="Z85" i="39"/>
  <c r="AP85" i="39" s="1"/>
  <c r="Z49" i="39"/>
  <c r="AP49" i="39" s="1"/>
  <c r="Z70" i="39"/>
  <c r="AP70" i="39" s="1"/>
  <c r="Z74" i="39"/>
  <c r="AP74" i="39" s="1"/>
  <c r="Z66" i="39"/>
  <c r="AP66" i="39" s="1"/>
  <c r="Z60" i="39"/>
  <c r="AP60" i="39" s="1"/>
  <c r="Z57" i="39"/>
  <c r="Z76" i="39"/>
  <c r="AP76" i="39" s="1"/>
  <c r="Z62" i="39"/>
  <c r="AP62" i="39" s="1"/>
  <c r="AP53" i="39"/>
  <c r="Z82" i="39"/>
  <c r="AP82" i="39" s="1"/>
  <c r="Z77" i="39"/>
  <c r="AP77" i="39" s="1"/>
  <c r="Z58" i="39"/>
  <c r="AP58" i="39" s="1"/>
  <c r="Z9" i="39"/>
  <c r="AP9" i="39" s="1"/>
  <c r="Z63" i="39"/>
  <c r="AP63" i="39" s="1"/>
  <c r="Z81" i="39"/>
  <c r="AP81" i="39" s="1"/>
  <c r="Z79" i="39"/>
  <c r="AP79" i="39" s="1"/>
  <c r="Y32" i="39"/>
  <c r="X32" i="39"/>
  <c r="AD73" i="39"/>
  <c r="AD91" i="39"/>
  <c r="X34" i="39"/>
  <c r="Y73" i="39"/>
  <c r="AB72" i="39"/>
  <c r="V72" i="39" s="1"/>
  <c r="AO16" i="39"/>
  <c r="AO23" i="39"/>
  <c r="AD66" i="39"/>
  <c r="X91" i="39"/>
  <c r="X66" i="39"/>
  <c r="Y70" i="39"/>
  <c r="Y84" i="39"/>
  <c r="Y58" i="39"/>
  <c r="AR61" i="39"/>
  <c r="AO37" i="39"/>
  <c r="X83" i="39"/>
  <c r="AB75" i="39"/>
  <c r="Y52" i="39"/>
  <c r="AO73" i="39"/>
  <c r="X58" i="39"/>
  <c r="Y83" i="39"/>
  <c r="X77" i="39"/>
  <c r="AD77" i="39"/>
  <c r="Y59" i="39"/>
  <c r="AR78" i="39"/>
  <c r="AD58" i="39"/>
  <c r="AO58" i="39"/>
  <c r="AD59" i="39"/>
  <c r="AO18" i="39"/>
  <c r="AR70" i="39"/>
  <c r="AD83" i="39"/>
  <c r="AO80" i="39"/>
  <c r="AO45" i="39"/>
  <c r="AH67" i="39"/>
  <c r="AP56" i="39"/>
  <c r="AP65" i="39"/>
  <c r="AP41" i="39"/>
  <c r="X59" i="39"/>
  <c r="AR59" i="39"/>
  <c r="AR67" i="39"/>
  <c r="AH77" i="39"/>
  <c r="AH85" i="39"/>
  <c r="AO78" i="39"/>
  <c r="AO88" i="39"/>
  <c r="AP86" i="39"/>
  <c r="AP14" i="39"/>
  <c r="AP75" i="39"/>
  <c r="AP18" i="39"/>
  <c r="AP61" i="39"/>
  <c r="AP2" i="39"/>
  <c r="AP20" i="39"/>
  <c r="AP24" i="39"/>
  <c r="AP78" i="39"/>
  <c r="AP91" i="39"/>
  <c r="AP64" i="39"/>
  <c r="AP11" i="39"/>
  <c r="AP15" i="39"/>
  <c r="AP46" i="39"/>
  <c r="AP71" i="39"/>
  <c r="AP6" i="39"/>
  <c r="AP73" i="39"/>
  <c r="AP57" i="39"/>
  <c r="AP47" i="39"/>
  <c r="AO36" i="39"/>
  <c r="AP55" i="39"/>
  <c r="AP52" i="39"/>
  <c r="AP69" i="39"/>
  <c r="Y67" i="39"/>
  <c r="X72" i="39"/>
  <c r="AO5" i="39"/>
  <c r="AB69" i="39"/>
  <c r="AI69" i="39" s="1"/>
  <c r="AO14" i="39"/>
  <c r="AO48" i="39"/>
  <c r="X71" i="39"/>
  <c r="Y72" i="39"/>
  <c r="AO71" i="39"/>
  <c r="AO50" i="39"/>
  <c r="AO15" i="39"/>
  <c r="Y61" i="39"/>
  <c r="AR84" i="39"/>
  <c r="Y77" i="39"/>
  <c r="AR86" i="39"/>
  <c r="AD72" i="39"/>
  <c r="AR56" i="39"/>
  <c r="AD70" i="39"/>
  <c r="AD84" i="39"/>
  <c r="AR72" i="39"/>
  <c r="AD69" i="39"/>
  <c r="AR60" i="39"/>
  <c r="AD67" i="39"/>
  <c r="X67" i="39"/>
  <c r="AO6" i="39"/>
  <c r="AO8" i="39"/>
  <c r="AO42" i="39"/>
  <c r="AO55" i="39"/>
  <c r="AO9" i="39"/>
  <c r="AO27" i="39"/>
  <c r="AO11" i="39"/>
  <c r="AO84" i="39"/>
  <c r="AO52" i="39"/>
  <c r="AO30" i="39"/>
  <c r="AO35" i="39"/>
  <c r="AO74" i="39"/>
  <c r="AO32" i="39"/>
  <c r="AO41" i="39"/>
  <c r="AO39" i="39"/>
  <c r="AO13" i="39"/>
  <c r="AO29" i="39"/>
  <c r="AO77" i="39"/>
  <c r="AO21" i="39"/>
  <c r="AO24" i="39"/>
  <c r="AO69" i="39"/>
  <c r="AO20" i="39"/>
  <c r="AO34" i="39"/>
  <c r="AO60" i="39"/>
  <c r="AO10" i="39"/>
  <c r="AO64" i="39"/>
  <c r="AO47" i="39"/>
  <c r="AO38" i="39"/>
  <c r="AO61" i="39"/>
  <c r="AO91" i="39"/>
  <c r="AO86" i="39"/>
  <c r="AO3" i="39"/>
  <c r="AO70" i="39"/>
  <c r="AO22" i="39"/>
  <c r="AO28" i="39"/>
  <c r="V73" i="39"/>
  <c r="W73" i="39"/>
  <c r="V60" i="39"/>
  <c r="W60" i="39"/>
  <c r="V86" i="39"/>
  <c r="W86" i="39"/>
  <c r="V28" i="39"/>
  <c r="W28" i="39"/>
  <c r="V11" i="39"/>
  <c r="W11" i="39"/>
  <c r="AW11" i="39" s="1"/>
  <c r="V36" i="39"/>
  <c r="W36" i="39"/>
  <c r="AT36" i="39" s="1"/>
  <c r="V46" i="39"/>
  <c r="W46" i="39"/>
  <c r="AW46" i="39" s="1"/>
  <c r="W45" i="39"/>
  <c r="AW45" i="39" s="1"/>
  <c r="V45" i="39"/>
  <c r="V83" i="39"/>
  <c r="W83" i="39"/>
  <c r="V90" i="39"/>
  <c r="W90" i="39"/>
  <c r="V62" i="39"/>
  <c r="W62" i="39"/>
  <c r="V82" i="39"/>
  <c r="W82" i="39"/>
  <c r="W47" i="39"/>
  <c r="V47" i="39"/>
  <c r="V22" i="39"/>
  <c r="W22" i="39"/>
  <c r="AV22" i="39" s="1"/>
  <c r="V15" i="39"/>
  <c r="W15" i="39"/>
  <c r="W25" i="39"/>
  <c r="AT25" i="39" s="1"/>
  <c r="V25" i="39"/>
  <c r="W27" i="39"/>
  <c r="AW27" i="39" s="1"/>
  <c r="V27" i="39"/>
  <c r="V35" i="39"/>
  <c r="W35" i="39"/>
  <c r="AW35" i="39" s="1"/>
  <c r="V81" i="39"/>
  <c r="W81" i="39"/>
  <c r="V59" i="39"/>
  <c r="W59" i="39"/>
  <c r="V88" i="39"/>
  <c r="W88" i="39"/>
  <c r="V56" i="39"/>
  <c r="W56" i="39"/>
  <c r="V38" i="39"/>
  <c r="W38" i="39"/>
  <c r="AW38" i="39" s="1"/>
  <c r="V10" i="39"/>
  <c r="W10" i="39"/>
  <c r="AW10" i="39" s="1"/>
  <c r="W37" i="39"/>
  <c r="AW37" i="39" s="1"/>
  <c r="V37" i="39"/>
  <c r="W53" i="39"/>
  <c r="V53" i="39"/>
  <c r="V70" i="39"/>
  <c r="W70" i="39"/>
  <c r="W55" i="39"/>
  <c r="V55" i="39"/>
  <c r="V57" i="39"/>
  <c r="W57" i="39"/>
  <c r="V68" i="39"/>
  <c r="W68" i="39"/>
  <c r="V65" i="39"/>
  <c r="W65" i="39"/>
  <c r="V66" i="39"/>
  <c r="W66" i="39"/>
  <c r="V9" i="39"/>
  <c r="W9" i="39"/>
  <c r="AV9" i="39" s="1"/>
  <c r="W21" i="39"/>
  <c r="AT21" i="39" s="1"/>
  <c r="V21" i="39"/>
  <c r="V29" i="39"/>
  <c r="W29" i="39"/>
  <c r="AT29" i="39" s="1"/>
  <c r="V16" i="39"/>
  <c r="W16" i="39"/>
  <c r="W43" i="39"/>
  <c r="AV43" i="39" s="1"/>
  <c r="V43" i="39"/>
  <c r="W51" i="39"/>
  <c r="V51" i="39"/>
  <c r="V71" i="39"/>
  <c r="W71" i="39"/>
  <c r="V79" i="39"/>
  <c r="W79" i="39"/>
  <c r="V54" i="39"/>
  <c r="W54" i="39"/>
  <c r="V76" i="39"/>
  <c r="W76" i="39"/>
  <c r="V20" i="39"/>
  <c r="W20" i="39"/>
  <c r="AW20" i="39" s="1"/>
  <c r="V19" i="39"/>
  <c r="W19" i="39"/>
  <c r="AW19" i="39" s="1"/>
  <c r="V44" i="39"/>
  <c r="W44" i="39"/>
  <c r="AT44" i="39" s="1"/>
  <c r="V58" i="39"/>
  <c r="W58" i="39"/>
  <c r="V74" i="39"/>
  <c r="W74" i="39"/>
  <c r="V85" i="39"/>
  <c r="W85" i="39"/>
  <c r="V8" i="39"/>
  <c r="W8" i="39"/>
  <c r="W23" i="39"/>
  <c r="AW23" i="39" s="1"/>
  <c r="V23" i="39"/>
  <c r="W49" i="39"/>
  <c r="V49" i="39"/>
  <c r="W31" i="39"/>
  <c r="AW31" i="39" s="1"/>
  <c r="V31" i="39"/>
  <c r="W69" i="39"/>
  <c r="V84" i="39"/>
  <c r="W84" i="39"/>
  <c r="V67" i="39"/>
  <c r="W67" i="39"/>
  <c r="W77" i="39"/>
  <c r="V77" i="39"/>
  <c r="V80" i="39"/>
  <c r="W80" i="39"/>
  <c r="V63" i="39"/>
  <c r="W63" i="39"/>
  <c r="V34" i="39"/>
  <c r="W34" i="39"/>
  <c r="AV34" i="39" s="1"/>
  <c r="W41" i="39"/>
  <c r="AT41" i="39" s="1"/>
  <c r="V41" i="39"/>
  <c r="V14" i="39"/>
  <c r="W14" i="39"/>
  <c r="AV14" i="39" s="1"/>
  <c r="W50" i="39"/>
  <c r="AV50" i="39" s="1"/>
  <c r="V50" i="39"/>
  <c r="V13" i="39"/>
  <c r="W13" i="39"/>
  <c r="AW13" i="39" s="1"/>
  <c r="V7" i="39"/>
  <c r="W7" i="39"/>
  <c r="V30" i="39"/>
  <c r="W30" i="39"/>
  <c r="AV30" i="39" s="1"/>
  <c r="V48" i="39"/>
  <c r="W48" i="39"/>
  <c r="AV48" i="39" s="1"/>
  <c r="V18" i="39"/>
  <c r="W18" i="39"/>
  <c r="AT18" i="39" s="1"/>
  <c r="W33" i="39"/>
  <c r="AV33" i="39" s="1"/>
  <c r="V33" i="39"/>
  <c r="V26" i="39"/>
  <c r="W26" i="39"/>
  <c r="AW26" i="39" s="1"/>
  <c r="V78" i="39"/>
  <c r="W78" i="39"/>
  <c r="V91" i="39"/>
  <c r="W91" i="39"/>
  <c r="W61" i="39"/>
  <c r="V61" i="39"/>
  <c r="V89" i="39"/>
  <c r="W89" i="39"/>
  <c r="V64" i="39"/>
  <c r="W64" i="39"/>
  <c r="V75" i="39"/>
  <c r="W75" i="39"/>
  <c r="V87" i="39"/>
  <c r="W87" i="39"/>
  <c r="V32" i="39"/>
  <c r="W32" i="39"/>
  <c r="AW32" i="39" s="1"/>
  <c r="V6" i="39"/>
  <c r="W6" i="39"/>
  <c r="AV6" i="39" s="1"/>
  <c r="V42" i="39"/>
  <c r="W42" i="39"/>
  <c r="V3" i="39"/>
  <c r="W3" i="39"/>
  <c r="V5" i="39"/>
  <c r="W5" i="39"/>
  <c r="W39" i="39"/>
  <c r="V39" i="39"/>
  <c r="V24" i="39"/>
  <c r="W24" i="39"/>
  <c r="AV24" i="39" s="1"/>
  <c r="W2" i="39"/>
  <c r="AV2" i="39" s="1"/>
  <c r="V2" i="39"/>
  <c r="V4" i="39"/>
  <c r="W4" i="39"/>
  <c r="V12" i="39"/>
  <c r="W12" i="39"/>
  <c r="AW12" i="39" s="1"/>
  <c r="V17" i="39"/>
  <c r="W17" i="39"/>
  <c r="AT17" i="39" s="1"/>
  <c r="V40" i="39"/>
  <c r="W40" i="39"/>
  <c r="AW40" i="39" s="1"/>
  <c r="AI70" i="39"/>
  <c r="AI59" i="39"/>
  <c r="AI71" i="39"/>
  <c r="AI81" i="39"/>
  <c r="AI79" i="39"/>
  <c r="AI64" i="39"/>
  <c r="AI68" i="39"/>
  <c r="AI82" i="39"/>
  <c r="AI90" i="39"/>
  <c r="AI84" i="39"/>
  <c r="AI60" i="39"/>
  <c r="AI62" i="39"/>
  <c r="AI56" i="39"/>
  <c r="AI78" i="39"/>
  <c r="AI91" i="39"/>
  <c r="AI54" i="39"/>
  <c r="AI63" i="39"/>
  <c r="AI66" i="39"/>
  <c r="AI57" i="39"/>
  <c r="AI72" i="39"/>
  <c r="AI58" i="39"/>
  <c r="AI55" i="39"/>
  <c r="AI61" i="39"/>
  <c r="AI85" i="39"/>
  <c r="AI53" i="39"/>
  <c r="AI74" i="39"/>
  <c r="AI67" i="39"/>
  <c r="AI86" i="39"/>
  <c r="AI76" i="39"/>
  <c r="AI77" i="39"/>
  <c r="AI65" i="39"/>
  <c r="AI83" i="39"/>
  <c r="AI88" i="39"/>
  <c r="AI73" i="39"/>
  <c r="AI89" i="39"/>
  <c r="AI75" i="39"/>
  <c r="AI80" i="39"/>
  <c r="AI87" i="39"/>
  <c r="AP23" i="39"/>
  <c r="AP50" i="39"/>
  <c r="AP12" i="39"/>
  <c r="AP22" i="39"/>
  <c r="AP38" i="39"/>
  <c r="AP25" i="39"/>
  <c r="AP28" i="39"/>
  <c r="AP36" i="39"/>
  <c r="AP44" i="39"/>
  <c r="AP10" i="39"/>
  <c r="AP29" i="39"/>
  <c r="AP8" i="39"/>
  <c r="AP21" i="39"/>
  <c r="AP48" i="39"/>
  <c r="AP31" i="39"/>
  <c r="AP16" i="39"/>
  <c r="AP34" i="39"/>
  <c r="AP26" i="39"/>
  <c r="AP33" i="39"/>
  <c r="AP45" i="39"/>
  <c r="AP51" i="39"/>
  <c r="AP37" i="39"/>
  <c r="AP35" i="39"/>
  <c r="AP27" i="39"/>
  <c r="AP30" i="39"/>
  <c r="AP32" i="39"/>
  <c r="AP39" i="39"/>
  <c r="AP13" i="39"/>
  <c r="AP17" i="39"/>
  <c r="AI33" i="39"/>
  <c r="AU3" i="39"/>
  <c r="AU43" i="39"/>
  <c r="AI45" i="39"/>
  <c r="AI50" i="39"/>
  <c r="AI36" i="39"/>
  <c r="AU5" i="39"/>
  <c r="AI46" i="39"/>
  <c r="AU4" i="39"/>
  <c r="AV10" i="39"/>
  <c r="AI48" i="39"/>
  <c r="AI29" i="39"/>
  <c r="AI13" i="39"/>
  <c r="AI31" i="39"/>
  <c r="AI41" i="39"/>
  <c r="AI10" i="39"/>
  <c r="AI2" i="39"/>
  <c r="AI7" i="39"/>
  <c r="AI14" i="39"/>
  <c r="AI16" i="39"/>
  <c r="AI6" i="39"/>
  <c r="AI3" i="39"/>
  <c r="AI8" i="39"/>
  <c r="AI15" i="39"/>
  <c r="AI22" i="39"/>
  <c r="AI23" i="39"/>
  <c r="AI37" i="39"/>
  <c r="AU42" i="39"/>
  <c r="AI51" i="39"/>
  <c r="AI21" i="39"/>
  <c r="AI24" i="39"/>
  <c r="AI25" i="39"/>
  <c r="AI30" i="39"/>
  <c r="AI9" i="39"/>
  <c r="AI17" i="39"/>
  <c r="AI44" i="39"/>
  <c r="AI28" i="39"/>
  <c r="AI47" i="39"/>
  <c r="AI39" i="39"/>
  <c r="AU40" i="39"/>
  <c r="AI42" i="39"/>
  <c r="AI27" i="39"/>
  <c r="AI34" i="39"/>
  <c r="AI49" i="39"/>
  <c r="AI38" i="39"/>
  <c r="AI26" i="39"/>
  <c r="AI32" i="39"/>
  <c r="AV45" i="39"/>
  <c r="W52" i="39" l="1"/>
  <c r="AI52" i="39"/>
  <c r="W72" i="39"/>
  <c r="AT10" i="39"/>
  <c r="AW41" i="39"/>
  <c r="V69" i="39"/>
  <c r="AW25" i="39"/>
  <c r="AV25" i="39"/>
  <c r="AW2" i="39"/>
  <c r="AV44" i="39"/>
  <c r="AT46" i="39"/>
  <c r="AW33" i="39"/>
  <c r="AV41" i="39"/>
  <c r="AT33" i="39"/>
  <c r="AT32" i="39"/>
  <c r="AV32" i="39"/>
  <c r="AT14" i="39"/>
  <c r="AT2" i="39"/>
  <c r="AT30" i="39"/>
  <c r="AT26" i="39"/>
  <c r="AW14" i="39"/>
  <c r="AT22" i="39"/>
  <c r="AV37" i="39"/>
  <c r="AT45" i="39"/>
  <c r="AW30" i="39"/>
  <c r="AW22" i="39"/>
  <c r="AT31" i="39"/>
  <c r="AV46" i="39"/>
  <c r="AV26" i="39"/>
  <c r="AV31" i="39"/>
  <c r="AT37" i="39"/>
  <c r="AV13" i="39"/>
  <c r="AW34" i="39"/>
  <c r="AT34" i="39"/>
  <c r="AW44" i="39"/>
  <c r="AT23" i="39"/>
  <c r="AT13" i="39"/>
  <c r="AV23" i="39"/>
  <c r="AV17" i="39"/>
  <c r="AT9" i="39"/>
  <c r="AT24" i="39"/>
  <c r="AW24" i="39"/>
  <c r="AW17" i="39"/>
  <c r="AW9" i="39"/>
  <c r="AV12" i="39"/>
  <c r="AV87" i="39"/>
  <c r="AW87" i="39"/>
  <c r="AT87" i="39"/>
  <c r="AT65" i="39"/>
  <c r="AV65" i="39"/>
  <c r="AW65" i="39"/>
  <c r="AT57" i="39"/>
  <c r="AV57" i="39"/>
  <c r="AW57" i="39"/>
  <c r="AT84" i="39"/>
  <c r="AV84" i="39"/>
  <c r="AW84" i="39"/>
  <c r="AT69" i="39"/>
  <c r="AW69" i="39"/>
  <c r="AV69" i="39"/>
  <c r="AT86" i="39"/>
  <c r="AV86" i="39"/>
  <c r="AW86" i="39"/>
  <c r="AT63" i="39"/>
  <c r="AV63" i="39"/>
  <c r="AW63" i="39"/>
  <c r="AV62" i="39"/>
  <c r="AW62" i="39"/>
  <c r="AT62" i="39"/>
  <c r="AT80" i="39"/>
  <c r="AV80" i="39"/>
  <c r="AW80" i="39"/>
  <c r="AT55" i="39"/>
  <c r="AW55" i="39"/>
  <c r="AV55" i="39"/>
  <c r="AV54" i="39"/>
  <c r="AW54" i="39"/>
  <c r="AT54" i="39"/>
  <c r="AT52" i="39"/>
  <c r="AV52" i="39"/>
  <c r="AW52" i="39"/>
  <c r="AW64" i="39"/>
  <c r="AT64" i="39"/>
  <c r="AV64" i="39"/>
  <c r="AT75" i="39"/>
  <c r="AW75" i="39"/>
  <c r="AV75" i="39"/>
  <c r="AV74" i="39"/>
  <c r="AW74" i="39"/>
  <c r="AT74" i="39"/>
  <c r="AV53" i="39"/>
  <c r="AT53" i="39"/>
  <c r="AW53" i="39"/>
  <c r="AT60" i="39"/>
  <c r="AW60" i="39"/>
  <c r="AV60" i="39"/>
  <c r="AV82" i="39"/>
  <c r="AW82" i="39"/>
  <c r="AT82" i="39"/>
  <c r="AT71" i="39"/>
  <c r="AV71" i="39"/>
  <c r="AW71" i="39"/>
  <c r="AV77" i="39"/>
  <c r="AW77" i="39"/>
  <c r="AT77" i="39"/>
  <c r="AV76" i="39"/>
  <c r="AT76" i="39"/>
  <c r="AW76" i="39"/>
  <c r="AV85" i="39"/>
  <c r="AW85" i="39"/>
  <c r="AT85" i="39"/>
  <c r="AT72" i="39"/>
  <c r="AV72" i="39"/>
  <c r="AW72" i="39"/>
  <c r="AT78" i="39"/>
  <c r="AW78" i="39"/>
  <c r="AV78" i="39"/>
  <c r="AV90" i="39"/>
  <c r="AW90" i="39"/>
  <c r="AT90" i="39"/>
  <c r="AT67" i="39"/>
  <c r="AV67" i="39"/>
  <c r="AW67" i="39"/>
  <c r="AV61" i="39"/>
  <c r="AW61" i="39"/>
  <c r="AT61" i="39"/>
  <c r="AW56" i="39"/>
  <c r="AV56" i="39"/>
  <c r="AT56" i="39"/>
  <c r="AV73" i="39"/>
  <c r="AW73" i="39"/>
  <c r="AT73" i="39"/>
  <c r="AT88" i="39"/>
  <c r="AW88" i="39"/>
  <c r="AV88" i="39"/>
  <c r="AT83" i="39"/>
  <c r="AW83" i="39"/>
  <c r="AV83" i="39"/>
  <c r="AW58" i="39"/>
  <c r="AT58" i="39"/>
  <c r="AV58" i="39"/>
  <c r="AW66" i="39"/>
  <c r="AT66" i="39"/>
  <c r="AV66" i="39"/>
  <c r="AT91" i="39"/>
  <c r="AV91" i="39"/>
  <c r="AW91" i="39"/>
  <c r="AW79" i="39"/>
  <c r="AT79" i="39"/>
  <c r="AV79" i="39"/>
  <c r="AV81" i="39"/>
  <c r="AW81" i="39"/>
  <c r="AT81" i="39"/>
  <c r="AT59" i="39"/>
  <c r="AV59" i="39"/>
  <c r="AW59" i="39"/>
  <c r="AW70" i="39"/>
  <c r="AT70" i="39"/>
  <c r="AV70" i="39"/>
  <c r="AT89" i="39"/>
  <c r="AV89" i="39"/>
  <c r="AW89" i="39"/>
  <c r="AW68" i="39"/>
  <c r="AV68" i="39"/>
  <c r="AT68" i="39"/>
  <c r="AV35" i="39"/>
  <c r="AT35" i="39"/>
  <c r="AT11" i="39"/>
  <c r="AP40" i="39"/>
  <c r="AP5" i="39"/>
  <c r="AP43" i="39"/>
  <c r="AP42" i="39"/>
  <c r="AP4" i="39"/>
  <c r="AP3" i="39"/>
  <c r="AT12" i="39"/>
  <c r="AV11" i="39"/>
  <c r="AW29" i="39"/>
  <c r="AW21" i="39"/>
  <c r="AW50" i="39"/>
  <c r="AV21" i="39"/>
  <c r="AT20" i="39"/>
  <c r="AV20" i="39"/>
  <c r="AT19" i="39"/>
  <c r="AT50" i="39"/>
  <c r="AV29" i="39"/>
  <c r="AV38" i="39"/>
  <c r="AT38" i="39"/>
  <c r="AV19" i="39"/>
  <c r="AV40" i="39"/>
  <c r="AT5" i="39"/>
  <c r="AV36" i="39"/>
  <c r="AV5" i="39"/>
  <c r="AT43" i="39"/>
  <c r="AT27" i="39"/>
  <c r="AW36" i="39"/>
  <c r="AV27" i="39"/>
  <c r="AW5" i="39"/>
  <c r="AW43" i="39"/>
  <c r="AW6" i="39"/>
  <c r="AW48" i="39"/>
  <c r="AT48" i="39"/>
  <c r="AW18" i="39"/>
  <c r="AV18" i="39"/>
  <c r="AV4" i="39"/>
  <c r="AW4" i="39"/>
  <c r="AT4" i="39"/>
  <c r="AW42" i="39"/>
  <c r="AV42" i="39"/>
  <c r="AT42" i="39"/>
  <c r="AW49" i="39"/>
  <c r="AV49" i="39"/>
  <c r="AT49" i="39"/>
  <c r="AW28" i="39"/>
  <c r="AV28" i="39"/>
  <c r="AT28" i="39"/>
  <c r="AV15" i="39"/>
  <c r="AW15" i="39"/>
  <c r="AT15" i="39"/>
  <c r="AT16" i="39"/>
  <c r="AV16" i="39"/>
  <c r="AW16" i="39"/>
  <c r="AW47" i="39"/>
  <c r="AV47" i="39"/>
  <c r="AT47" i="39"/>
  <c r="AW51" i="39"/>
  <c r="AT51" i="39"/>
  <c r="AV51" i="39"/>
  <c r="AT8" i="39"/>
  <c r="AW8" i="39"/>
  <c r="AV8" i="39"/>
  <c r="AW39" i="39"/>
  <c r="AV39" i="39"/>
  <c r="AT39" i="39"/>
  <c r="AT40" i="39"/>
  <c r="AV7" i="39"/>
  <c r="AW7" i="39"/>
  <c r="AT7" i="39"/>
  <c r="AT3" i="39"/>
  <c r="AW3" i="39"/>
  <c r="AV3" i="39"/>
  <c r="AU6" i="39" l="1"/>
  <c r="AT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<sst xmlns="http://schemas.openxmlformats.org/spreadsheetml/2006/main" count="34445" uniqueCount="28585">
  <si>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</si>
  <si>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</si>
  <si>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</si>
  <si>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</si>
  <si>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</si>
  <si>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</si>
  <si>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</si>
  <si>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</si>
  <si>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</si>
  <si>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</si>
  <si>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</si>
  <si>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</si>
  <si>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</si>
  <si>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</si>
  <si>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</si>
  <si>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</si>
  <si>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</si>
  <si>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</si>
  <si>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</si>
  <si>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</si>
  <si>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</si>
  <si>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</si>
  <si>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</si>
  <si>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</si>
  <si>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</si>
  <si>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</si>
  <si>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</si>
  <si>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</si>
  <si>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</si>
  <si>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</si>
  <si>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</si>
  <si>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</si>
  <si>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</si>
  <si>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</si>
  <si>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</si>
  <si>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</si>
  <si>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</si>
  <si>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</si>
  <si>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</si>
  <si>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</si>
  <si>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</si>
  <si>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</si>
  <si>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</si>
  <si>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</si>
  <si>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</si>
  <si>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</si>
  <si>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</si>
  <si>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</si>
  <si>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</si>
  <si>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</si>
  <si>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</si>
  <si>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</si>
  <si>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</si>
  <si>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</si>
  <si>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</si>
  <si>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</si>
  <si>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</si>
  <si>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</si>
  <si>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</si>
  <si>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</si>
  <si>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</si>
  <si>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</si>
  <si>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</si>
  <si>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</si>
  <si>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</si>
  <si>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</si>
  <si>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</si>
  <si>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</si>
  <si>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</si>
  <si>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</si>
  <si>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</si>
  <si>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</si>
  <si>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</si>
  <si>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</si>
  <si>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</si>
  <si>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</si>
  <si>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</si>
  <si>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</si>
  <si>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</si>
  <si>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</si>
  <si>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</si>
  <si>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</si>
  <si>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</si>
  <si>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</si>
  <si>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</si>
  <si>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</si>
  <si>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</si>
  <si>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</si>
  <si>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</si>
  <si>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</si>
  <si>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</si>
  <si>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</si>
  <si>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</si>
  <si>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</si>
  <si>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</si>
  <si>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</si>
  <si>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</si>
  <si>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</si>
  <si>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</si>
  <si>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</si>
  <si>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</si>
  <si>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</si>
  <si>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</si>
  <si>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</si>
  <si>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</si>
  <si>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</si>
  <si>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</si>
  <si>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</si>
  <si>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</si>
  <si>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</si>
  <si>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</si>
  <si>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</si>
  <si>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</si>
  <si>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</si>
  <si>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</si>
  <si>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</si>
  <si>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</si>
  <si>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</si>
  <si>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</si>
  <si>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</si>
  <si>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</si>
  <si>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</si>
  <si>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</si>
  <si>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</si>
  <si>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</si>
  <si>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</si>
  <si>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</si>
  <si>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</si>
  <si>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</si>
  <si>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</si>
  <si>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</si>
  <si>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</si>
  <si>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</si>
  <si>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</si>
  <si>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</si>
  <si>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</si>
  <si>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</si>
  <si>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</si>
  <si>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</si>
  <si>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</si>
  <si>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</si>
  <si>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</si>
  <si>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</si>
  <si>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</si>
  <si>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</si>
  <si>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</si>
  <si>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</si>
  <si>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</si>
  <si>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</si>
  <si>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</si>
  <si>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</si>
  <si>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</si>
  <si>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</si>
  <si>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</si>
  <si>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</si>
  <si>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</si>
  <si>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</si>
  <si>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</si>
  <si>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</si>
  <si>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</si>
  <si>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</si>
  <si>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</si>
  <si>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</si>
  <si>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</si>
  <si>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</si>
  <si>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</si>
  <si>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</si>
  <si>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</si>
  <si>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</si>
  <si>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</si>
  <si>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</si>
  <si>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</si>
  <si>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</si>
  <si>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</si>
  <si>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</si>
  <si>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</si>
  <si>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</si>
  <si>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</si>
  <si>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</si>
  <si>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</si>
  <si>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</si>
  <si>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</si>
  <si>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</si>
  <si>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</si>
  <si>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</si>
  <si>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</si>
  <si>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</si>
  <si>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</si>
  <si>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</si>
  <si>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</si>
  <si>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</si>
  <si>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</si>
  <si>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</si>
  <si>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</si>
  <si>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</si>
  <si>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</si>
  <si>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</si>
  <si>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</si>
  <si>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</si>
  <si>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</si>
  <si>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</si>
  <si>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</si>
  <si>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</si>
  <si>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</si>
  <si>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</si>
  <si>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</si>
  <si>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</si>
  <si>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</si>
  <si>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</si>
  <si>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</si>
  <si>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</si>
  <si>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</si>
  <si>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</si>
  <si>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</si>
  <si>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</si>
  <si>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</si>
  <si>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</si>
  <si>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</si>
  <si>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</si>
  <si>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</si>
  <si>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</si>
  <si>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</si>
  <si>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</si>
  <si>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</si>
  <si>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</si>
  <si>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</si>
  <si>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</si>
  <si>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</si>
  <si>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</si>
  <si>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</si>
  <si>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</si>
  <si>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</si>
  <si>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</si>
  <si>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</si>
  <si>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</si>
  <si>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</si>
  <si>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</si>
  <si>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</si>
  <si>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</si>
  <si>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</si>
  <si>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</si>
  <si>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</si>
  <si>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</si>
  <si>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</si>
  <si>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</si>
  <si>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</si>
  <si>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</si>
  <si>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</si>
  <si>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</si>
  <si>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</si>
  <si>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</si>
  <si>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</si>
  <si>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</si>
  <si>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</si>
  <si>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</si>
  <si>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</si>
  <si>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</si>
  <si>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</si>
  <si>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</si>
  <si>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</si>
  <si>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</si>
  <si>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</si>
  <si>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</si>
  <si>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</si>
  <si>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</si>
  <si>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</si>
  <si>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</si>
  <si>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</si>
  <si>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</si>
  <si>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</si>
  <si>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</si>
  <si>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</si>
  <si>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</si>
  <si>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</si>
  <si>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</si>
  <si>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</si>
  <si>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</si>
  <si>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</si>
  <si>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</si>
  <si>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</si>
  <si>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</si>
  <si>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</si>
  <si>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</si>
  <si>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</si>
  <si>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</si>
  <si>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</si>
  <si>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</si>
  <si>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</si>
  <si>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</si>
  <si>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</si>
  <si>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</si>
  <si>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</si>
  <si>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</si>
  <si>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</si>
  <si>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</si>
  <si>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</si>
  <si>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</si>
  <si>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</si>
  <si>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</si>
  <si>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</si>
  <si>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</si>
  <si>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</si>
  <si>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</si>
  <si>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</si>
  <si>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</si>
  <si>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</si>
  <si>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</si>
  <si>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</si>
  <si>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</si>
  <si>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</si>
  <si>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</si>
  <si>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</si>
  <si>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</si>
  <si>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</si>
  <si>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</si>
  <si>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</si>
  <si>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</si>
  <si>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</si>
  <si>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</si>
  <si>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</si>
  <si>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</si>
  <si>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</si>
  <si>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</si>
  <si>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</si>
  <si>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</si>
  <si>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</si>
  <si>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</si>
  <si>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</si>
  <si>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</si>
  <si>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</si>
  <si>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</si>
  <si>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</si>
  <si>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</si>
  <si>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</si>
  <si>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</si>
  <si>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</si>
  <si>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</si>
  <si>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</si>
  <si>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</si>
  <si>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</si>
  <si>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</si>
  <si>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</si>
  <si>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</si>
  <si>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</si>
  <si>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</si>
  <si>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</si>
  <si>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</si>
  <si>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</si>
  <si>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</si>
  <si>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</si>
  <si>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</si>
  <si>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</si>
  <si>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</si>
  <si>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</si>
  <si>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</si>
  <si>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</si>
  <si>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</si>
  <si>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</si>
  <si>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</si>
  <si>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</si>
  <si>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</si>
  <si>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</si>
  <si>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</si>
  <si>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</si>
  <si>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</si>
  <si>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</si>
  <si>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</si>
  <si>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</si>
  <si>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</si>
  <si>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</si>
  <si>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</si>
  <si>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</si>
  <si>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</si>
  <si>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</si>
  <si>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</si>
  <si>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</si>
  <si>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</si>
  <si>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</si>
  <si>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</si>
  <si>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</si>
  <si>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</si>
  <si>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</si>
  <si>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</si>
  <si>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</si>
  <si>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</si>
  <si>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</si>
  <si>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</si>
  <si>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</si>
  <si>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</si>
  <si>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</si>
  <si>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</si>
  <si>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</si>
  <si>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</si>
  <si>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</si>
  <si>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</si>
  <si>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</si>
  <si>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</si>
  <si>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</si>
  <si>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</si>
  <si>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</si>
  <si>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</si>
  <si>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</si>
  <si>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</si>
  <si>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</si>
  <si>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</si>
  <si>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</si>
  <si>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</si>
  <si>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</si>
  <si>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</si>
  <si>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</si>
  <si>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</si>
  <si>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</si>
  <si>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</si>
  <si>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</si>
  <si>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</si>
  <si>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</si>
  <si>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</si>
  <si>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</si>
  <si>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</si>
  <si>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</si>
  <si>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</si>
  <si>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</si>
  <si>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</si>
  <si>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</si>
  <si>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</si>
  <si>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</si>
  <si>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</si>
  <si>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</si>
  <si>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</si>
  <si>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</si>
  <si>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</si>
  <si>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</si>
  <si>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</si>
  <si>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</si>
  <si>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</si>
  <si>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</si>
  <si>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</si>
  <si>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</si>
  <si>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</si>
  <si>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</si>
  <si>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</si>
  <si>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</si>
  <si>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</si>
  <si>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</si>
  <si>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</si>
  <si>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</si>
  <si>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</si>
  <si>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</si>
  <si>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</si>
  <si>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</si>
  <si>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</si>
  <si>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</si>
  <si>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</si>
  <si>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</si>
  <si>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</si>
  <si>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</si>
  <si>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</si>
  <si>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</si>
  <si>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</si>
  <si>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</si>
  <si>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</si>
  <si>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</si>
  <si>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</si>
  <si>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</si>
  <si>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</si>
  <si>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</si>
  <si>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</si>
  <si>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</si>
  <si>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</si>
  <si>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</si>
  <si>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</si>
  <si>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</si>
  <si>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</si>
  <si>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</si>
  <si>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</si>
  <si>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</si>
  <si>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</si>
  <si>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</si>
  <si>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</si>
  <si>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</si>
  <si>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</si>
  <si>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</si>
  <si>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</si>
  <si>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</si>
  <si>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</si>
  <si>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</si>
  <si>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</si>
  <si>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</si>
  <si>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</si>
  <si>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</si>
  <si>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</si>
  <si>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</si>
  <si>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</si>
  <si>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</si>
  <si>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</si>
  <si>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</si>
  <si>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</si>
  <si>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</si>
  <si>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</si>
  <si>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</si>
  <si>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</si>
  <si>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</si>
  <si>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</si>
  <si>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</si>
  <si>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</si>
  <si>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</si>
  <si>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</si>
  <si>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</si>
  <si>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</si>
  <si>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</si>
  <si>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</si>
  <si>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</si>
  <si>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</si>
  <si>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</si>
  <si>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</si>
  <si>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</si>
  <si>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</si>
  <si>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</si>
  <si>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</si>
  <si>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</si>
  <si>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</si>
  <si>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</si>
  <si>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</si>
  <si>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</si>
  <si>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</si>
  <si>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</si>
  <si>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</si>
  <si>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</si>
  <si>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</si>
  <si>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</si>
  <si>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</si>
  <si>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</si>
  <si>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</si>
  <si>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</si>
  <si>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</si>
  <si>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</si>
  <si>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</si>
  <si>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</si>
  <si>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</si>
  <si>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</si>
  <si>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</si>
  <si>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</si>
  <si>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</si>
  <si>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</si>
  <si>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</si>
  <si>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</si>
  <si>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</si>
  <si>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</si>
  <si>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</si>
  <si>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</si>
  <si>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</si>
  <si>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</si>
  <si>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</si>
  <si>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</si>
  <si>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</si>
  <si>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</si>
  <si>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</si>
  <si>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</si>
  <si>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</si>
  <si>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</si>
  <si>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</si>
  <si>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</si>
  <si>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</si>
  <si>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</si>
  <si>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</si>
  <si>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</si>
  <si>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</si>
  <si>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</si>
  <si>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</si>
  <si>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</si>
  <si>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</si>
  <si>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</si>
  <si>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</si>
  <si>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</si>
  <si>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</si>
  <si>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</si>
  <si>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</si>
  <si>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</si>
  <si>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</si>
  <si>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</si>
  <si>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</si>
  <si>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</si>
  <si>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</si>
  <si>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</si>
  <si>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</si>
  <si>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</si>
  <si>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</si>
  <si>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</si>
  <si>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</si>
  <si>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</si>
  <si>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</si>
  <si>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</si>
  <si>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</si>
  <si>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</si>
  <si>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</si>
  <si>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</si>
  <si>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</si>
  <si>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</si>
  <si>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</si>
  <si>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</si>
  <si>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</si>
  <si>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</si>
  <si>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</si>
  <si>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</si>
  <si>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</si>
  <si>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</si>
  <si>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</si>
  <si>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</si>
  <si>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</si>
  <si>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</si>
  <si>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</si>
  <si>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</si>
  <si>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</si>
  <si>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</si>
  <si>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</si>
  <si>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</si>
  <si>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</si>
  <si>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</si>
  <si>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</si>
  <si>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</si>
  <si>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</si>
  <si>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</si>
  <si>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</si>
  <si>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</si>
  <si>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</si>
  <si>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</si>
  <si>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</si>
  <si>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</si>
  <si>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</si>
  <si>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</si>
  <si>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</si>
  <si>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</si>
  <si>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</si>
  <si>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</si>
  <si>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</si>
  <si>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</si>
  <si>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</si>
  <si>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</si>
  <si>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</si>
  <si>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</si>
  <si>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</si>
  <si>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</si>
  <si>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</si>
  <si>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</si>
  <si>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</si>
  <si>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</si>
  <si>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</si>
  <si>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</si>
  <si>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</si>
  <si>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</si>
  <si>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</si>
  <si>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</si>
  <si>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</si>
  <si>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</si>
  <si>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</si>
  <si>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</si>
  <si>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</si>
  <si>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</si>
  <si>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</si>
  <si>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</si>
  <si>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</si>
  <si>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</si>
  <si>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</si>
  <si>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</si>
  <si>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</si>
  <si>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</si>
  <si>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</si>
  <si>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</si>
  <si>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</si>
  <si>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</si>
  <si>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</si>
  <si>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</si>
  <si>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</si>
  <si>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</si>
  <si>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</si>
  <si>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</si>
  <si>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</si>
  <si>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</si>
  <si>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</si>
  <si>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</si>
  <si>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</si>
  <si>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</si>
  <si>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</si>
  <si>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</si>
  <si>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</si>
  <si>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</si>
  <si>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</si>
  <si>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</si>
  <si>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</si>
  <si>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</si>
  <si>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</si>
  <si>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</si>
  <si>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</si>
  <si>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</si>
  <si>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</si>
  <si>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</si>
  <si>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</si>
  <si>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</si>
  <si>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</si>
  <si>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</si>
  <si>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</si>
  <si>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</si>
  <si>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</si>
  <si>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</si>
  <si>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</si>
  <si>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</si>
  <si>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</si>
  <si>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</si>
  <si>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</si>
  <si>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</si>
  <si>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</si>
  <si>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</si>
  <si>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</si>
  <si>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</si>
  <si>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</si>
  <si>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</si>
  <si>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</si>
  <si>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</si>
  <si>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</si>
  <si>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</si>
  <si>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</si>
  <si>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</si>
  <si>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</si>
  <si>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</si>
  <si>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</si>
  <si>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</si>
  <si>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</si>
  <si>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</si>
  <si>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</si>
  <si>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</si>
  <si>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</si>
  <si>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</si>
  <si>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</si>
  <si>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</si>
  <si>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</si>
  <si>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</si>
  <si>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</si>
  <si>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</si>
  <si>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</si>
  <si>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</si>
  <si>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</si>
  <si>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</si>
  <si>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</si>
  <si>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</si>
  <si>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</si>
  <si>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</si>
  <si>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</si>
  <si>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</si>
  <si>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</si>
  <si>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</si>
  <si>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</si>
  <si>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</si>
  <si>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</si>
  <si>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</si>
  <si>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</si>
  <si>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</si>
  <si>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</si>
  <si>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</si>
  <si>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</si>
  <si>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</si>
  <si>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</si>
  <si>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</si>
  <si>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</si>
  <si>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</si>
  <si>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</si>
  <si>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</si>
  <si>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</si>
  <si>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</si>
  <si>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</si>
  <si>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</si>
  <si>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</si>
  <si>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</si>
  <si>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</si>
  <si>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</si>
  <si>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</si>
  <si>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</si>
  <si>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</si>
  <si>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</si>
  <si>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</si>
  <si>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</si>
  <si>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</si>
  <si>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</si>
  <si>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</si>
  <si>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</si>
  <si>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</si>
  <si>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</si>
  <si>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</si>
  <si>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</si>
  <si>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</si>
  <si>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</si>
  <si>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</si>
  <si>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</si>
  <si>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</si>
  <si>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</si>
  <si>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</si>
  <si>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</si>
  <si>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</si>
  <si>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</si>
  <si>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</si>
  <si>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</si>
  <si>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</si>
  <si>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</si>
  <si>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</si>
  <si>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</si>
  <si>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</si>
  <si>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</si>
  <si>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</si>
  <si>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</si>
  <si>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</si>
  <si>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</si>
  <si>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</si>
  <si>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</si>
  <si>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</si>
  <si>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</si>
  <si>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</si>
  <si>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</si>
  <si>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</si>
  <si>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</si>
  <si>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</si>
  <si>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</si>
  <si>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</si>
  <si>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</si>
  <si>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</si>
  <si>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</si>
  <si>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</si>
  <si>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</si>
  <si>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</si>
  <si>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</si>
  <si>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</si>
  <si>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</si>
  <si>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</si>
  <si>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</si>
  <si>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</si>
  <si>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</si>
  <si>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</si>
  <si>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</si>
  <si>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</si>
  <si>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</si>
  <si>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</si>
  <si>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</si>
  <si>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</si>
  <si>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</si>
  <si>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</si>
  <si>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</si>
  <si>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</si>
  <si>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</si>
  <si>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</si>
  <si>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</si>
  <si>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</si>
  <si>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</si>
  <si>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</si>
  <si>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</si>
  <si>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</si>
  <si>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</si>
  <si>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</si>
  <si>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</si>
  <si>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</si>
  <si>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</si>
  <si>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</si>
  <si>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</si>
  <si>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</si>
  <si>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</si>
  <si>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</si>
  <si>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</si>
  <si>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</si>
  <si>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</si>
  <si>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</si>
  <si>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</si>
  <si>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</si>
  <si>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</si>
  <si>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</si>
  <si>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</si>
  <si>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</si>
  <si>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</si>
  <si>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</si>
  <si>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</si>
  <si>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</si>
  <si>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</si>
  <si>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</si>
  <si>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</si>
  <si>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</si>
  <si>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</si>
  <si>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</si>
  <si>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</si>
  <si>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</si>
  <si>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</si>
  <si>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</si>
  <si>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</si>
  <si>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</si>
  <si>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</si>
  <si>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</si>
  <si>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</si>
  <si>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</si>
  <si>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</si>
  <si>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</si>
  <si>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</si>
  <si>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</si>
  <si>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</si>
  <si>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</si>
  <si>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</si>
  <si>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</si>
  <si>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</si>
  <si>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</si>
  <si>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</si>
  <si>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</si>
  <si>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</si>
  <si>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</si>
  <si>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</si>
  <si>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</si>
  <si>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</si>
  <si>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</si>
  <si>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</si>
  <si>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</si>
  <si>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</si>
  <si>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</si>
  <si>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</si>
  <si>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</si>
  <si>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</si>
  <si>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</si>
  <si>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</si>
  <si>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</si>
  <si>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</si>
  <si>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</si>
  <si>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</si>
  <si>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</si>
  <si>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</si>
  <si>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</si>
  <si>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</si>
  <si>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</si>
  <si>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</si>
  <si>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</si>
  <si>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</si>
  <si>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</si>
  <si>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</si>
  <si>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</si>
  <si>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</si>
  <si>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</si>
  <si>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</si>
  <si>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</si>
  <si>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</si>
  <si>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</si>
  <si>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</si>
  <si>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</si>
  <si>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</si>
  <si>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</si>
  <si>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</si>
  <si>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</si>
  <si>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</si>
  <si>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</si>
  <si>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</si>
  <si>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</si>
  <si>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</si>
  <si>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</si>
  <si>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</si>
  <si>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</si>
  <si>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</si>
  <si>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</si>
  <si>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</si>
  <si>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</si>
  <si>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</si>
  <si>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</si>
  <si>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</si>
  <si>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</si>
  <si>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</si>
  <si>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</si>
  <si>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</si>
  <si>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</si>
  <si>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</si>
  <si>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</si>
  <si>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</si>
  <si>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</si>
  <si>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</si>
  <si>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</si>
  <si>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</si>
  <si>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</si>
  <si>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</si>
  <si>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</si>
  <si>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</si>
  <si>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</si>
  <si>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</si>
  <si>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</si>
  <si>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</si>
  <si>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</si>
  <si>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</si>
  <si>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</si>
  <si>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</si>
  <si>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</si>
  <si>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</si>
  <si>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</si>
  <si>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</si>
  <si>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</si>
  <si>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</si>
  <si>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</si>
  <si>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</si>
  <si>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</si>
  <si>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</si>
  <si>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</si>
  <si>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</si>
  <si>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</si>
  <si>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</si>
  <si>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</si>
  <si>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</si>
  <si>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</si>
  <si>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</si>
  <si>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</si>
  <si>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</si>
  <si>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</si>
  <si>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</si>
  <si>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</si>
  <si>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</si>
  <si>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</si>
  <si>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</si>
  <si>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</si>
  <si>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</si>
  <si>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</si>
  <si>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</si>
  <si>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</si>
  <si>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</si>
  <si>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</si>
  <si>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</si>
  <si>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</si>
  <si>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</si>
  <si>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</si>
  <si>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</si>
  <si>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</si>
  <si>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</si>
  <si>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</si>
  <si>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</si>
  <si>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</si>
  <si>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</si>
  <si>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</si>
  <si>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</si>
  <si>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</si>
  <si>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</si>
  <si>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</si>
  <si>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</si>
  <si>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</si>
  <si>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</si>
  <si>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</si>
  <si>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</si>
  <si>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</si>
  <si>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</si>
  <si>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</si>
  <si>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</si>
  <si>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</si>
  <si>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</si>
  <si>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</si>
  <si>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</si>
  <si>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</si>
  <si>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</si>
  <si>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</si>
  <si>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</si>
  <si>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</si>
  <si>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</si>
  <si>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</si>
  <si>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</si>
  <si>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</si>
  <si>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</si>
  <si>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</si>
  <si>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</si>
  <si>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</si>
  <si>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</si>
  <si>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</si>
  <si>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</si>
  <si>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</si>
  <si>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</si>
  <si>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</si>
  <si>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</si>
  <si>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</si>
  <si>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</si>
  <si>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</si>
  <si>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</si>
  <si>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</si>
  <si>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</si>
  <si>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</si>
  <si>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</si>
  <si>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</si>
  <si>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</si>
  <si>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</si>
  <si>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</si>
  <si>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</si>
  <si>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</si>
  <si>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</si>
  <si>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</si>
  <si>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</si>
  <si>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</si>
  <si>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</si>
  <si>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</si>
  <si>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</si>
  <si>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</si>
  <si>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</si>
  <si>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</si>
  <si>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</si>
  <si>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</si>
  <si>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</si>
  <si>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</si>
  <si>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</si>
  <si>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</si>
  <si>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</si>
  <si>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</si>
  <si>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</si>
  <si>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</si>
  <si>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</si>
  <si>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</si>
  <si>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</si>
  <si>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</si>
  <si>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</si>
  <si>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</si>
  <si>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</si>
  <si>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</si>
  <si>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</si>
  <si>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</si>
  <si>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</si>
  <si>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</si>
  <si>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</si>
  <si>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</si>
  <si>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</si>
  <si>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</si>
  <si>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</si>
  <si>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</si>
  <si>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</si>
  <si>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</si>
  <si>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</si>
  <si>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</si>
  <si>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</si>
  <si>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</si>
  <si>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</si>
  <si>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</si>
  <si>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</si>
  <si>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</si>
  <si>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</si>
  <si>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</si>
  <si>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</si>
  <si>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</si>
  <si>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</si>
  <si>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</si>
  <si>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</si>
  <si>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</si>
  <si>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</si>
  <si>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</si>
  <si>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</si>
  <si>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</si>
  <si>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</si>
  <si>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</si>
  <si>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</si>
  <si>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</si>
  <si>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</si>
  <si>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</si>
  <si>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</si>
  <si>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</si>
  <si>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</si>
  <si>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</si>
  <si>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</si>
  <si>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</si>
  <si>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</si>
  <si>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</si>
  <si>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</si>
  <si>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</si>
  <si>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</si>
  <si>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</si>
  <si>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</si>
  <si>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</si>
  <si>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</si>
  <si>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</si>
  <si>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</si>
  <si>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</si>
  <si>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</si>
  <si>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</si>
  <si>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</si>
  <si>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</si>
  <si>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</si>
  <si>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</si>
  <si>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</si>
  <si>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</si>
  <si>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</si>
  <si>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</si>
  <si>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</si>
  <si>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</si>
  <si>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</si>
  <si>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</si>
  <si>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</si>
  <si>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</si>
  <si>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</si>
  <si>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</si>
  <si>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</si>
  <si>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</si>
  <si>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</si>
  <si>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</si>
  <si>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</si>
  <si>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</si>
  <si>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</si>
  <si>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</si>
  <si>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</si>
  <si>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</si>
  <si>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</si>
  <si>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</si>
  <si>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</si>
  <si>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</si>
  <si>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</si>
  <si>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</si>
  <si>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</si>
  <si>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</si>
  <si>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</si>
  <si>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</si>
  <si>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</si>
  <si>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</si>
  <si>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</si>
  <si>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</si>
  <si>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</si>
  <si>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</si>
  <si>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</si>
  <si>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</si>
  <si>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</si>
  <si>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</si>
  <si>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</si>
  <si>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</si>
  <si>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</si>
  <si>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</si>
  <si>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</si>
  <si>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</si>
  <si>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</si>
  <si>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</si>
  <si>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</si>
  <si>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</si>
  <si>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</si>
  <si>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</si>
  <si>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</si>
  <si>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</si>
  <si>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</si>
  <si>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</si>
  <si>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</si>
  <si>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</si>
  <si>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</si>
  <si>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</si>
  <si>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</si>
  <si>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</si>
  <si>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</si>
  <si>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</si>
  <si>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</si>
  <si>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</si>
  <si>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</si>
  <si>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</si>
  <si>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</si>
  <si>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</si>
  <si>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</si>
  <si>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</si>
  <si>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</si>
  <si>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</si>
  <si>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</si>
  <si>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</si>
  <si>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</si>
  <si>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</si>
  <si>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</si>
  <si>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</si>
  <si>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</si>
  <si>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</si>
  <si>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</si>
  <si>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</si>
  <si>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</si>
  <si>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</si>
  <si>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</si>
  <si>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</si>
  <si>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</si>
  <si>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</si>
  <si>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</si>
  <si>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</si>
  <si>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</si>
  <si>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</si>
  <si>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</si>
  <si>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</si>
  <si>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</si>
  <si>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</si>
  <si>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</si>
  <si>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</si>
  <si>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</si>
  <si>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</si>
  <si>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</si>
  <si>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</si>
  <si>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</si>
  <si>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</si>
  <si>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</si>
  <si>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</si>
  <si>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</si>
  <si>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</si>
  <si>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</si>
  <si>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</si>
  <si>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</si>
  <si>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</si>
  <si>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</si>
  <si>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</si>
  <si>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</si>
  <si>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</si>
  <si>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</si>
  <si>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</si>
  <si>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</si>
  <si>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</si>
  <si>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</si>
  <si>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</si>
  <si>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</si>
  <si>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</si>
  <si>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</si>
  <si>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</si>
  <si>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</si>
  <si>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</si>
  <si>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</si>
  <si>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</si>
  <si>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</si>
  <si>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</si>
  <si>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</si>
  <si>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</si>
  <si>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</si>
  <si>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</si>
  <si>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</si>
  <si>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</si>
  <si>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</si>
  <si>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</si>
  <si>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</si>
  <si>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</si>
  <si>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</si>
  <si>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</si>
  <si>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</si>
  <si>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</si>
  <si>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</si>
  <si>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</si>
  <si>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</si>
  <si>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</si>
  <si>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</si>
  <si>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</si>
  <si>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</si>
  <si>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</si>
  <si>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</si>
  <si>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</si>
  <si>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</si>
  <si>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</si>
  <si>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</si>
  <si>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</si>
  <si>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</si>
  <si>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</si>
  <si>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</si>
  <si>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</si>
  <si>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</si>
  <si>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</si>
  <si>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</si>
  <si>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</si>
  <si>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</si>
  <si>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</si>
  <si>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</si>
  <si>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</si>
  <si>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</si>
  <si>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</si>
  <si>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</si>
  <si>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</si>
  <si>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</si>
  <si>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</si>
  <si>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</si>
  <si>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</si>
  <si>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</si>
  <si>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</si>
  <si>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</si>
  <si>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</si>
  <si>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</si>
  <si>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</si>
  <si>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</si>
  <si>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</si>
  <si>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</si>
  <si>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</si>
  <si>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</si>
  <si>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</si>
  <si>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</si>
  <si>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</si>
  <si>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</si>
  <si>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</si>
  <si>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</si>
  <si>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</si>
  <si>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</si>
  <si>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</si>
  <si>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</si>
  <si>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</si>
  <si>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</si>
  <si>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</si>
  <si>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</si>
  <si>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</si>
  <si>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</si>
  <si>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</si>
  <si>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</si>
  <si>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</si>
  <si>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</si>
  <si>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</si>
  <si>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</si>
  <si>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</si>
  <si>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</si>
  <si>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</si>
  <si>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</si>
  <si>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</si>
  <si>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</si>
  <si>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</si>
  <si>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</si>
  <si>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</si>
  <si>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</si>
  <si>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</si>
  <si>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</si>
  <si>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</si>
  <si>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</si>
  <si>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</si>
  <si>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</si>
  <si>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</si>
  <si>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</si>
  <si>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</si>
  <si>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</si>
  <si>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</si>
  <si>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</si>
  <si>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</si>
  <si>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</si>
  <si>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</si>
  <si>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</si>
  <si>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</si>
  <si>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</si>
  <si>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</si>
  <si>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</si>
  <si>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</si>
  <si>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</si>
  <si>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</si>
  <si>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</si>
  <si>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</si>
  <si>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</si>
  <si>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</si>
  <si>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</si>
  <si>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</si>
  <si>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</si>
  <si>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</si>
  <si>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</si>
  <si>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</si>
  <si>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</si>
  <si>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</si>
  <si>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</si>
  <si>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</si>
  <si>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</si>
  <si>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</si>
  <si>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</si>
  <si>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</si>
  <si>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</si>
  <si>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</si>
  <si>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</si>
  <si>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</si>
  <si>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</si>
  <si>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</si>
  <si>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</si>
  <si>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</si>
  <si>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</si>
  <si>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</si>
  <si>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</si>
  <si>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</si>
  <si>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</si>
  <si>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</si>
  <si>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</si>
  <si>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</si>
  <si>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</si>
  <si>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</si>
  <si>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</si>
  <si>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</si>
  <si>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</si>
  <si>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</si>
  <si>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</si>
  <si>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</si>
  <si>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</si>
  <si>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</si>
  <si>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</si>
  <si>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</si>
  <si>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</si>
  <si>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</si>
  <si>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</si>
  <si>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</si>
  <si>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</si>
  <si>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</si>
  <si>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</si>
  <si>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</si>
  <si>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</si>
  <si>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</si>
  <si>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</si>
  <si>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</si>
  <si>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</si>
  <si>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</si>
  <si>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</si>
  <si>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</si>
  <si>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</si>
  <si>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</si>
  <si>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</si>
  <si>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</si>
  <si>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</si>
  <si>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</si>
  <si>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</si>
  <si>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</si>
  <si>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</si>
  <si>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</si>
  <si>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</si>
  <si>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</si>
  <si>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</si>
  <si>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</si>
  <si>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</si>
  <si>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</si>
  <si>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</si>
  <si>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</si>
  <si>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</si>
  <si>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</si>
  <si>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</si>
  <si>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</si>
  <si>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</si>
  <si>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</si>
  <si>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</si>
  <si>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</si>
  <si>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</si>
  <si>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</si>
  <si>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</si>
  <si>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</si>
  <si>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</si>
  <si>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</si>
  <si>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</si>
  <si>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</si>
  <si>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</si>
  <si>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</si>
  <si>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</si>
  <si>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</si>
  <si>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</si>
  <si>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</si>
  <si>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</si>
  <si>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</si>
  <si>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</si>
  <si>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</si>
  <si>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</si>
  <si>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</si>
  <si>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</si>
  <si>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</si>
  <si>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</si>
  <si>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</si>
  <si>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</si>
  <si>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</si>
  <si>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</si>
  <si>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</si>
  <si>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</si>
  <si>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</si>
  <si>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</si>
  <si>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</si>
  <si>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</si>
  <si>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</si>
  <si>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</si>
  <si>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</si>
  <si>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</si>
  <si>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</si>
  <si>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</si>
  <si>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</si>
  <si>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</si>
  <si>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</si>
  <si>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</si>
  <si>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</si>
  <si>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</si>
  <si>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</si>
  <si>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</si>
  <si>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</si>
  <si>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</si>
  <si>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</si>
  <si>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</si>
  <si>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</si>
  <si>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</si>
  <si>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</si>
  <si>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</si>
  <si>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</si>
  <si>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</si>
  <si>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</si>
  <si>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</si>
  <si>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</si>
  <si>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</si>
  <si>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</si>
  <si>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</si>
  <si>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</si>
  <si>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</si>
  <si>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</si>
  <si>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</si>
  <si>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</si>
  <si>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</si>
  <si>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</si>
  <si>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</si>
  <si>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</si>
  <si>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</si>
  <si>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</si>
  <si>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</si>
  <si>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</si>
  <si>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</si>
  <si>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</si>
  <si>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</si>
  <si>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</si>
  <si>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</si>
  <si>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</si>
  <si>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</si>
  <si>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</si>
  <si>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</si>
  <si>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</si>
  <si>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</si>
  <si>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</si>
  <si>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</si>
  <si>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</si>
  <si>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</si>
  <si>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</si>
  <si>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</si>
  <si>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</si>
  <si>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</si>
  <si>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</si>
  <si>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</si>
  <si>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</si>
  <si>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</si>
  <si>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</si>
  <si>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</si>
  <si>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</si>
  <si>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</si>
  <si>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</si>
  <si>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</si>
  <si>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</si>
  <si>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</si>
  <si>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</si>
  <si>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</si>
  <si>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</si>
  <si>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</si>
  <si>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</si>
  <si>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</si>
  <si>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</si>
  <si>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</si>
  <si>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</si>
  <si>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</si>
  <si>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</si>
  <si>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</si>
  <si>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</si>
  <si>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</si>
  <si>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</si>
  <si>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</si>
  <si>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</si>
  <si>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</si>
  <si>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</si>
  <si>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</si>
  <si>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</si>
  <si>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</si>
  <si>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</si>
  <si>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</si>
  <si>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</si>
  <si>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</si>
  <si>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</si>
  <si>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</si>
  <si>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</si>
  <si>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</si>
  <si>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</si>
  <si>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</si>
  <si>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</si>
  <si>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</si>
  <si>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</si>
  <si>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</si>
  <si>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</si>
  <si>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</si>
  <si>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</si>
  <si>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</si>
  <si>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</si>
  <si>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</si>
  <si>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</si>
  <si>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</si>
  <si>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</si>
  <si>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</si>
  <si>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</si>
  <si>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</si>
  <si>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</si>
  <si>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</si>
  <si>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</si>
  <si>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</si>
  <si>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</si>
  <si>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</si>
  <si>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</si>
  <si>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</si>
  <si>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</si>
  <si>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</si>
  <si>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</si>
  <si>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</si>
  <si>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</si>
  <si>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</si>
  <si>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</si>
  <si>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</si>
  <si>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</si>
  <si>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</si>
  <si>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</si>
  <si>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</si>
  <si>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</si>
  <si>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</si>
  <si>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</si>
  <si>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</si>
  <si>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</si>
  <si>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</si>
  <si>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</si>
  <si>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</si>
  <si>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</si>
  <si>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</si>
  <si>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</si>
  <si>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</si>
  <si>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</si>
  <si>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</si>
  <si>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</si>
  <si>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</si>
  <si>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</si>
  <si>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</si>
  <si>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</si>
  <si>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</si>
  <si>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</si>
  <si>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</si>
  <si>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</si>
  <si>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</si>
  <si>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</si>
  <si>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</si>
  <si>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</si>
  <si>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</si>
  <si>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</si>
  <si>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</si>
  <si>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</si>
  <si>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</si>
  <si>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</si>
  <si>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</si>
  <si>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</si>
  <si>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</si>
  <si>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</si>
  <si>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</si>
  <si>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</si>
  <si>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</si>
  <si>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</si>
  <si>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</si>
  <si>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</si>
  <si>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</si>
  <si>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</si>
  <si>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</si>
  <si>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</si>
  <si>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</si>
  <si>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</si>
  <si>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</si>
  <si>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</si>
  <si>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</si>
  <si>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</si>
  <si>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</si>
  <si>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</si>
  <si>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</si>
  <si>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</si>
  <si>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</si>
  <si>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</si>
  <si>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</si>
  <si>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</si>
  <si>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</si>
  <si>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</si>
  <si>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</si>
  <si>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</si>
  <si>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</si>
  <si>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</si>
  <si>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</si>
  <si>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</si>
  <si>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</si>
  <si>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</si>
  <si>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</si>
  <si>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</si>
  <si>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</si>
  <si>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</si>
  <si>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</si>
  <si>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</si>
  <si>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</si>
  <si>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</si>
  <si>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</si>
  <si>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</si>
  <si>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</si>
  <si>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</si>
  <si>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</si>
  <si>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</si>
  <si>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</si>
  <si>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</si>
  <si>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</si>
  <si>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</si>
  <si>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</si>
  <si>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</si>
  <si>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</si>
  <si>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</si>
  <si>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</si>
  <si>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</si>
  <si>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</si>
  <si>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</si>
  <si>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</si>
  <si>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</si>
  <si>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</si>
  <si>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</si>
  <si>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</si>
  <si>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</si>
  <si>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</si>
  <si>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</si>
  <si>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</si>
  <si>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</si>
  <si>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</si>
  <si>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</si>
  <si>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</si>
  <si>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</si>
  <si>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</si>
  <si>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</si>
  <si>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</si>
  <si>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</si>
  <si>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</si>
  <si>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</si>
  <si>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</si>
  <si>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</si>
  <si>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</si>
  <si>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</si>
  <si>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</si>
  <si>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</si>
  <si>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</si>
  <si>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</si>
  <si>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</si>
  <si>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</si>
  <si>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</si>
  <si>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</si>
  <si>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</si>
  <si>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</si>
  <si>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</si>
  <si>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</si>
  <si>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</si>
  <si>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</si>
  <si>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</si>
  <si>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</si>
  <si>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</si>
  <si>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</si>
  <si>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</si>
  <si>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</si>
  <si>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</si>
  <si>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</si>
  <si>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</si>
  <si>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</si>
  <si>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</si>
  <si>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</si>
  <si>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</si>
  <si>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</si>
  <si>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</si>
  <si>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</si>
  <si>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</si>
  <si>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</si>
  <si>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</si>
  <si>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</si>
  <si>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</si>
  <si>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</si>
  <si>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</si>
  <si>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</si>
  <si>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</si>
  <si>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</si>
  <si>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</si>
  <si>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</si>
  <si>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</si>
  <si>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</si>
  <si>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</si>
  <si>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</si>
  <si>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</si>
  <si>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</si>
  <si>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</si>
  <si>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</si>
  <si>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</si>
  <si>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</si>
  <si>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</si>
  <si>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</si>
  <si>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</si>
  <si>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</si>
  <si>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</si>
  <si>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</si>
  <si>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</si>
  <si>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</si>
  <si>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</si>
  <si>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</si>
  <si>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</si>
  <si>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</si>
  <si>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</si>
  <si>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</si>
  <si>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</si>
  <si>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</si>
  <si>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</si>
  <si>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</si>
  <si>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</si>
  <si>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</si>
  <si>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</si>
  <si>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</si>
  <si>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</si>
  <si>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</si>
  <si>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</si>
  <si>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</si>
  <si>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</si>
  <si>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</si>
  <si>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</si>
  <si>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</si>
  <si>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</si>
  <si>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</si>
  <si>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</si>
  <si>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</si>
  <si>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</si>
  <si>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</si>
  <si>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</si>
  <si>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</si>
  <si>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</si>
  <si>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</si>
  <si>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</si>
  <si>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</si>
  <si>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</si>
  <si>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</si>
  <si>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</si>
  <si>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</si>
  <si>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</si>
  <si>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</si>
  <si>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</si>
  <si>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</si>
  <si>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</si>
  <si>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</si>
  <si>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</si>
  <si>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</si>
  <si>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</si>
  <si>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</si>
  <si>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</si>
  <si>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</si>
  <si>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</si>
  <si>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</si>
  <si>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</si>
  <si>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</si>
  <si>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</si>
  <si>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</si>
  <si>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</si>
  <si>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</si>
  <si>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</si>
  <si>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</si>
  <si>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</si>
  <si>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</si>
  <si>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</si>
  <si>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</si>
  <si>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</si>
  <si>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</si>
  <si>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</si>
  <si>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</si>
  <si>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</si>
  <si>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</si>
  <si>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</si>
  <si>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</si>
  <si>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</si>
  <si>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</si>
  <si>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</si>
  <si>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</si>
  <si>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</si>
  <si>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</si>
  <si>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</si>
  <si>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</si>
  <si>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</si>
  <si>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</si>
  <si>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</si>
  <si>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</si>
  <si>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</si>
  <si>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</si>
  <si>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</si>
  <si>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</si>
  <si>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</si>
  <si>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</si>
  <si>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</si>
  <si>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</si>
  <si>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</si>
  <si>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</si>
  <si>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</si>
  <si>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</si>
  <si>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</si>
  <si>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</si>
  <si>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</si>
  <si>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</si>
  <si>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</si>
  <si>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</si>
  <si>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</si>
  <si>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</si>
  <si>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</si>
  <si>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</si>
  <si>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</si>
  <si>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</si>
  <si>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</si>
  <si>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</si>
  <si>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</si>
  <si>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</si>
  <si>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</si>
  <si>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</si>
  <si>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</si>
  <si>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</si>
  <si>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</si>
  <si>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</si>
  <si>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</si>
  <si>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</si>
  <si>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</si>
  <si>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</si>
  <si>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</si>
  <si>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</si>
  <si>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</si>
  <si>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</si>
  <si>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</si>
  <si>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</si>
  <si>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</si>
  <si>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</si>
  <si>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</si>
  <si>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</si>
  <si>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</si>
  <si>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</si>
  <si>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</si>
  <si>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</si>
  <si>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</si>
  <si>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</si>
  <si>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</si>
  <si>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</si>
  <si>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</si>
  <si>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</si>
  <si>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</si>
  <si>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</si>
  <si>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</si>
  <si>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</si>
  <si>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</si>
  <si>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</si>
  <si>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</si>
  <si>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</si>
  <si>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</si>
  <si>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</si>
  <si>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</si>
  <si>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</si>
  <si>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</si>
  <si>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</si>
  <si>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</si>
  <si>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</si>
  <si>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</si>
  <si>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</si>
  <si>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</si>
  <si>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</si>
  <si>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</si>
  <si>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</si>
  <si>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</si>
  <si>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</si>
  <si>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</si>
  <si>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</si>
  <si>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</si>
  <si>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</si>
  <si>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</si>
  <si>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</si>
  <si>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</si>
  <si>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</si>
  <si>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</si>
  <si>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</si>
  <si>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</si>
  <si>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</si>
  <si>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</si>
  <si>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</si>
  <si>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</si>
  <si>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</si>
  <si>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</si>
  <si>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</si>
  <si>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</si>
  <si>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</si>
  <si>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</si>
  <si>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</si>
  <si>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</si>
  <si>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</si>
  <si>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</si>
  <si>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</si>
  <si>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</si>
  <si>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</si>
  <si>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</si>
  <si>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</si>
  <si>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</si>
  <si>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</si>
  <si>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</si>
  <si>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</si>
  <si>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</si>
  <si>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</si>
  <si>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</si>
  <si>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</si>
  <si>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</si>
  <si>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</si>
  <si>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</si>
  <si>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</si>
  <si>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</si>
  <si>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</si>
  <si>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</si>
  <si>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</si>
  <si>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</si>
  <si>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</si>
  <si>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</si>
  <si>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</si>
  <si>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</si>
  <si>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</si>
  <si>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</si>
  <si>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</si>
  <si>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</si>
  <si>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</si>
  <si>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</si>
  <si>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</si>
  <si>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</si>
  <si>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</si>
  <si>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</si>
  <si>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</si>
  <si>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</si>
  <si>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</si>
  <si>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</si>
  <si>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</si>
  <si>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</si>
  <si>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</si>
  <si>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</si>
  <si>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</si>
  <si>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</si>
  <si>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</si>
  <si>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</si>
  <si>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</si>
  <si>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</si>
  <si>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</si>
  <si>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</si>
  <si>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</si>
  <si>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</si>
  <si>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</si>
  <si>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</si>
  <si>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</si>
  <si>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</si>
  <si>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</si>
  <si>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</si>
  <si>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</si>
  <si>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</si>
  <si>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</si>
  <si>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</si>
  <si>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</si>
  <si>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</si>
  <si>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</si>
  <si>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</si>
  <si>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</si>
  <si>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</si>
  <si>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</si>
  <si>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</si>
  <si>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</si>
  <si>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</si>
  <si>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</si>
  <si>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</si>
  <si>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</si>
  <si>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</si>
  <si>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</si>
  <si>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</si>
  <si>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</si>
  <si>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</si>
  <si>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</si>
  <si>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</si>
  <si>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</si>
  <si>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</si>
  <si>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</si>
  <si>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</si>
  <si>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</si>
  <si>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</si>
  <si>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</si>
  <si>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</si>
  <si>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</si>
  <si>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</si>
  <si>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</si>
  <si>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</si>
  <si>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</si>
  <si>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</si>
  <si>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</si>
  <si>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</si>
  <si>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</si>
  <si>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</si>
  <si>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</si>
  <si>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</si>
  <si>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</si>
  <si>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</si>
  <si>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</si>
  <si>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</si>
  <si>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</si>
  <si>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</si>
  <si>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</si>
  <si>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</si>
  <si>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</si>
  <si>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</si>
  <si>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</si>
  <si>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</si>
  <si>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</si>
  <si>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</si>
  <si>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</si>
  <si>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</si>
  <si>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</si>
  <si>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</si>
  <si>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</si>
  <si>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</si>
  <si>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</si>
  <si>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</si>
  <si>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</si>
  <si>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</si>
  <si>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</si>
  <si>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</si>
  <si>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</si>
  <si>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</si>
  <si>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</si>
  <si>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</si>
  <si>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</si>
  <si>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</si>
  <si>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</si>
  <si>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</si>
  <si>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</si>
  <si>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</si>
  <si>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</si>
  <si>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</si>
  <si>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</si>
  <si>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</si>
  <si>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</si>
  <si>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</si>
  <si>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</si>
  <si>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</si>
  <si>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</si>
  <si>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</si>
  <si>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</si>
  <si>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</si>
  <si>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</si>
  <si>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</si>
  <si>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</si>
  <si>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</si>
  <si>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</si>
  <si>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</si>
  <si>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</si>
  <si>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</si>
  <si>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</si>
  <si>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</si>
  <si>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</si>
  <si>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</si>
  <si>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</si>
  <si>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</si>
  <si>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</si>
  <si>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</si>
  <si>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</si>
  <si>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</si>
  <si>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</si>
  <si>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</si>
  <si>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</si>
  <si>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</si>
  <si>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</si>
  <si>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</si>
  <si>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</si>
  <si>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</si>
  <si>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</si>
  <si>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</si>
  <si>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</si>
  <si>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</si>
  <si>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</si>
  <si>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</si>
  <si>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</si>
  <si>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</si>
  <si>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</si>
  <si>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</si>
  <si>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</si>
  <si>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</si>
  <si>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</si>
  <si>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</si>
  <si>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</si>
  <si>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</si>
  <si>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</si>
  <si>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</si>
  <si>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</si>
  <si>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</si>
  <si>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</si>
  <si>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</si>
  <si>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</si>
  <si>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</si>
  <si>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</si>
  <si>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</si>
  <si>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</si>
  <si>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</si>
  <si>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</si>
  <si>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</si>
  <si>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</si>
  <si>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</si>
  <si>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</si>
  <si>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</si>
  <si>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</si>
  <si>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</si>
  <si>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</si>
  <si>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</si>
  <si>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</si>
  <si>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</si>
  <si>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</si>
  <si>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</si>
  <si>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</si>
  <si>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</si>
  <si>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</si>
  <si>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</si>
  <si>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</si>
  <si>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</si>
  <si>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</si>
  <si>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</si>
  <si>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</si>
  <si>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</si>
  <si>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</si>
  <si>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</si>
  <si>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</si>
  <si>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</si>
  <si>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</si>
  <si>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</si>
  <si>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</si>
  <si>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</si>
  <si>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</si>
  <si>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</si>
  <si>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</si>
  <si>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</si>
  <si>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</si>
  <si>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</si>
  <si>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</si>
  <si>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</si>
  <si>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</si>
  <si>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</si>
  <si>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</si>
  <si>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</si>
  <si>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</si>
  <si>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</si>
  <si>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</si>
  <si>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</si>
  <si>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</si>
  <si>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</si>
  <si>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</si>
  <si>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</si>
  <si>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</si>
  <si>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</si>
  <si>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</si>
  <si>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</si>
  <si>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</si>
  <si>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</si>
  <si>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</si>
  <si>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</si>
  <si>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</si>
  <si>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</si>
  <si>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</si>
  <si>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</si>
  <si>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</si>
  <si>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</si>
  <si>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</si>
  <si>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</si>
  <si>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</si>
  <si>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</si>
  <si>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</si>
  <si>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</si>
  <si>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</si>
  <si>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</si>
  <si>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</si>
  <si>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</si>
  <si>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</si>
  <si>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</si>
  <si>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</si>
  <si>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</si>
  <si>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</si>
  <si>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</si>
  <si>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</si>
  <si>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</si>
  <si>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</si>
  <si>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</si>
  <si>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</si>
  <si>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</si>
  <si>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</si>
  <si>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</si>
  <si>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</si>
  <si>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</si>
  <si>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</si>
  <si>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</si>
  <si>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</si>
  <si>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</si>
  <si>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</si>
  <si>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</si>
  <si>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</si>
  <si>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</si>
  <si>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</si>
  <si>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</si>
  <si>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</si>
  <si>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</si>
  <si>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</si>
  <si>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</si>
  <si>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</si>
  <si>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</si>
  <si>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</si>
  <si>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</si>
  <si>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</si>
  <si>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</si>
  <si>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</si>
  <si>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</si>
  <si>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</si>
  <si>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</si>
  <si>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</si>
  <si>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</si>
  <si>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</si>
  <si>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</si>
  <si>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</si>
  <si>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</si>
  <si>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</si>
  <si>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</si>
  <si>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</si>
  <si>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</si>
  <si>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</si>
  <si>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</si>
  <si>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</si>
  <si>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</si>
  <si>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</si>
  <si>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</si>
  <si>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</si>
  <si>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</si>
  <si>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</si>
  <si>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</si>
  <si>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</si>
  <si>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</si>
  <si>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</si>
  <si>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</si>
  <si>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</si>
  <si>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</si>
  <si>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</si>
  <si>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</si>
  <si>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</si>
  <si>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</si>
  <si>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</si>
  <si>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</si>
  <si>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</si>
  <si>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</si>
  <si>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</si>
  <si>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</si>
  <si>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</si>
  <si>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</si>
  <si>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</si>
  <si>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</si>
  <si>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</si>
  <si>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</si>
  <si>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</si>
  <si>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</si>
  <si>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</si>
  <si>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</si>
  <si>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</si>
  <si>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</si>
  <si>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</si>
  <si>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</si>
  <si>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</si>
  <si>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</si>
  <si>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</si>
  <si>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</si>
  <si>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</si>
  <si>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</si>
  <si>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</si>
  <si>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</si>
  <si>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</si>
  <si>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</si>
  <si>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</si>
  <si>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</si>
  <si>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</si>
  <si>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</si>
  <si>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</si>
  <si>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</si>
  <si>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</si>
  <si>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</si>
  <si>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</si>
  <si>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</si>
  <si>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</si>
  <si>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</si>
  <si>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</si>
  <si>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</si>
  <si>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</si>
  <si>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</si>
  <si>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</si>
  <si>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</si>
  <si>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</si>
  <si>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</si>
  <si>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</si>
  <si>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</si>
  <si>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</si>
  <si>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</si>
  <si>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</si>
  <si>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</si>
  <si>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</si>
  <si>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</si>
  <si>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</si>
  <si>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</si>
  <si>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</si>
  <si>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</si>
  <si>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</si>
  <si>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</si>
  <si>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</si>
  <si>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</si>
  <si>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</si>
  <si>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</si>
  <si>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</si>
  <si>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</si>
  <si>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</si>
  <si>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</si>
  <si>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</si>
  <si>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</si>
  <si>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</si>
  <si>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</si>
  <si>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</si>
  <si>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</si>
  <si>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</si>
  <si>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</si>
  <si>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</si>
  <si>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</si>
  <si>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</si>
  <si>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</si>
  <si>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</si>
  <si>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</si>
  <si>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</si>
  <si>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</si>
  <si>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</si>
  <si>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</si>
  <si>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</si>
  <si>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</si>
  <si>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</si>
  <si>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</si>
  <si>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</si>
  <si>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</si>
  <si>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</si>
  <si>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</si>
  <si>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</si>
  <si>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</si>
  <si>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</si>
  <si>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</si>
  <si>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</si>
  <si>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</si>
  <si>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</si>
  <si>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</si>
  <si>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</si>
  <si>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</si>
  <si>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</si>
  <si>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</si>
  <si>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</si>
  <si>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</si>
  <si>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</si>
  <si>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</si>
  <si>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</si>
  <si>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</si>
  <si>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</si>
  <si>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</si>
  <si>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</si>
  <si>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</si>
  <si>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</si>
  <si>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</si>
  <si>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</si>
  <si>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</si>
  <si>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</si>
  <si>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</si>
  <si>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</si>
  <si>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</si>
  <si>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</si>
  <si>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</si>
  <si>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</si>
  <si>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</si>
  <si>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</si>
  <si>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</si>
  <si>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</si>
  <si>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</si>
  <si>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</si>
  <si>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</si>
  <si>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</si>
  <si>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</si>
  <si>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</si>
  <si>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</si>
  <si>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</si>
  <si>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</si>
  <si>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</si>
  <si>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</si>
  <si>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</si>
  <si>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</si>
  <si>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</si>
  <si>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</si>
  <si>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</si>
  <si>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</si>
  <si>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</si>
  <si>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</si>
  <si>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</si>
  <si>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</si>
  <si>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</si>
  <si>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</si>
  <si>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</si>
  <si>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</si>
  <si>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</si>
  <si>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</si>
  <si>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</si>
  <si>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</si>
  <si>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</si>
  <si>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</si>
  <si>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</si>
  <si>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</si>
  <si>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</si>
  <si>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</si>
  <si>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</si>
  <si>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</si>
  <si>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</si>
  <si>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</si>
  <si>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</si>
  <si>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</si>
  <si>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</si>
  <si>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</si>
  <si>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</si>
  <si>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</si>
  <si>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</si>
  <si>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</si>
  <si>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</si>
  <si>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</si>
  <si>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</si>
  <si>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</si>
  <si>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</si>
  <si>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</si>
  <si>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</si>
  <si>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</si>
  <si>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</si>
  <si>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</si>
  <si>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</si>
  <si>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</si>
  <si>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</si>
  <si>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</si>
  <si>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</si>
  <si>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</si>
  <si>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</si>
  <si>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</si>
  <si>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</si>
  <si>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</si>
  <si>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</si>
  <si>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</si>
  <si>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</si>
  <si>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</si>
  <si>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</si>
  <si>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</si>
  <si>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</si>
  <si>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</si>
  <si>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</si>
  <si>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</si>
  <si>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</si>
  <si>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</si>
  <si>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</si>
  <si>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</si>
  <si>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</si>
  <si>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</si>
  <si>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</si>
  <si>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</si>
  <si>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</si>
  <si>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</si>
  <si>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</si>
  <si>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</si>
  <si>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</si>
  <si>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</si>
  <si>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</si>
  <si>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</si>
  <si>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</si>
  <si>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</si>
  <si>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</si>
  <si>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</si>
  <si>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</si>
  <si>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</si>
  <si>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</si>
  <si>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</si>
  <si>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</si>
  <si>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</si>
  <si>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</si>
  <si>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</si>
  <si>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</si>
  <si>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</si>
  <si>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</si>
  <si>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</si>
  <si>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</si>
  <si>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</si>
  <si>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</si>
  <si>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</si>
  <si>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</si>
  <si>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</si>
  <si>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</si>
  <si>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</si>
  <si>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</si>
  <si>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</si>
  <si>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</si>
  <si>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</si>
  <si>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</si>
  <si>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</si>
  <si>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</si>
  <si>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</si>
  <si>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</si>
  <si>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</si>
  <si>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</si>
  <si>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</si>
  <si>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</si>
  <si>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</si>
  <si>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</si>
  <si>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</si>
  <si>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</si>
  <si>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</si>
  <si>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</si>
  <si>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</si>
  <si>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</si>
  <si>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</si>
  <si>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</si>
  <si>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</si>
  <si>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</si>
  <si>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</si>
  <si>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</si>
  <si>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</si>
  <si>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</si>
  <si>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</si>
  <si>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</si>
  <si>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</si>
  <si>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</si>
  <si>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</si>
  <si>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</si>
  <si>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</si>
  <si>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</si>
  <si>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</si>
  <si>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</si>
  <si>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</si>
  <si>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</si>
  <si>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</si>
  <si>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</si>
  <si>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</si>
  <si>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</si>
  <si>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</si>
  <si>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</si>
  <si>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</si>
  <si>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</si>
  <si>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</si>
  <si>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</si>
  <si>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</si>
  <si>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</si>
  <si>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</si>
  <si>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</si>
  <si>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</si>
  <si>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</si>
  <si>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</si>
  <si>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</si>
  <si>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</si>
  <si>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</si>
  <si>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</si>
  <si>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</si>
  <si>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</si>
  <si>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</si>
  <si>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</si>
  <si>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</si>
  <si>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</si>
  <si>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</si>
  <si>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</si>
  <si>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</si>
  <si>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</si>
  <si>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</si>
  <si>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</si>
  <si>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</si>
  <si>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</si>
  <si>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</si>
  <si>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</si>
  <si>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</si>
  <si>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</si>
  <si>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</si>
  <si>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</si>
  <si>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</si>
  <si>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</si>
  <si>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</si>
  <si>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</si>
  <si>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</si>
  <si>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</si>
  <si>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</si>
  <si>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</si>
  <si>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</si>
  <si>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</si>
  <si>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</si>
  <si>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</si>
  <si>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</si>
  <si>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</si>
  <si>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</si>
  <si>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</si>
  <si>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</si>
  <si>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</si>
  <si>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</si>
  <si>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</si>
  <si>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</si>
  <si>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</si>
  <si>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</si>
  <si>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</si>
  <si>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</si>
  <si>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</si>
  <si>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</si>
  <si>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</si>
  <si>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</si>
  <si>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</si>
  <si>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</si>
  <si>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</si>
  <si>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</si>
  <si>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</si>
  <si>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</si>
  <si>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</si>
  <si>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</si>
  <si>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</si>
  <si>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</si>
  <si>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</si>
  <si>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</si>
  <si>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</si>
  <si>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</si>
  <si>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</si>
  <si>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</si>
  <si>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</si>
  <si>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</si>
  <si>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</si>
  <si>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</si>
  <si>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</si>
  <si>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</si>
  <si>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</si>
  <si>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</si>
  <si>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</si>
  <si>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</si>
  <si>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</si>
  <si>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</si>
  <si>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</si>
  <si>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</si>
  <si>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</si>
  <si>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</si>
  <si>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</si>
  <si>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</si>
  <si>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</si>
  <si>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</si>
  <si>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</si>
  <si>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</si>
  <si>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</si>
  <si>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</si>
  <si>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</si>
  <si>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</si>
  <si>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</si>
  <si>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</si>
  <si>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</si>
  <si>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</si>
  <si>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</si>
  <si>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</si>
  <si>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</si>
  <si>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</si>
  <si>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</si>
  <si>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</si>
  <si>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</si>
  <si>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</si>
  <si>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</si>
  <si>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</si>
  <si>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</si>
  <si>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</si>
  <si>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</si>
  <si>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</si>
  <si>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</si>
  <si>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</si>
  <si>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</si>
  <si>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</si>
  <si>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</si>
  <si>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</si>
  <si>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</si>
  <si>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</si>
  <si>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</si>
  <si>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</si>
  <si>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</si>
  <si>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</si>
  <si>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</si>
  <si>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</si>
  <si>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</si>
  <si>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</si>
  <si>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</si>
  <si>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</si>
  <si>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</si>
  <si>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</si>
  <si>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</si>
  <si>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</si>
  <si>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</si>
  <si>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</si>
  <si>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</si>
  <si>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</si>
  <si>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</si>
  <si>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</si>
  <si>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</si>
  <si>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</si>
  <si>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</si>
  <si>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</si>
  <si>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</si>
  <si>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</si>
  <si>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</si>
  <si>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</si>
  <si>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</si>
  <si>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</si>
  <si>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</si>
  <si>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</si>
  <si>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</si>
  <si>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</si>
  <si>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</si>
  <si>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</si>
  <si>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</si>
  <si>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</si>
  <si>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</si>
  <si>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</si>
  <si>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</si>
  <si>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</si>
  <si>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</si>
  <si>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</si>
  <si>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</si>
  <si>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</si>
  <si>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</si>
  <si>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</si>
  <si>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</si>
  <si>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</si>
  <si>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</si>
  <si>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</si>
  <si>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</si>
  <si>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</si>
  <si>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</si>
  <si>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</si>
  <si>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</si>
  <si>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</si>
  <si>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</si>
  <si>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</si>
  <si>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</si>
  <si>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</si>
  <si>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</si>
  <si>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</si>
  <si>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</si>
  <si>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</si>
  <si>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</si>
  <si>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</si>
  <si>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</si>
  <si>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</si>
  <si>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</si>
  <si>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</si>
  <si>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</si>
  <si>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</si>
  <si>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</si>
  <si>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</si>
  <si>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</si>
  <si>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</si>
  <si>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</si>
  <si>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</si>
  <si>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</si>
  <si>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</si>
  <si>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</si>
  <si>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</si>
  <si>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</si>
  <si>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</si>
  <si>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</si>
  <si>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</si>
  <si>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</si>
  <si>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</si>
  <si>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</si>
  <si>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</si>
  <si>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</si>
  <si>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</si>
  <si>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</si>
  <si>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</si>
  <si>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</si>
  <si>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</si>
  <si>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</si>
  <si>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</si>
  <si>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</si>
  <si>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</si>
  <si>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</si>
  <si>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</si>
  <si>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</si>
  <si>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</si>
  <si>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</si>
  <si>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</si>
  <si>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</si>
  <si>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</si>
  <si>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</si>
  <si>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</si>
  <si>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</si>
  <si>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</si>
  <si>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</si>
  <si>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</si>
  <si>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</si>
  <si>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</si>
  <si>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</si>
  <si>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</si>
  <si>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</si>
  <si>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</si>
  <si>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</si>
  <si>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</si>
  <si>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</si>
  <si>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</si>
  <si>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</si>
  <si>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</si>
  <si>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</si>
  <si>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</si>
  <si>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</si>
  <si>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</si>
  <si>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</si>
  <si>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</si>
  <si>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</si>
  <si>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</si>
  <si>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</si>
  <si>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</si>
  <si>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</si>
  <si>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</si>
  <si>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</si>
  <si>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</si>
  <si>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</si>
  <si>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</si>
  <si>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</si>
  <si>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</si>
  <si>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</si>
  <si>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</si>
  <si>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</si>
  <si>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</si>
  <si>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</si>
  <si>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</si>
  <si>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</si>
  <si>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</si>
  <si>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</si>
  <si>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</si>
  <si>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</si>
  <si>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</si>
  <si>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</si>
  <si>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</si>
  <si>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</si>
  <si>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</si>
  <si>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</si>
  <si>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</si>
  <si>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</si>
  <si>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</si>
  <si>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</si>
  <si>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</si>
  <si>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</si>
  <si>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</si>
  <si>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</si>
  <si>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</si>
  <si>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</si>
  <si>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</si>
  <si>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</si>
  <si>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</si>
  <si>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</si>
  <si>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</si>
  <si>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</si>
  <si>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</si>
  <si>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</si>
  <si>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</si>
  <si>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</si>
  <si>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</si>
  <si>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</si>
  <si>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</si>
  <si>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</si>
  <si>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</si>
  <si>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</si>
  <si>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</si>
  <si>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</si>
  <si>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</si>
  <si>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</si>
  <si>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</si>
  <si>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</si>
  <si>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</si>
  <si>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</si>
  <si>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</si>
  <si>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</si>
  <si>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</si>
  <si>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</si>
  <si>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</si>
  <si>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</si>
  <si>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</si>
  <si>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</si>
  <si>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</si>
  <si>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</si>
  <si>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</si>
  <si>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</si>
  <si>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</si>
  <si>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</si>
  <si>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</si>
  <si>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</si>
  <si>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</si>
  <si>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</si>
  <si>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</si>
  <si>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</si>
  <si>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</si>
  <si>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</si>
  <si>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</si>
  <si>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</si>
  <si>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</si>
  <si>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</si>
  <si>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</si>
  <si>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</si>
  <si>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</si>
  <si>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</si>
  <si>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</si>
  <si>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</si>
  <si>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</si>
  <si>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</si>
  <si>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</si>
  <si>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</si>
  <si>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</si>
  <si>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</si>
  <si>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</si>
  <si>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</si>
  <si>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</si>
  <si>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</si>
  <si>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</si>
  <si>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</si>
  <si>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</si>
  <si>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</si>
  <si>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</si>
  <si>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</si>
  <si>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</si>
  <si>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</si>
  <si>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</si>
  <si>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</si>
  <si>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</si>
  <si>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</si>
  <si>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</si>
  <si>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</si>
  <si>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</si>
  <si>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</si>
  <si>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</si>
  <si>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</si>
  <si>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</si>
  <si>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</si>
  <si>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</si>
  <si>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</si>
  <si>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</si>
  <si>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</si>
  <si>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</si>
  <si>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</si>
  <si>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</si>
  <si>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</si>
  <si>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</si>
  <si>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</si>
  <si>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</si>
  <si>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</si>
  <si>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</si>
  <si>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</si>
  <si>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</si>
  <si>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</si>
  <si>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</si>
  <si>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</si>
  <si>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</si>
  <si>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</si>
  <si>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</si>
  <si>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</si>
  <si>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</si>
  <si>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</si>
  <si>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</si>
  <si>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</si>
  <si>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</si>
  <si>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</si>
  <si>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</si>
  <si>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</si>
  <si>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</si>
  <si>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</si>
  <si>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</si>
  <si>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</si>
  <si>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</si>
  <si>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</si>
  <si>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</si>
  <si>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</si>
  <si>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</si>
  <si>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</si>
  <si>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</si>
  <si>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</si>
  <si>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</si>
  <si>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</si>
  <si>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</si>
  <si>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</si>
  <si>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</si>
  <si>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</si>
  <si>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</si>
  <si>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</si>
  <si>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</si>
  <si>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</si>
  <si>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</si>
  <si>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</si>
  <si>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</si>
  <si>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</si>
  <si>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</si>
  <si>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</si>
  <si>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</si>
  <si>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</si>
  <si>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</si>
  <si>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</si>
  <si>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</si>
  <si>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</si>
  <si>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</si>
  <si>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</si>
  <si>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</si>
  <si>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</si>
  <si>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</si>
  <si>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</si>
  <si>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</si>
  <si>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</si>
  <si>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</si>
  <si>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</si>
  <si>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</si>
  <si>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</si>
  <si>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</si>
  <si>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</si>
  <si>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</si>
  <si>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</si>
  <si>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</si>
  <si>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</si>
  <si>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</si>
  <si>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</si>
  <si>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</si>
  <si>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</si>
  <si>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</si>
  <si>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</si>
  <si>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</si>
  <si>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</si>
  <si>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</si>
  <si>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</si>
  <si>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</si>
  <si>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</si>
  <si>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</si>
  <si>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</si>
  <si>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</si>
  <si>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</si>
  <si>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</si>
  <si>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</si>
  <si>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</si>
  <si>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</si>
  <si>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</si>
  <si>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</si>
  <si>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</si>
  <si>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</si>
  <si>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</si>
  <si>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</si>
  <si>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</si>
  <si>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</si>
  <si>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</si>
  <si>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</si>
  <si>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</si>
  <si>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</si>
  <si>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</si>
  <si>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</si>
  <si>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</si>
  <si>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</si>
  <si>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</si>
  <si>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</si>
  <si>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</si>
  <si>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</si>
  <si>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</si>
  <si>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</si>
  <si>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</si>
  <si>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</si>
  <si>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</si>
  <si>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</si>
  <si>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</si>
  <si>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</si>
  <si>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</si>
  <si>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</si>
  <si>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</si>
  <si>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</si>
  <si>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</si>
  <si>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</si>
  <si>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</si>
  <si>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</si>
  <si>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</si>
  <si>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</si>
  <si>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</si>
  <si>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</si>
  <si>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</si>
  <si>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</si>
  <si>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</si>
  <si>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</si>
  <si>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</si>
  <si>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</si>
  <si>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</si>
  <si>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</si>
  <si>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</si>
  <si>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</si>
  <si>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</si>
  <si>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</si>
  <si>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</si>
  <si>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</si>
  <si>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</si>
  <si>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</si>
  <si>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</si>
  <si>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</si>
  <si>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</si>
  <si>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</si>
  <si>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</si>
  <si>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</si>
  <si>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</si>
  <si>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</si>
  <si>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</si>
  <si>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</si>
  <si>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</si>
  <si>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</si>
  <si>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</si>
  <si>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</si>
  <si>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</si>
  <si>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</si>
  <si>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</si>
  <si>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</si>
  <si>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</si>
  <si>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</si>
  <si>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</si>
  <si>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</si>
  <si>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</si>
  <si>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</si>
  <si>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</si>
  <si>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</si>
  <si>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</si>
  <si>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</si>
  <si>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</si>
  <si>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</si>
  <si>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</si>
  <si>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</si>
  <si>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</si>
  <si>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</si>
  <si>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</si>
  <si>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</si>
  <si>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</si>
  <si>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</si>
  <si>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</si>
  <si>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</si>
  <si>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</si>
  <si>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</si>
  <si>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</si>
  <si>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</si>
  <si>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</si>
  <si>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</si>
  <si>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</si>
  <si>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</si>
  <si>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</si>
  <si>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</si>
  <si>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</si>
  <si>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</si>
  <si>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</si>
  <si>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</si>
  <si>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</si>
  <si>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</si>
  <si>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</si>
  <si>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</si>
  <si>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</si>
  <si>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</si>
  <si>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</si>
  <si>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</si>
  <si>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</si>
  <si>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</si>
  <si>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</si>
  <si>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</si>
  <si>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</si>
  <si>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</si>
  <si>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</si>
  <si>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</si>
  <si>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</si>
  <si>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</si>
  <si>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</si>
  <si>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</si>
  <si>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</si>
  <si>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</si>
  <si>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</si>
  <si>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</si>
  <si>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</si>
  <si>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</si>
  <si>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</si>
  <si>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</si>
  <si>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</si>
  <si>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</si>
  <si>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</si>
  <si>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</si>
  <si>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</si>
  <si>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</si>
  <si>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</si>
  <si>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</si>
  <si>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</si>
  <si>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</si>
  <si>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</si>
  <si>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</si>
  <si>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</si>
  <si>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</si>
  <si>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</si>
  <si>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</si>
  <si>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</si>
  <si>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</si>
  <si>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</si>
  <si>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</si>
  <si>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</si>
  <si>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</si>
  <si>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</si>
  <si>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</si>
  <si>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</si>
  <si>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</si>
  <si>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</si>
  <si>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</si>
  <si>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</si>
  <si>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</si>
  <si>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</si>
  <si>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</si>
  <si>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</si>
  <si>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</si>
  <si>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</si>
  <si>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</si>
  <si>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</si>
  <si>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</si>
  <si>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</si>
  <si>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</si>
  <si>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</si>
  <si>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</si>
  <si>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</si>
  <si>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</si>
  <si>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</si>
  <si>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</si>
  <si>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</si>
  <si>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</si>
  <si>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</si>
  <si>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</si>
  <si>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</si>
  <si>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</si>
  <si>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</si>
  <si>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</si>
  <si>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</si>
  <si>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</si>
  <si>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</si>
  <si>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</si>
  <si>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</si>
  <si>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</si>
  <si>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</si>
  <si>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</si>
  <si>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</si>
  <si>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</si>
  <si>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</si>
  <si>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</si>
  <si>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</si>
  <si>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</si>
  <si>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</si>
  <si>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</si>
  <si>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</si>
  <si>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</si>
  <si>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</si>
  <si>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</si>
  <si>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</si>
  <si>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</si>
  <si>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</si>
  <si>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</si>
  <si>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</si>
  <si>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</si>
  <si>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</si>
  <si>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</si>
  <si>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</si>
  <si>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</si>
  <si>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</si>
  <si>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</si>
  <si>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</si>
  <si>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</si>
  <si>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</si>
  <si>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</si>
  <si>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</si>
  <si>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</si>
  <si>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</si>
  <si>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</si>
  <si>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</si>
  <si>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</si>
  <si>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</si>
  <si>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</si>
  <si>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</si>
  <si>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</si>
  <si>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</si>
  <si>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</si>
  <si>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</si>
  <si>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</si>
  <si>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</si>
  <si>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</si>
  <si>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</si>
  <si>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</si>
  <si>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</si>
  <si>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</si>
  <si>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</si>
  <si>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</si>
  <si>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</si>
  <si>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</si>
  <si>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</si>
  <si>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</si>
  <si>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</si>
  <si>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</si>
  <si>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</si>
  <si>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</si>
  <si>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</si>
  <si>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</si>
  <si>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</si>
  <si>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</si>
  <si>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</si>
  <si>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</si>
  <si>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</si>
  <si>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</si>
  <si>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</si>
  <si>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</si>
  <si>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</si>
  <si>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</si>
  <si>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</si>
  <si>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</si>
  <si>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</si>
  <si>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</si>
  <si>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</si>
  <si>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</si>
  <si>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</si>
  <si>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</si>
  <si>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</si>
  <si>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</si>
  <si>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</si>
  <si>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</si>
  <si>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</si>
  <si>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</si>
  <si>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</si>
  <si>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</si>
  <si>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</si>
  <si>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</si>
  <si>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</si>
  <si>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</si>
  <si>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</si>
  <si>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</si>
  <si>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</si>
  <si>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</si>
  <si>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</si>
  <si>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</si>
  <si>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</si>
  <si>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</si>
  <si>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</si>
  <si>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</si>
  <si>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</si>
  <si>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</si>
  <si>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</si>
  <si>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</si>
  <si>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</si>
  <si>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</si>
  <si>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</si>
  <si>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</si>
  <si>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</si>
  <si>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</si>
  <si>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</si>
  <si>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</si>
  <si>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</si>
  <si>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</si>
  <si>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</si>
  <si>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</si>
  <si>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</si>
  <si>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</si>
  <si>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</si>
  <si>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</si>
  <si>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</si>
  <si>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</si>
  <si>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</si>
  <si>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</si>
  <si>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</si>
  <si>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</si>
  <si>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</si>
  <si>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</si>
  <si>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</si>
  <si>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</si>
  <si>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</si>
  <si>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</si>
  <si>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</si>
  <si>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</si>
  <si>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</si>
  <si>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</si>
  <si>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</si>
  <si>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</si>
  <si>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</si>
  <si>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</si>
  <si>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</si>
  <si>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</si>
  <si>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</si>
  <si>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</si>
  <si>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</si>
  <si>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</si>
  <si>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</si>
  <si>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</si>
  <si>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</si>
  <si>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</si>
  <si>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</si>
  <si>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</si>
  <si>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</si>
  <si>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</si>
  <si>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</si>
  <si>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</si>
  <si>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</si>
  <si>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</si>
  <si>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</si>
  <si>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</si>
  <si>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</si>
  <si>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</si>
  <si>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</si>
  <si>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</si>
  <si>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</si>
  <si>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</si>
  <si>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</si>
  <si>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</si>
  <si>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</si>
  <si>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</si>
  <si>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</si>
  <si>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</si>
  <si>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</si>
  <si>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</si>
  <si>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</si>
  <si>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</si>
  <si>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</si>
  <si>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</si>
  <si>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</si>
  <si>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</si>
  <si>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</si>
  <si>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</si>
  <si>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</si>
  <si>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</si>
  <si>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</si>
  <si>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</si>
  <si>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</si>
  <si>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</si>
  <si>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</si>
  <si>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</si>
  <si>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</si>
  <si>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</si>
  <si>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</si>
  <si>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</si>
  <si>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</si>
  <si>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</si>
  <si>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</si>
  <si>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</si>
  <si>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</si>
  <si>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</si>
  <si>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</si>
  <si>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</si>
  <si>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</si>
  <si>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</si>
  <si>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</si>
  <si>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</si>
  <si>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</si>
  <si>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</si>
  <si>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</si>
  <si>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</si>
  <si>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</si>
  <si>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</si>
  <si>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</si>
  <si>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</si>
  <si>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</si>
  <si>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</si>
  <si>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</si>
  <si>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</si>
  <si>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</si>
  <si>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</si>
  <si>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</si>
  <si>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</si>
  <si>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</si>
  <si>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</si>
  <si>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</si>
  <si>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</si>
  <si>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</si>
  <si>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</si>
  <si>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</si>
  <si>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</si>
  <si>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</si>
  <si>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</si>
  <si>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</si>
  <si>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</si>
  <si>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</si>
  <si>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</si>
  <si>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</si>
  <si>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</si>
  <si>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</si>
  <si>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</si>
  <si>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</si>
  <si>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</si>
  <si>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</si>
  <si>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</si>
  <si>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</si>
  <si>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</si>
  <si>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</si>
  <si>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</si>
  <si>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</si>
  <si>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</si>
  <si>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</si>
  <si>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</si>
  <si>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</si>
  <si>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</si>
  <si>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</si>
  <si>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</si>
  <si>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</si>
  <si>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</si>
  <si>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</si>
  <si>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</si>
  <si>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</si>
  <si>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</si>
  <si>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</si>
  <si>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</si>
  <si>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</si>
  <si>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</si>
  <si>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</si>
  <si>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</si>
  <si>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</si>
  <si>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</si>
  <si>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</si>
  <si>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</si>
  <si>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</si>
  <si>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</si>
  <si>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</si>
  <si>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</si>
  <si>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</si>
  <si>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</si>
  <si>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</si>
  <si>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</si>
  <si>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</si>
  <si>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</si>
  <si>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</si>
  <si>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</si>
  <si>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</si>
  <si>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</si>
  <si>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</si>
  <si>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</si>
  <si>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</si>
  <si>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</si>
  <si>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</si>
  <si>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</si>
  <si>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</si>
  <si>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</si>
  <si>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</si>
  <si>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</si>
  <si>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</si>
  <si>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</si>
  <si>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</si>
  <si>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</si>
  <si>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</si>
  <si>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</si>
  <si>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</si>
  <si>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</si>
  <si>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</si>
  <si>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</si>
  <si>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</si>
  <si>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</si>
  <si>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</si>
  <si>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</si>
  <si>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</si>
  <si>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</si>
  <si>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</si>
  <si>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</si>
  <si>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</si>
  <si>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</si>
  <si>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</si>
  <si>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</si>
  <si>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</si>
  <si>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</si>
  <si>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</si>
  <si>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</si>
  <si>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</si>
  <si>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</si>
  <si>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</si>
  <si>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</si>
  <si>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</si>
  <si>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</si>
  <si>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</si>
  <si>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</si>
  <si>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</si>
  <si>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</si>
  <si>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</si>
  <si>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</si>
  <si>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</si>
  <si>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</si>
  <si>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</si>
  <si>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</si>
  <si>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</si>
  <si>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</si>
  <si>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</si>
  <si>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</si>
  <si>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</si>
  <si>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</si>
  <si>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</si>
  <si>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</si>
  <si>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</si>
  <si>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</si>
  <si>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</si>
  <si>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</si>
  <si>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</si>
  <si>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</si>
  <si>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</si>
  <si>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</si>
  <si>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</si>
  <si>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</si>
  <si>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</si>
  <si>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</si>
  <si>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</si>
  <si>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</si>
  <si>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</si>
  <si>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</si>
  <si>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</si>
  <si>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</si>
  <si>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</si>
  <si>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</si>
  <si>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</si>
  <si>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</si>
  <si>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</si>
  <si>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</si>
  <si>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</si>
  <si>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</si>
  <si>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</si>
  <si>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</si>
  <si>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</si>
  <si>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</si>
  <si>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</si>
  <si>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</si>
  <si>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</si>
  <si>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</si>
  <si>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</si>
  <si>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</si>
  <si>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</si>
  <si>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</si>
  <si>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</si>
  <si>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</si>
  <si>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</si>
  <si>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</si>
  <si>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</si>
  <si>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</si>
  <si>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</si>
  <si>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</si>
  <si>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</si>
  <si>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</si>
  <si>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</si>
  <si>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</si>
  <si>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</si>
  <si>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</si>
  <si>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</si>
  <si>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</si>
  <si>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</si>
  <si>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</si>
  <si>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</si>
  <si>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</si>
  <si>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</si>
  <si>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</si>
  <si>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</si>
  <si>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</si>
  <si>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</si>
  <si>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</si>
  <si>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</si>
  <si>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</si>
  <si>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</si>
  <si>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</si>
  <si>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</si>
  <si>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</si>
  <si>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</si>
  <si>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</si>
  <si>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</si>
  <si>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</si>
  <si>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</si>
  <si>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</si>
  <si>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</si>
  <si>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</si>
  <si>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</si>
  <si>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</si>
  <si>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</si>
  <si>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</si>
  <si>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</si>
  <si>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</si>
  <si>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</si>
  <si>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</si>
  <si>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</si>
  <si>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</si>
  <si>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</si>
  <si>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</si>
  <si>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</si>
  <si>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</si>
  <si>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</si>
  <si>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</si>
  <si>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</si>
  <si>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</si>
  <si>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</si>
  <si>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</si>
  <si>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</si>
  <si>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</si>
  <si>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</si>
  <si>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</si>
  <si>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</si>
  <si>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</si>
  <si>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</si>
  <si>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</si>
  <si>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</si>
  <si>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</si>
  <si>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</si>
  <si>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</si>
  <si>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</si>
  <si>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</si>
  <si>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</si>
  <si>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</si>
  <si>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</si>
  <si>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</si>
  <si>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</si>
  <si>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</si>
  <si>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</si>
  <si>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</si>
  <si>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</si>
  <si>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</si>
  <si>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</si>
  <si>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</si>
  <si>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</si>
  <si>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</si>
  <si>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</si>
  <si>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</si>
  <si>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</si>
  <si>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</si>
  <si>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</si>
  <si>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</si>
  <si>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</si>
  <si>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</si>
  <si>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</si>
  <si>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</si>
  <si>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</si>
  <si>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</si>
  <si>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</si>
  <si>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</si>
  <si>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</si>
  <si>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</si>
  <si>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</si>
  <si>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</si>
  <si>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</si>
  <si>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</si>
  <si>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</si>
  <si>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</si>
  <si>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</si>
  <si>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</si>
  <si>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</si>
  <si>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</si>
  <si>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</si>
  <si>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</si>
  <si>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</si>
  <si>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</si>
  <si>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</si>
  <si>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</si>
  <si>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</si>
  <si>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</si>
  <si>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</si>
  <si>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</si>
  <si>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</si>
  <si>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</si>
  <si>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</si>
  <si>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</si>
  <si>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</si>
  <si>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</si>
  <si>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</si>
  <si>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</si>
  <si>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</si>
  <si>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</si>
  <si>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</si>
  <si>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</si>
  <si>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</si>
  <si>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</si>
  <si>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</si>
  <si>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</si>
  <si>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</si>
  <si>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</si>
  <si>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</si>
  <si>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</si>
  <si>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</si>
  <si>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</si>
  <si>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</si>
  <si>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</si>
  <si>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</si>
  <si>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</si>
  <si>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</si>
  <si>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</si>
  <si>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</si>
  <si>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</si>
  <si>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</si>
  <si>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</si>
  <si>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</si>
  <si>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</si>
  <si>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</si>
  <si>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</si>
  <si>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</si>
  <si>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</si>
  <si>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</si>
  <si>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</si>
  <si>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</si>
  <si>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</si>
  <si>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</si>
  <si>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</si>
  <si>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</si>
  <si>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</si>
  <si>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</si>
  <si>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</si>
  <si>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</si>
  <si>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</si>
  <si>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</si>
  <si>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</si>
  <si>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</si>
  <si>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</si>
  <si>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</si>
  <si>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</si>
  <si>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</si>
  <si>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</si>
  <si>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</si>
  <si>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</si>
  <si>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</si>
  <si>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</si>
  <si>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</si>
  <si>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</si>
  <si>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</si>
  <si>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</si>
  <si>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</si>
  <si>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</si>
  <si>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</si>
  <si>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</si>
  <si>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</si>
  <si>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</si>
  <si>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</si>
  <si>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</si>
  <si>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</si>
  <si>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</si>
  <si>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</si>
  <si>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</si>
  <si>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</si>
  <si>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</si>
  <si>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</si>
  <si>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</si>
  <si>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</si>
  <si>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</si>
  <si>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</si>
  <si>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</si>
  <si>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</si>
  <si>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</si>
  <si>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</si>
  <si>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</si>
  <si>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</si>
  <si>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</si>
  <si>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</si>
  <si>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</si>
  <si>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</si>
  <si>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</si>
  <si>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</si>
  <si>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</si>
  <si>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</si>
  <si>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</si>
  <si>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</si>
  <si>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</si>
  <si>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</si>
  <si>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</si>
  <si>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</si>
  <si>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</si>
  <si>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</si>
  <si>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</si>
  <si>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</si>
  <si>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</si>
  <si>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</si>
  <si>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</si>
  <si>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</si>
  <si>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</si>
  <si>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</si>
  <si>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</si>
  <si>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</si>
  <si>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</si>
  <si>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</si>
  <si>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</si>
  <si>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</si>
  <si>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</si>
  <si>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</si>
  <si>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</si>
  <si>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</si>
  <si>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</si>
  <si>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</si>
  <si>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</si>
  <si>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</si>
  <si>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</si>
  <si>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</si>
  <si>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</si>
  <si>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</si>
  <si>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</si>
  <si>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</si>
  <si>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</si>
  <si>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</si>
  <si>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</si>
  <si>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</si>
  <si>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</si>
  <si>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</si>
  <si>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</si>
  <si>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</si>
  <si>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</si>
  <si>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</si>
  <si>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</si>
  <si>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</si>
  <si>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</si>
  <si>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</si>
  <si>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</si>
  <si>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</si>
  <si>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</si>
  <si>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</si>
  <si>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</si>
  <si>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</si>
  <si>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</si>
  <si>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</si>
  <si>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</si>
  <si>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</si>
  <si>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</si>
  <si>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</si>
  <si>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</si>
  <si>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</si>
  <si>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</si>
  <si>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</si>
  <si>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</si>
  <si>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</si>
  <si>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</si>
  <si>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</si>
  <si>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</si>
  <si>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</si>
  <si>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</si>
  <si>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</si>
  <si>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</si>
  <si>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</si>
  <si>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</si>
  <si>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</si>
  <si>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</si>
  <si>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</si>
  <si>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</si>
  <si>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</si>
  <si>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</si>
  <si>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</si>
  <si>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</si>
  <si>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</si>
  <si>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</si>
  <si>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</si>
  <si>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</si>
  <si>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</si>
  <si>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</si>
  <si>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</si>
  <si>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</si>
  <si>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</si>
  <si>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</si>
  <si>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</si>
  <si>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</si>
  <si>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</si>
  <si>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</si>
  <si>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</si>
  <si>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</si>
  <si>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</si>
  <si>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</si>
  <si>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</si>
  <si>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</si>
  <si>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</si>
  <si>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</si>
  <si>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</si>
  <si>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</si>
  <si>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</si>
  <si>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</si>
  <si>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</si>
  <si>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</si>
  <si>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</si>
  <si>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</si>
  <si>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</si>
  <si>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</si>
  <si>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</si>
  <si>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</si>
  <si>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</si>
  <si>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</si>
  <si>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</si>
  <si>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</si>
  <si>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</si>
  <si>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</si>
  <si>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</si>
  <si>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</si>
  <si>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</si>
  <si>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</si>
  <si>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</si>
  <si>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</si>
  <si>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</si>
  <si>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</si>
  <si>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</si>
  <si>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</si>
  <si>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</si>
  <si>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</si>
  <si>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</si>
  <si>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</si>
  <si>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</si>
  <si>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</si>
  <si>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</si>
  <si>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</si>
  <si>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</si>
  <si>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</si>
  <si>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</si>
  <si>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</si>
  <si>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</si>
  <si>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</si>
  <si>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</si>
  <si>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</si>
  <si>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</si>
  <si>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</si>
  <si>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</si>
  <si>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</si>
  <si>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</si>
  <si>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</si>
  <si>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</si>
  <si>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</si>
  <si>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</si>
  <si>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</si>
  <si>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</si>
  <si>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</si>
  <si>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</si>
  <si>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</si>
  <si>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</si>
  <si>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</si>
  <si>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</si>
  <si>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</si>
  <si>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</si>
  <si>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</si>
  <si>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</si>
  <si>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</si>
  <si>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</si>
  <si>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</si>
  <si>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</si>
  <si>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</si>
  <si>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</si>
  <si>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</si>
  <si>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</si>
  <si>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</si>
  <si>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</si>
  <si>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</si>
  <si>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</si>
  <si>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</si>
  <si>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</si>
  <si>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</si>
  <si>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</si>
  <si>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</si>
  <si>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</si>
  <si>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</si>
  <si>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</si>
  <si>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</si>
  <si>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</si>
  <si>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</si>
  <si>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</si>
  <si>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</si>
  <si>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</si>
  <si>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</si>
  <si>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</si>
  <si>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</si>
  <si>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</si>
  <si>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</si>
  <si>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</si>
  <si>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</si>
  <si>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</si>
  <si>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</si>
  <si>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</si>
  <si>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</si>
  <si>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</si>
  <si>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</si>
  <si>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</si>
  <si>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</si>
  <si>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</si>
  <si>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</si>
  <si>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</si>
  <si>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</si>
  <si>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</si>
  <si>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</si>
  <si>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</si>
  <si>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</si>
  <si>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</si>
  <si>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</si>
  <si>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</si>
  <si>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</si>
  <si>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</si>
  <si>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</si>
  <si>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</si>
  <si>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</si>
  <si>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</si>
  <si>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</si>
  <si>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</si>
  <si>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</si>
  <si>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</si>
  <si>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</si>
  <si>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</si>
  <si>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</si>
  <si>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</si>
  <si>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</si>
  <si>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</si>
  <si>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</si>
  <si>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</si>
  <si>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</si>
  <si>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</si>
  <si>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</si>
  <si>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</si>
  <si>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</si>
  <si>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</si>
  <si>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</si>
  <si>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</si>
  <si>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</si>
  <si>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</si>
  <si>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</si>
  <si>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</si>
  <si>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</si>
  <si>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</si>
  <si>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</si>
  <si>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</si>
  <si>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</si>
  <si>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</si>
  <si>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</si>
  <si>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</si>
  <si>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</si>
  <si>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</si>
  <si>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</si>
  <si>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</si>
  <si>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</si>
  <si>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</si>
  <si>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</si>
  <si>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</si>
  <si>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</si>
  <si>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</si>
  <si>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</si>
  <si>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</si>
  <si>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</si>
  <si>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</si>
  <si>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</si>
  <si>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</si>
  <si>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</si>
  <si>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</si>
  <si>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</si>
  <si>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</si>
  <si>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</si>
  <si>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</si>
  <si>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</si>
  <si>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</si>
  <si>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</si>
  <si>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</si>
  <si>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</si>
  <si>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</si>
  <si>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</si>
  <si>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</si>
  <si>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</si>
  <si>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</si>
  <si>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</si>
  <si>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</si>
  <si>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</si>
  <si>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</si>
  <si>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</si>
  <si>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</si>
  <si>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</si>
  <si>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</si>
  <si>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</si>
  <si>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</si>
  <si>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</si>
  <si>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</si>
  <si>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</si>
  <si>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</si>
  <si>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</si>
  <si>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</si>
  <si>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</si>
  <si>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</si>
  <si>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</si>
  <si>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</si>
  <si>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</si>
  <si>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</si>
  <si>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</si>
  <si>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</si>
  <si>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</si>
  <si>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</si>
  <si>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</si>
  <si>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</si>
  <si>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</si>
  <si>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</si>
  <si>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</si>
  <si>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</si>
  <si>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</si>
  <si>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</si>
  <si>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</si>
  <si>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</si>
  <si>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</si>
  <si>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</si>
  <si>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</si>
  <si>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</si>
  <si>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</si>
  <si>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</si>
  <si>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</si>
  <si>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</si>
  <si>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</si>
  <si>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</si>
  <si>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</si>
  <si>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</si>
  <si>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</si>
  <si>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</si>
  <si>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</si>
  <si>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</si>
  <si>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</si>
  <si>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</si>
  <si>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</si>
  <si>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</si>
  <si>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</si>
  <si>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</si>
  <si>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</si>
  <si>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</si>
  <si>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</si>
  <si>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</si>
  <si>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</si>
  <si>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</si>
  <si>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</si>
  <si>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</si>
  <si>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</si>
  <si>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</si>
  <si>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</si>
  <si>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</si>
  <si>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</si>
  <si>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</si>
  <si>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</si>
  <si>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</si>
  <si>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</si>
  <si>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</si>
  <si>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</si>
  <si>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</si>
  <si>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</si>
  <si>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</si>
  <si>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</si>
  <si>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</si>
  <si>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</si>
  <si>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</si>
  <si>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</si>
  <si>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</si>
  <si>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</si>
  <si>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</si>
  <si>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</si>
  <si>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</si>
  <si>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</si>
  <si>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</si>
  <si>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</si>
  <si>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</si>
  <si>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</si>
  <si>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</si>
  <si>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</si>
  <si>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</si>
  <si>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</si>
  <si>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</si>
  <si>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</si>
  <si>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</si>
  <si>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</si>
  <si>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</si>
  <si>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</si>
  <si>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</si>
  <si>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</si>
  <si>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</si>
  <si>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</si>
  <si>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</si>
  <si>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</si>
  <si>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</si>
  <si>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</si>
  <si>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</si>
  <si>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</si>
  <si>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</si>
  <si>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</si>
  <si>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</si>
  <si>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</si>
  <si>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</si>
  <si>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</si>
  <si>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</si>
  <si>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</si>
  <si>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</si>
  <si>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</si>
  <si>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</si>
  <si>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</si>
  <si>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</si>
  <si>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</si>
  <si>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</si>
  <si>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</si>
  <si>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</si>
  <si>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</si>
  <si>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</si>
  <si>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</si>
  <si>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</si>
  <si>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</si>
  <si>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</si>
  <si>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</si>
  <si>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</si>
  <si>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</si>
  <si>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</si>
  <si>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</si>
  <si>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</si>
  <si>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</si>
  <si>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</si>
  <si>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</si>
  <si>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</si>
  <si>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</si>
  <si>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</si>
  <si>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</si>
  <si>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</si>
  <si>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</si>
  <si>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</si>
  <si>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</si>
  <si>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</si>
  <si>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</si>
  <si>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</si>
  <si>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</si>
  <si>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</si>
  <si>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</si>
  <si>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</si>
  <si>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</si>
  <si>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</si>
  <si>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</si>
  <si>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</si>
  <si>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</si>
  <si>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</si>
  <si>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</si>
  <si>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</si>
  <si>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</si>
  <si>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</si>
  <si>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</si>
  <si>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</si>
  <si>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</si>
  <si>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</si>
  <si>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</si>
  <si>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</si>
  <si>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</si>
  <si>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</si>
  <si>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</si>
  <si>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</si>
  <si>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</si>
  <si>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</si>
  <si>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</si>
  <si>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</si>
  <si>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</si>
  <si>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</si>
  <si>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</si>
  <si>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</si>
  <si>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</si>
  <si>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</si>
  <si>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</si>
  <si>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</si>
  <si>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</si>
  <si>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</si>
  <si>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</si>
  <si>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</si>
  <si>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</si>
  <si>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</si>
  <si>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</si>
  <si>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</si>
  <si>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</si>
  <si>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</si>
  <si>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</si>
  <si>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</si>
  <si>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</si>
  <si>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</si>
  <si>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</si>
  <si>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</si>
  <si>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</si>
  <si>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</si>
  <si>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</si>
  <si>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</si>
  <si>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</si>
  <si>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</si>
  <si>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</si>
  <si>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</si>
  <si>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</si>
  <si>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</si>
  <si>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</si>
  <si>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</si>
  <si>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</si>
  <si>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</si>
  <si>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</si>
  <si>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</si>
  <si>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</si>
  <si>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</si>
  <si>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</si>
  <si>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</si>
  <si>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</si>
  <si>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</si>
  <si>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</si>
  <si>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</si>
  <si>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</si>
  <si>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</si>
  <si>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</si>
  <si>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</si>
  <si>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</si>
  <si>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</si>
  <si>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</si>
  <si>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</si>
  <si>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</si>
  <si>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</si>
  <si>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</si>
  <si>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</si>
  <si>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</si>
  <si>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</si>
  <si>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</si>
  <si>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</si>
  <si>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</si>
  <si>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</si>
  <si>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</si>
  <si>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</si>
  <si>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</si>
  <si>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</si>
  <si>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</si>
  <si>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</si>
  <si>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</si>
  <si>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</si>
  <si>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</si>
  <si>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</si>
  <si>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</si>
  <si>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</si>
  <si>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</si>
  <si>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</si>
  <si>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</si>
  <si>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</si>
  <si>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</si>
  <si>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</si>
  <si>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</si>
  <si>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</si>
  <si>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</si>
  <si>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</si>
  <si>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</si>
  <si>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</si>
  <si>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</si>
  <si>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</si>
  <si>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</si>
  <si>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</si>
  <si>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</si>
  <si>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</si>
  <si>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</si>
  <si>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</si>
  <si>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</si>
  <si>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</si>
  <si>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</si>
  <si>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</si>
  <si>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</si>
  <si>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</si>
  <si>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</si>
  <si>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</si>
  <si>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</si>
  <si>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</si>
  <si>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</si>
  <si>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</si>
  <si>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</si>
  <si>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</si>
  <si>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</si>
  <si>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</si>
  <si>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</si>
  <si>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</si>
  <si>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</si>
  <si>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</si>
  <si>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</si>
  <si>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</si>
  <si>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</si>
  <si>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</si>
  <si>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</si>
  <si>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</si>
  <si>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</si>
  <si>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</si>
  <si>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</si>
  <si>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</si>
  <si>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</si>
  <si>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</si>
  <si>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</si>
  <si>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</si>
  <si>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</si>
  <si>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</si>
  <si>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</si>
  <si>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</si>
  <si>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</si>
  <si>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</si>
  <si>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</si>
  <si>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</si>
  <si>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</si>
  <si>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</si>
  <si>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</si>
  <si>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</si>
  <si>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</si>
  <si>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</si>
  <si>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</si>
  <si>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</si>
  <si>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</si>
  <si>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</si>
  <si>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</si>
  <si>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</si>
  <si>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</si>
  <si>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</si>
  <si>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</si>
  <si>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</si>
  <si>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</si>
  <si>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</si>
  <si>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</si>
  <si>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</si>
  <si>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</si>
  <si>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</si>
  <si>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</si>
  <si>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</si>
  <si>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</si>
  <si>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</si>
  <si>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</si>
  <si>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</si>
  <si>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</si>
  <si>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</si>
  <si>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</si>
  <si>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</si>
  <si>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</si>
  <si>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</si>
  <si>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</si>
  <si>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</si>
  <si>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</si>
  <si>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</si>
  <si>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</si>
  <si>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</si>
  <si>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</si>
  <si>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</si>
  <si>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</si>
  <si>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</si>
  <si>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</si>
  <si>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</si>
  <si>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</si>
  <si>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</si>
  <si>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</si>
  <si>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</si>
  <si>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</si>
  <si>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</si>
  <si>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</si>
  <si>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</si>
  <si>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</si>
  <si>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</si>
  <si>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</si>
  <si>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</si>
  <si>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</si>
  <si>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</si>
  <si>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</si>
  <si>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</si>
  <si>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</si>
  <si>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</si>
  <si>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</si>
  <si>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</si>
  <si>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</si>
  <si>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</si>
  <si>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</si>
  <si>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</si>
  <si>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</si>
  <si>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</si>
  <si>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</si>
  <si>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</si>
  <si>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</si>
  <si>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</si>
  <si>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</si>
  <si>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</si>
  <si>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</si>
  <si>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</si>
  <si>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</si>
  <si>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</si>
  <si>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</si>
  <si>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</si>
  <si>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</si>
  <si>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</si>
  <si>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</si>
  <si>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</si>
  <si>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</si>
  <si>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</si>
  <si>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</si>
  <si>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</si>
  <si>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</si>
  <si>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</si>
  <si>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</si>
  <si>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</si>
  <si>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</si>
  <si>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</si>
  <si>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</si>
  <si>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</si>
  <si>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</si>
  <si>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</si>
  <si>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</si>
  <si>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</si>
  <si>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</si>
  <si>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</si>
  <si>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</si>
  <si>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</si>
  <si>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</si>
  <si>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</si>
  <si>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</si>
  <si>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</si>
  <si>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</si>
  <si>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</si>
  <si>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</si>
  <si>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</si>
  <si>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</si>
  <si>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</si>
  <si>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</si>
  <si>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</si>
  <si>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</si>
  <si>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</si>
  <si>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</si>
  <si>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</si>
  <si>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</si>
  <si>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</si>
  <si>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</si>
  <si>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</si>
  <si>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</si>
  <si>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</si>
  <si>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</si>
  <si>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</si>
  <si>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</si>
  <si>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</si>
  <si>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</si>
  <si>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</si>
  <si>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</si>
  <si>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</si>
  <si>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</si>
  <si>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</si>
  <si>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</si>
  <si>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</si>
  <si>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</si>
  <si>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</si>
  <si>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</si>
  <si>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</si>
  <si>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</si>
  <si>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</si>
  <si>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</si>
  <si>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</si>
  <si>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</si>
  <si>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</si>
  <si>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</si>
  <si>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</si>
  <si>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</si>
  <si>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</si>
  <si>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</si>
  <si>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</si>
  <si>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</si>
  <si>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</si>
  <si>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</si>
  <si>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</si>
  <si>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</si>
  <si>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</si>
  <si>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</si>
  <si>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</si>
  <si>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</si>
  <si>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</si>
  <si>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</si>
  <si>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</si>
  <si>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</si>
  <si>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</si>
  <si>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</si>
  <si>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</si>
  <si>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</si>
  <si>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</si>
  <si>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</si>
  <si>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</si>
  <si>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</si>
  <si>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</si>
  <si>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</si>
  <si>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</si>
  <si>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</si>
  <si>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</si>
  <si>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</si>
  <si>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</si>
  <si>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</si>
  <si>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</si>
  <si>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</si>
  <si>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</si>
  <si>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</si>
  <si>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</si>
  <si>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</si>
  <si>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</si>
  <si>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</si>
  <si>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</si>
  <si>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</si>
  <si>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</si>
  <si>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</si>
  <si>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</si>
  <si>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</si>
  <si>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</si>
  <si>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</si>
  <si>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</si>
  <si>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</si>
  <si>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</si>
  <si>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</si>
  <si>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</si>
  <si>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</si>
  <si>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</si>
  <si>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</si>
  <si>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</si>
  <si>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</si>
  <si>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</si>
  <si>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</si>
  <si>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</si>
  <si>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</si>
  <si>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</si>
  <si>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</si>
  <si>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</si>
  <si>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</si>
  <si>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</si>
  <si>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</si>
  <si>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</si>
  <si>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</si>
  <si>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</si>
  <si>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</si>
  <si>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</si>
  <si>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</si>
  <si>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</si>
  <si>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</si>
  <si>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</si>
  <si>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</si>
  <si>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</si>
  <si>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</si>
  <si>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</si>
  <si>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</si>
  <si>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</si>
  <si>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</si>
  <si>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</si>
  <si>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</si>
  <si>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</si>
  <si>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</si>
  <si>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</si>
  <si>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</si>
  <si>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</si>
  <si>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</si>
  <si>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</si>
  <si>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</si>
  <si>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</si>
  <si>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</si>
  <si>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</si>
  <si>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</si>
  <si>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</si>
  <si>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</si>
  <si>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</si>
  <si>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</si>
  <si>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</si>
  <si>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</si>
  <si>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</si>
  <si>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</si>
  <si>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</si>
  <si>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</si>
  <si>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</si>
  <si>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</si>
  <si>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</si>
  <si>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</si>
  <si>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</si>
  <si>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</si>
  <si>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</si>
  <si>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</si>
  <si>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</si>
  <si>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</si>
  <si>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</si>
  <si>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</si>
  <si>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</si>
  <si>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</si>
  <si>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</si>
  <si>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</si>
  <si>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</si>
  <si>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</si>
  <si>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</si>
  <si>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</si>
  <si>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</si>
  <si>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</si>
  <si>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</si>
  <si>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</si>
  <si>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</si>
  <si>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</si>
  <si>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</si>
  <si>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</si>
  <si>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</si>
  <si>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</si>
  <si>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</si>
  <si>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</si>
  <si>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</si>
  <si>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</si>
  <si>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</si>
  <si>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</si>
  <si>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</si>
  <si>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</si>
  <si>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</si>
  <si>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</si>
  <si>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</si>
  <si>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</si>
  <si>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</si>
  <si>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</si>
  <si>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</si>
  <si>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</si>
  <si>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</si>
  <si>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</si>
  <si>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</si>
  <si>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</si>
  <si>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</si>
  <si>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</si>
  <si>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</si>
  <si>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</si>
  <si>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</si>
  <si>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</si>
  <si>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</si>
  <si>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</si>
  <si>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</si>
  <si>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</si>
  <si>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</si>
  <si>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</si>
  <si>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</si>
  <si>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</si>
  <si>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</si>
  <si>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</si>
  <si>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</si>
  <si>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</si>
  <si>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</si>
  <si>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</si>
  <si>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</si>
  <si>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</si>
  <si>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</si>
  <si>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</si>
  <si>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</si>
  <si>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</si>
  <si>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</si>
  <si>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</si>
  <si>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</si>
  <si>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</si>
  <si>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</si>
  <si>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</si>
  <si>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</si>
  <si>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</si>
  <si>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</si>
  <si>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</si>
  <si>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</si>
  <si>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</si>
  <si>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</si>
  <si>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</si>
  <si>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</si>
  <si>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</si>
  <si>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</si>
  <si>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</si>
  <si>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</si>
  <si>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</si>
  <si>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</si>
  <si>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</si>
  <si>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</si>
  <si>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</si>
  <si>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</si>
  <si>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</si>
  <si>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</si>
  <si>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</si>
  <si>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</si>
  <si>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</si>
  <si>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</si>
  <si>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</si>
  <si>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</si>
  <si>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</si>
  <si>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</si>
  <si>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</si>
  <si>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</si>
  <si>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</si>
  <si>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</si>
  <si>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</si>
  <si>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</si>
  <si>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</si>
  <si>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</si>
  <si>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</si>
  <si>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</si>
  <si>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</si>
  <si>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</si>
  <si>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</si>
  <si>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</si>
  <si>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</si>
  <si>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</si>
  <si>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</si>
  <si>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</si>
  <si>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</si>
  <si>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</si>
  <si>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</si>
  <si>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</si>
  <si>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</si>
  <si>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</si>
  <si>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</si>
  <si>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</si>
  <si>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</si>
  <si>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</si>
  <si>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</si>
  <si>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</si>
  <si>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</si>
  <si>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</si>
  <si>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</si>
  <si>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</si>
  <si>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</si>
  <si>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</si>
  <si>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</si>
  <si>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</si>
  <si>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</si>
  <si>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</si>
  <si>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</si>
  <si>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</si>
  <si>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</si>
  <si>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</si>
  <si>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</si>
  <si>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</si>
  <si>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</si>
  <si>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</si>
  <si>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</si>
  <si>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</si>
  <si>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</si>
  <si>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</si>
  <si>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</si>
  <si>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</si>
  <si>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</si>
  <si>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</si>
  <si>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</si>
  <si>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</si>
  <si>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</si>
  <si>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</si>
  <si>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</si>
  <si>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</si>
  <si>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</si>
  <si>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</si>
  <si>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</si>
  <si>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</si>
  <si>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</si>
  <si>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</si>
  <si>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</si>
  <si>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</si>
  <si>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</si>
  <si>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</si>
  <si>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</si>
  <si>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</si>
  <si>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</si>
  <si>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</si>
  <si>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</si>
  <si>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</si>
  <si>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</si>
  <si>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</si>
  <si>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</si>
  <si>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</si>
  <si>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</si>
  <si>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</si>
  <si>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</si>
  <si>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</si>
  <si>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</si>
  <si>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</si>
  <si>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</si>
  <si>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</si>
  <si>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</si>
  <si>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</si>
  <si>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</si>
  <si>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</si>
  <si>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</si>
  <si>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</si>
  <si>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</si>
  <si>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</si>
  <si>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</si>
  <si>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</si>
  <si>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</si>
  <si>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</si>
  <si>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</si>
  <si>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</si>
  <si>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</si>
  <si>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</si>
  <si>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</si>
  <si>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</si>
  <si>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</si>
  <si>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</si>
  <si>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</si>
  <si>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</si>
  <si>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</si>
  <si>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</si>
  <si>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</si>
  <si>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</si>
  <si>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</si>
  <si>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</si>
  <si>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</si>
  <si>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</si>
  <si>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</si>
  <si>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</si>
  <si>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</si>
  <si>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</si>
  <si>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</si>
  <si>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</si>
  <si>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</si>
  <si>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</si>
  <si>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</si>
  <si>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</si>
  <si>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</si>
  <si>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</si>
  <si>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</si>
  <si>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</si>
  <si>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</si>
  <si>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</si>
  <si>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</si>
  <si>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</si>
  <si>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</si>
  <si>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</si>
  <si>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</si>
  <si>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</si>
  <si>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</si>
  <si>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</si>
  <si>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</si>
  <si>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</si>
  <si>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</si>
  <si>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</si>
  <si>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</si>
  <si>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</si>
  <si>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</si>
  <si>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</si>
  <si>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</si>
  <si>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</si>
  <si>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</si>
  <si>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</si>
  <si>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</si>
  <si>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</si>
  <si>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</si>
  <si>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</si>
  <si>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</si>
  <si>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</si>
  <si>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</si>
  <si>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</si>
  <si>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</si>
  <si>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</si>
  <si>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</si>
  <si>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</si>
  <si>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</si>
  <si>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</si>
  <si>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</si>
  <si>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</si>
  <si>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</si>
  <si>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</si>
  <si>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</si>
  <si>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</si>
  <si>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</si>
  <si>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</si>
  <si>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</si>
  <si>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</si>
  <si>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</si>
  <si>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</si>
  <si>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</si>
  <si>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</si>
  <si>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</si>
  <si>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</si>
  <si>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</si>
  <si>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</si>
  <si>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</si>
  <si>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</si>
  <si>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</si>
  <si>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</si>
  <si>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</si>
  <si>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</si>
  <si>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</si>
  <si>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</si>
  <si>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</si>
  <si>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</si>
  <si>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</si>
  <si>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</si>
  <si>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</si>
  <si>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</si>
  <si>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</si>
  <si>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</si>
  <si>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</si>
  <si>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</si>
  <si>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</si>
  <si>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</si>
  <si>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</si>
  <si>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</si>
  <si>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</si>
  <si>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</si>
  <si>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</si>
  <si>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</si>
  <si>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</si>
  <si>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</si>
  <si>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</si>
  <si>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</si>
  <si>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</si>
  <si>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</si>
  <si>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</si>
  <si>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</si>
  <si>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</si>
  <si>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</si>
  <si>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</si>
  <si>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</si>
  <si>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</si>
  <si>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</si>
  <si>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</si>
  <si>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</si>
  <si>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</si>
  <si>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</si>
  <si>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</si>
  <si>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</si>
  <si>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</si>
  <si>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</si>
  <si>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</si>
  <si>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</si>
  <si>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</si>
  <si>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</si>
  <si>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</si>
  <si>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</si>
  <si>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</si>
  <si>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</si>
  <si>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</si>
  <si>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</si>
  <si>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</si>
  <si>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</si>
  <si>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</si>
  <si>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</si>
  <si>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</si>
  <si>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</si>
  <si>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</si>
  <si>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</si>
  <si>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</si>
  <si>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</si>
  <si>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</si>
  <si>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</si>
  <si>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</si>
  <si>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</si>
  <si>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</si>
  <si>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</si>
  <si>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</si>
  <si>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</si>
  <si>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</si>
  <si>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</si>
  <si>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</si>
  <si>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</si>
  <si>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</si>
  <si>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</si>
  <si>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</si>
  <si>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</si>
  <si>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</si>
  <si>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</si>
  <si>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</si>
  <si>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</si>
  <si>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</si>
  <si>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</si>
  <si>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</si>
  <si>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</si>
  <si>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</si>
  <si>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</si>
  <si>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</si>
  <si>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</si>
  <si>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</si>
  <si>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</si>
  <si>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</si>
  <si>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</si>
  <si>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</si>
  <si>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</si>
  <si>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</si>
  <si>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</si>
  <si>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</si>
  <si>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</si>
  <si>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</si>
  <si>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</si>
  <si>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</si>
  <si>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</si>
  <si>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</si>
  <si>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</si>
  <si>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</si>
  <si>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</si>
  <si>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</si>
  <si>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</si>
  <si>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</si>
  <si>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</si>
  <si>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</si>
  <si>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</si>
  <si>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</si>
  <si>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</si>
  <si>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</si>
  <si>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</si>
  <si>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</si>
  <si>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</si>
  <si>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</si>
  <si>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</si>
  <si>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</si>
  <si>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</si>
  <si>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</si>
  <si>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</si>
  <si>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</si>
  <si>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</si>
  <si>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</si>
  <si>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</si>
  <si>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</si>
  <si>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</si>
  <si>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</si>
  <si>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</si>
  <si>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</si>
  <si>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</si>
  <si>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</si>
  <si>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</si>
  <si>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</si>
  <si>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</si>
  <si>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</si>
  <si>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</si>
  <si>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</si>
  <si>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</si>
  <si>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</si>
  <si>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</si>
  <si>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</si>
  <si>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</si>
  <si>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</si>
  <si>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</si>
  <si>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</si>
  <si>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</si>
  <si>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</si>
  <si>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</si>
  <si>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</si>
  <si>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</si>
  <si>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</si>
  <si>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</si>
  <si>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</si>
  <si>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</si>
  <si>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</si>
  <si>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</si>
  <si>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</si>
  <si>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</si>
  <si>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</si>
  <si>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</si>
  <si>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</si>
  <si>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</si>
  <si>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</si>
  <si>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</si>
  <si>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</si>
  <si>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</si>
  <si>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</si>
  <si>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</si>
  <si>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</si>
  <si>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</si>
  <si>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</si>
  <si>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</si>
  <si>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</si>
  <si>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</si>
  <si>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</si>
  <si>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</si>
  <si>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</si>
  <si>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</si>
  <si>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</si>
  <si>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</si>
  <si>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</si>
  <si>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</si>
  <si>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</si>
  <si>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</si>
  <si>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</si>
  <si>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</si>
  <si>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</si>
  <si>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</si>
  <si>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</si>
  <si>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</si>
  <si>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</si>
  <si>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</si>
  <si>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</si>
  <si>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</si>
  <si>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</si>
  <si>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</si>
  <si>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</si>
  <si>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</si>
  <si>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</si>
  <si>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</si>
  <si>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</si>
  <si>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</si>
  <si>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</si>
  <si>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</si>
  <si>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</si>
  <si>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</si>
  <si>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</si>
  <si>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</si>
  <si>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</si>
  <si>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</si>
  <si>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</si>
  <si>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</si>
  <si>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</si>
  <si>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</si>
  <si>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</si>
  <si>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</si>
  <si>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</si>
  <si>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</si>
  <si>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</si>
  <si>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</si>
  <si>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</si>
  <si>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</si>
  <si>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</si>
  <si>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</si>
  <si>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</si>
  <si>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</si>
  <si>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</si>
  <si>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</si>
  <si>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</si>
  <si>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</si>
  <si>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</si>
  <si>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</si>
  <si>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</si>
  <si>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</si>
  <si>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</si>
  <si>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</si>
  <si>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</si>
  <si>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</si>
  <si>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</si>
  <si>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</si>
  <si>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</si>
  <si>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</si>
  <si>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</si>
  <si>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</si>
  <si>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</si>
  <si>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</si>
  <si>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</si>
  <si>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</si>
  <si>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</si>
  <si>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</si>
  <si>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</si>
  <si>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</si>
  <si>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</si>
  <si>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</si>
  <si>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</si>
  <si>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</si>
  <si>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</si>
  <si>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</si>
  <si>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</si>
  <si>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</si>
  <si>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</si>
  <si>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</si>
  <si>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</si>
  <si>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</si>
  <si>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</si>
  <si>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</si>
  <si>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</si>
  <si>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</si>
  <si>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</si>
  <si>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</si>
  <si>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</si>
  <si>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</si>
  <si>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</si>
  <si>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</si>
  <si>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</si>
  <si>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</si>
  <si>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</si>
  <si>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</si>
  <si>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</si>
  <si>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</si>
  <si>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</si>
  <si>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</si>
  <si>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</si>
  <si>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</si>
  <si>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</si>
  <si>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</si>
  <si>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</si>
  <si>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</si>
  <si>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</si>
  <si>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</si>
  <si>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</si>
  <si>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</si>
  <si>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</si>
  <si>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</si>
  <si>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</si>
  <si>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</si>
  <si>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</si>
  <si>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</si>
  <si>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</si>
  <si>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</si>
  <si>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</si>
  <si>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</si>
  <si>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</si>
  <si>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</si>
  <si>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</si>
  <si>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</si>
  <si>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</si>
  <si>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</si>
  <si>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</si>
  <si>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</si>
  <si>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</si>
  <si>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</si>
  <si>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</si>
  <si>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</si>
  <si>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</si>
  <si>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</si>
  <si>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</si>
  <si>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</si>
  <si>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</si>
  <si>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</si>
  <si>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</si>
  <si>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</si>
  <si>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</si>
  <si>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</si>
  <si>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</si>
  <si>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</si>
  <si>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</si>
  <si>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</si>
  <si>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</si>
  <si>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</si>
  <si>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</si>
  <si>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</si>
  <si>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</si>
  <si>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</si>
  <si>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</si>
  <si>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</si>
  <si>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</si>
  <si>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</si>
  <si>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</si>
  <si>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</si>
  <si>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</si>
  <si>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</si>
  <si>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</si>
  <si>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</si>
  <si>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</si>
  <si>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</si>
  <si>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</si>
  <si>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</si>
  <si>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</si>
  <si>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</si>
  <si>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</si>
  <si>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</si>
  <si>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</si>
  <si>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</si>
  <si>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</si>
  <si>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</si>
  <si>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</si>
  <si>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</si>
  <si>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</si>
  <si>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</si>
  <si>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</si>
  <si>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</si>
  <si>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</si>
  <si>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</si>
  <si>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</si>
  <si>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</si>
  <si>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</si>
  <si>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</si>
  <si>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</si>
  <si>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</si>
  <si>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</si>
  <si>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</si>
  <si>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</si>
  <si>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</si>
  <si>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</si>
  <si>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</si>
  <si>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</si>
  <si>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</si>
  <si>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</si>
  <si>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</si>
  <si>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</si>
  <si>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</si>
  <si>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</si>
  <si>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</si>
  <si>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</si>
  <si>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</si>
  <si>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</si>
  <si>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</si>
  <si>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</si>
  <si>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</si>
  <si>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</si>
  <si>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</si>
  <si>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</si>
  <si>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</si>
  <si>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</si>
  <si>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</si>
  <si>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</si>
  <si>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</si>
  <si>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</si>
  <si>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</si>
  <si>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</si>
  <si>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</si>
  <si>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</si>
  <si>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</si>
  <si>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</si>
  <si>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</si>
  <si>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</si>
  <si>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</si>
  <si>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</si>
  <si>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</si>
  <si>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</si>
  <si>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</si>
  <si>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</si>
  <si>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</si>
  <si>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</si>
  <si>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</si>
  <si>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</si>
  <si>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</si>
  <si>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</si>
  <si>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</si>
  <si>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</si>
  <si>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</si>
  <si>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</si>
  <si>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</si>
  <si>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</si>
  <si>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</si>
  <si>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</si>
  <si>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</si>
  <si>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</si>
  <si>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</si>
  <si>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</si>
  <si>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</si>
  <si>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</si>
  <si>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</si>
  <si>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</si>
  <si>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</si>
  <si>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</si>
  <si>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</si>
  <si>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</si>
  <si>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</si>
  <si>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</si>
  <si>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</si>
  <si>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</si>
  <si>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</si>
  <si>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</si>
  <si>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</si>
  <si>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</si>
  <si>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</si>
  <si>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</si>
  <si>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</si>
  <si>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</si>
  <si>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</si>
  <si>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</si>
  <si>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</si>
  <si>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</si>
  <si>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</si>
  <si>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</si>
  <si>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</si>
  <si>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</si>
  <si>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</si>
  <si>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</si>
  <si>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</si>
  <si>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</si>
  <si>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</si>
  <si>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</si>
  <si>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</si>
  <si>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</si>
  <si>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</si>
  <si>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</si>
  <si>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</si>
  <si>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</si>
  <si>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</si>
  <si>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</si>
  <si>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</si>
  <si>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</si>
  <si>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</si>
  <si>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</si>
  <si>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</si>
  <si>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</si>
  <si>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</si>
  <si>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</si>
  <si>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</si>
  <si>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</si>
  <si>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</si>
  <si>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</si>
  <si>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</si>
  <si>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</si>
  <si>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</si>
  <si>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</si>
  <si>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</si>
  <si>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</si>
  <si>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</si>
  <si>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</si>
  <si>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</si>
  <si>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</si>
  <si>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</si>
  <si>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</si>
  <si>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</si>
  <si>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</si>
  <si>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</si>
  <si>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</si>
  <si>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</si>
  <si>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</si>
  <si>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</si>
  <si>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</si>
  <si>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</si>
  <si>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</si>
  <si>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</si>
  <si>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</si>
  <si>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</si>
  <si>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</si>
  <si>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</si>
  <si>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</si>
  <si>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</si>
  <si>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</si>
  <si>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</si>
  <si>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</si>
  <si>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</si>
  <si>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</si>
  <si>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</si>
  <si>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</si>
  <si>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</si>
  <si>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</si>
  <si>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</si>
  <si>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</si>
  <si>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</si>
  <si>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</si>
  <si>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</si>
  <si>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</si>
  <si>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</si>
  <si>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</si>
  <si>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</si>
  <si>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</si>
  <si>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</si>
  <si>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</si>
  <si>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</si>
  <si>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</si>
  <si>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</si>
  <si>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</si>
  <si>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</si>
  <si>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</si>
  <si>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</si>
  <si>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</si>
  <si>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</si>
  <si>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</si>
  <si>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</si>
  <si>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</si>
  <si>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</si>
  <si>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</si>
  <si>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</si>
  <si>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</si>
  <si>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</si>
  <si>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</si>
  <si>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</si>
  <si>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</si>
  <si>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</si>
  <si>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</si>
  <si>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</si>
  <si>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</si>
  <si>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</si>
  <si>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</si>
  <si>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</si>
  <si>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</si>
  <si>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</si>
  <si>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</si>
  <si>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</si>
  <si>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</si>
  <si>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</si>
  <si>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</si>
  <si>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</si>
  <si>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</si>
  <si>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</si>
  <si>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</si>
  <si>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</si>
  <si>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</si>
  <si>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</si>
  <si>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</si>
  <si>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</si>
  <si>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</si>
  <si>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</si>
  <si>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</si>
  <si>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</si>
  <si>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</si>
  <si>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</si>
  <si>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</si>
  <si>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</si>
  <si>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</si>
  <si>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</si>
  <si>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</si>
  <si>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</si>
  <si>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</si>
  <si>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</si>
  <si>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</si>
  <si>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</si>
  <si>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</si>
  <si>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</si>
  <si>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</si>
  <si>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</si>
  <si>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</si>
  <si>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</si>
  <si>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</si>
  <si>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</si>
  <si>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</si>
  <si>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</si>
  <si>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</si>
  <si>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</si>
  <si>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</si>
  <si>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</si>
  <si>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</si>
  <si>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</si>
  <si>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</si>
  <si>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</si>
  <si>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</si>
  <si>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</si>
  <si>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</si>
  <si>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</si>
  <si>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</si>
  <si>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</si>
  <si>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</si>
  <si>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</si>
  <si>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</si>
  <si>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</si>
  <si>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</si>
  <si>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</si>
  <si>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</si>
  <si>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</si>
  <si>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</si>
  <si>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</si>
  <si>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</si>
  <si>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</si>
  <si>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</si>
  <si>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</si>
  <si>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</si>
  <si>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</si>
  <si>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</si>
  <si>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</si>
  <si>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</si>
  <si>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</si>
  <si>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</si>
  <si>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</si>
  <si>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</si>
  <si>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</si>
  <si>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</si>
  <si>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</si>
  <si>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</si>
  <si>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</si>
  <si>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</si>
  <si>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</si>
  <si>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</si>
  <si>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</si>
  <si>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</si>
  <si>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</si>
  <si>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</si>
  <si>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</si>
  <si>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</si>
  <si>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</si>
  <si>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</si>
  <si>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</si>
  <si>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</si>
  <si>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</si>
  <si>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</si>
  <si>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</si>
  <si>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</si>
  <si>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</si>
  <si>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</si>
  <si>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</si>
  <si>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</si>
  <si>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</si>
  <si>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</si>
  <si>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</si>
  <si>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</si>
  <si>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</si>
  <si>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</si>
  <si>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</si>
  <si>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</si>
  <si>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</si>
  <si>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</si>
  <si>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</si>
  <si>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</si>
  <si>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</si>
  <si>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</si>
  <si>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</si>
  <si>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</si>
  <si>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</si>
  <si>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</si>
  <si>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</si>
  <si>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</si>
  <si>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</si>
  <si>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</si>
  <si>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</si>
  <si>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</si>
  <si>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</si>
  <si>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</si>
  <si>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</si>
  <si>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</si>
  <si>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</si>
  <si>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</si>
  <si>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</si>
  <si>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</si>
  <si>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</si>
  <si>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</si>
  <si>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</si>
  <si>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</si>
  <si>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</si>
  <si>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</si>
  <si>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</si>
  <si>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</si>
  <si>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</si>
  <si>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</si>
  <si>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</si>
  <si>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</si>
  <si>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</si>
  <si>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</si>
  <si>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</si>
  <si>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</si>
  <si>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</si>
  <si>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</si>
  <si>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</si>
  <si>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</si>
  <si>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</si>
  <si>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</si>
  <si>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</si>
  <si>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</si>
  <si>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</si>
  <si>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</si>
  <si>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</si>
  <si>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</si>
  <si>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</si>
  <si>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</si>
  <si>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</si>
  <si>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</si>
  <si>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</si>
  <si>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</si>
  <si>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</si>
  <si>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</si>
  <si>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</si>
  <si>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</si>
  <si>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</si>
  <si>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</si>
  <si>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</si>
  <si>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</si>
  <si>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</si>
  <si>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</si>
  <si>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</si>
  <si>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</si>
  <si>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</si>
  <si>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</si>
  <si>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</si>
  <si>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</si>
  <si>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</si>
  <si>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</si>
  <si>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</si>
  <si>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</si>
  <si>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</si>
  <si>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</si>
  <si>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</si>
  <si>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</si>
  <si>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</si>
  <si>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</si>
  <si>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</si>
  <si>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</si>
  <si>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</si>
  <si>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</si>
  <si>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</si>
  <si>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</si>
  <si>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</si>
  <si>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</si>
  <si>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</si>
  <si>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</si>
  <si>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</si>
  <si>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</si>
  <si>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</si>
  <si>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</si>
  <si>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</si>
  <si>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</si>
  <si>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</si>
  <si>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</si>
  <si>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</si>
  <si>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</si>
  <si>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</si>
  <si>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</si>
  <si>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</si>
  <si>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</si>
  <si>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</si>
  <si>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</si>
  <si>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</si>
  <si>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</si>
  <si>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</si>
  <si>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</si>
  <si>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</si>
  <si>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</si>
  <si>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</si>
  <si>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</si>
  <si>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</si>
  <si>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</si>
  <si>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</si>
  <si>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</si>
  <si>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</si>
  <si>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</si>
  <si>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</si>
  <si>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</si>
  <si>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</si>
  <si>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</si>
  <si>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</si>
  <si>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</si>
  <si>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</si>
  <si>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</si>
  <si>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</si>
  <si>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</si>
  <si>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</si>
  <si>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</si>
  <si>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</si>
  <si>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</si>
  <si>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</si>
  <si>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</si>
  <si>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</si>
  <si>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</si>
  <si>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</si>
  <si>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</si>
  <si>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</si>
  <si>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</si>
  <si>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</si>
  <si>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</si>
  <si>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</si>
  <si>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</si>
  <si>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</si>
  <si>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</si>
  <si>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</si>
  <si>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</si>
  <si>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</si>
  <si>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</si>
  <si>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</si>
  <si>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</si>
  <si>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</si>
  <si>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</si>
  <si>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</si>
  <si>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</si>
  <si>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</si>
  <si>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</si>
  <si>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</si>
  <si>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</si>
  <si>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</si>
  <si>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</si>
  <si>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</si>
  <si>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</si>
  <si>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</si>
  <si>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</si>
  <si>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</si>
  <si>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</si>
  <si>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</si>
  <si>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</si>
  <si>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</si>
  <si>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</si>
  <si>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</si>
  <si>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</si>
  <si>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</si>
  <si>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</si>
  <si>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</si>
  <si>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</si>
  <si>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</si>
  <si>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</si>
  <si>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</si>
  <si>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</si>
  <si>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</si>
  <si>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</si>
  <si>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</si>
  <si>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</si>
  <si>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</si>
  <si>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</si>
  <si>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</si>
  <si>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</si>
  <si>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</si>
  <si>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</si>
  <si>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</si>
  <si>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</si>
  <si>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</si>
  <si>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</si>
  <si>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</si>
  <si>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</si>
  <si>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</si>
  <si>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</si>
  <si>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</si>
  <si>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</si>
  <si>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</si>
  <si>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</si>
  <si>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</si>
  <si>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</si>
  <si>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</si>
  <si>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</si>
  <si>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</si>
  <si>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</si>
  <si>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</si>
  <si>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</si>
  <si>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</si>
  <si>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</si>
  <si>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</si>
  <si>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</si>
  <si>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</si>
  <si>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</si>
  <si>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</si>
  <si>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</si>
  <si>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</si>
  <si>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</si>
  <si>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</si>
  <si>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</si>
  <si>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</si>
  <si>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</si>
  <si>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</si>
  <si>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</si>
  <si>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</si>
  <si>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</si>
  <si>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</si>
  <si>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</si>
  <si>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</si>
  <si>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</si>
  <si>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</si>
  <si>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</si>
  <si>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</si>
  <si>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</si>
  <si>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</si>
  <si>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</si>
  <si>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</si>
  <si>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</si>
  <si>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</si>
  <si>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</si>
  <si>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</si>
  <si>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</si>
  <si>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</si>
  <si>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</si>
  <si>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</si>
  <si>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</si>
  <si>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</si>
  <si>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</si>
  <si>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</si>
  <si>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</si>
  <si>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</si>
  <si>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</si>
  <si>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</si>
  <si>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</si>
  <si>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</si>
  <si>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</si>
  <si>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</si>
  <si>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</si>
  <si>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</si>
  <si>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</si>
  <si>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</si>
  <si>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</si>
  <si>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</si>
  <si>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</si>
  <si>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</si>
  <si>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</si>
  <si>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</si>
  <si>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</si>
  <si>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</si>
  <si>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</si>
  <si>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</si>
  <si>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</si>
  <si>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</si>
  <si>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</si>
  <si>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</si>
  <si>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</si>
  <si>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</si>
  <si>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</si>
  <si>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</si>
  <si>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</si>
  <si>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</si>
  <si>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</si>
  <si>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</si>
  <si>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</si>
  <si>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</si>
  <si>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</si>
  <si>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</si>
  <si>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</si>
  <si>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</si>
  <si>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</si>
  <si>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</si>
  <si>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</si>
  <si>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</si>
  <si>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</si>
  <si>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</si>
  <si>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</si>
  <si>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</si>
  <si>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</si>
  <si>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</si>
  <si>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</si>
  <si>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</si>
  <si>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</si>
  <si>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</si>
  <si>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</si>
  <si>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</si>
  <si>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</si>
  <si>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</si>
  <si>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</si>
  <si>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</si>
  <si>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</si>
  <si>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</si>
  <si>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</si>
  <si>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</si>
  <si>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</si>
  <si>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</si>
  <si>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</si>
  <si>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</si>
  <si>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</si>
  <si>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</si>
  <si>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</si>
  <si>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</si>
  <si>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</si>
  <si>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</si>
  <si>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</si>
  <si>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</si>
  <si>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</si>
  <si>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</si>
  <si>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</si>
  <si>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</si>
  <si>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</si>
  <si>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</si>
  <si>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</si>
  <si>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</si>
  <si>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</si>
  <si>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</si>
  <si>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</si>
  <si>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</si>
  <si>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</si>
  <si>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</si>
  <si>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</si>
  <si>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</si>
  <si>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</si>
  <si>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</si>
  <si>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</si>
  <si>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</si>
  <si>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</si>
  <si>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</si>
  <si>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</si>
  <si>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</si>
  <si>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</si>
  <si>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</si>
  <si>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</si>
  <si>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</si>
  <si>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</si>
  <si>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</si>
  <si>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</si>
  <si>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</si>
  <si>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</si>
  <si>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</si>
  <si>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</si>
  <si>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</si>
  <si>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</si>
  <si>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</si>
  <si>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</si>
  <si>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</si>
  <si>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</si>
  <si>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</si>
  <si>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</si>
  <si>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</si>
  <si>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</si>
  <si>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</si>
  <si>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</si>
  <si>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</si>
  <si>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</si>
  <si>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</si>
  <si>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</si>
  <si>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</si>
  <si>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</si>
  <si>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</si>
  <si>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</si>
  <si>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</si>
  <si>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</si>
  <si>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</si>
  <si>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</si>
  <si>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</si>
  <si>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</si>
  <si>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</si>
  <si>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</si>
  <si>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</si>
  <si>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</si>
  <si>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</si>
  <si>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</si>
  <si>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</si>
  <si>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</si>
  <si>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</si>
  <si>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</si>
  <si>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</si>
  <si>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</si>
  <si>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</si>
  <si>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</si>
  <si>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</si>
  <si>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</si>
  <si>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</si>
  <si>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</si>
  <si>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</si>
  <si>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</si>
  <si>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</si>
  <si>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</si>
  <si>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</si>
  <si>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</si>
  <si>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</si>
  <si>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</si>
  <si>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</si>
  <si>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</si>
  <si>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</si>
  <si>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</si>
  <si>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</si>
  <si>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</si>
  <si>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</si>
  <si>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</si>
  <si>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</si>
  <si>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</si>
  <si>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</si>
  <si>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</si>
  <si>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</si>
  <si>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</si>
  <si>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</si>
  <si>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</si>
  <si>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</si>
  <si>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</si>
  <si>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</si>
  <si>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</si>
  <si>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</si>
  <si>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</si>
  <si>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</si>
  <si>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</si>
  <si>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</si>
  <si>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</si>
  <si>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</si>
  <si>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</si>
  <si>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</si>
  <si>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</si>
  <si>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</si>
  <si>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</si>
  <si>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</si>
  <si>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</si>
  <si>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</si>
  <si>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</si>
  <si>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</si>
  <si>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</si>
  <si>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</si>
  <si>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</si>
  <si>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</si>
  <si>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</si>
  <si>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</si>
  <si>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</si>
  <si>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</si>
  <si>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</si>
  <si>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</si>
  <si>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</si>
  <si>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</si>
  <si>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</si>
  <si>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</si>
  <si>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</si>
  <si>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</si>
  <si>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</si>
  <si>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</si>
  <si>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</si>
  <si>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</si>
  <si>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</si>
  <si>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</si>
  <si>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</si>
  <si>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</si>
  <si>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</si>
  <si>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</si>
  <si>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</si>
  <si>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</si>
  <si>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</si>
  <si>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</si>
  <si>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</si>
  <si>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</si>
  <si>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</si>
  <si>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</si>
  <si>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</si>
  <si>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</si>
  <si>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</si>
  <si>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</si>
  <si>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</si>
  <si>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</si>
  <si>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</si>
  <si>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</si>
  <si>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</si>
  <si>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</si>
  <si>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</si>
  <si>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</si>
  <si>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</si>
  <si>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</si>
  <si>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</si>
  <si>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</si>
  <si>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</si>
  <si>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</si>
  <si>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</si>
  <si>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</si>
  <si>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</si>
  <si>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</si>
  <si>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</si>
  <si>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</si>
  <si>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</si>
  <si>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</si>
  <si>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</si>
  <si>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</si>
  <si>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</si>
  <si>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</si>
  <si>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</si>
  <si>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</si>
  <si>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</si>
  <si>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</si>
  <si>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</si>
  <si>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</si>
  <si>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</si>
  <si>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</si>
  <si>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</si>
  <si>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</si>
  <si>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</si>
  <si>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</si>
  <si>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</si>
  <si>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</si>
  <si>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</si>
  <si>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</si>
  <si>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</si>
  <si>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</si>
  <si>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</si>
  <si>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</si>
  <si>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</si>
  <si>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</si>
  <si>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</si>
  <si>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</si>
  <si>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</si>
  <si>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</si>
  <si>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</si>
  <si>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</si>
  <si>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</si>
  <si>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</si>
  <si>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</si>
  <si>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</si>
  <si>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</si>
  <si>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</si>
  <si>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</si>
  <si>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</si>
  <si>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</si>
  <si>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</si>
  <si>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</si>
  <si>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</si>
  <si>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</si>
  <si>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</si>
  <si>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</si>
  <si>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</si>
  <si>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</si>
  <si>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</si>
  <si>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</si>
  <si>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</si>
  <si>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</si>
  <si>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</si>
  <si>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</si>
  <si>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</si>
  <si>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</si>
  <si>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</si>
  <si>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</si>
  <si>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</si>
  <si>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</si>
  <si>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</si>
  <si>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</si>
  <si>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</si>
  <si>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</si>
  <si>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</si>
  <si>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</si>
  <si>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</si>
  <si>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</si>
  <si>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</si>
  <si>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</si>
  <si>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</si>
  <si>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</si>
  <si>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</si>
  <si>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</si>
  <si>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</si>
  <si>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</si>
  <si>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</si>
  <si>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</si>
  <si>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</si>
  <si>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</si>
  <si>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</si>
  <si>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</si>
  <si>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</si>
  <si>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</si>
  <si>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</si>
  <si>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</si>
  <si>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</si>
  <si>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</si>
  <si>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</si>
  <si>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</si>
  <si>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</si>
  <si>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</si>
  <si>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</si>
  <si>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</si>
  <si>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</si>
  <si>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</si>
  <si>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</si>
  <si>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</si>
  <si>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</si>
  <si>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</si>
  <si>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</si>
  <si>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</si>
  <si>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</si>
  <si>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</si>
  <si>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</si>
  <si>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</si>
  <si>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</si>
  <si>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</si>
  <si>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</si>
  <si>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</si>
  <si>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</si>
  <si>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</si>
  <si>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</si>
  <si>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</si>
  <si>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</si>
  <si>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</si>
  <si>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</si>
  <si>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</si>
  <si>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</si>
  <si>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</si>
  <si>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</si>
  <si>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</si>
  <si>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</si>
  <si>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</si>
  <si>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</si>
  <si>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</si>
  <si>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</si>
  <si>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</si>
  <si>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</si>
  <si>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</si>
  <si>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</si>
  <si>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</si>
  <si>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</si>
  <si>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</si>
  <si>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</si>
  <si>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</si>
  <si>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</si>
  <si>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</si>
  <si>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</si>
  <si>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</si>
  <si>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</si>
  <si>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</si>
  <si>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</si>
  <si>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</si>
  <si>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</si>
  <si>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</si>
  <si>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</si>
  <si>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</si>
  <si>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</si>
  <si>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</si>
  <si>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</si>
  <si>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</si>
  <si>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</si>
  <si>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</si>
  <si>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</si>
  <si>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</si>
  <si>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</si>
  <si>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</si>
  <si>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</si>
  <si>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</si>
  <si>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</si>
  <si>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</si>
  <si>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</si>
  <si>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</si>
  <si>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</si>
  <si>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</si>
  <si>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</si>
  <si>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</si>
  <si>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</si>
  <si>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</si>
  <si>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</si>
  <si>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</si>
  <si>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</si>
  <si>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</si>
  <si>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</si>
  <si>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</si>
  <si>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</si>
  <si>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</si>
  <si>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</si>
  <si>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</si>
  <si>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</si>
  <si>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</si>
  <si>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</si>
  <si>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</si>
  <si>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</si>
  <si>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</si>
  <si>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</si>
  <si>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</si>
  <si>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</si>
  <si>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</si>
  <si>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</si>
  <si>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</si>
  <si>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</si>
  <si>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</si>
  <si>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</si>
  <si>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</si>
  <si>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</si>
  <si>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</si>
  <si>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</si>
  <si>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</si>
  <si>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</si>
  <si>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</si>
  <si>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</si>
  <si>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</si>
  <si>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</si>
  <si>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</si>
  <si>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</si>
  <si>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</si>
  <si>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</si>
  <si>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</si>
  <si>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</si>
  <si>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</si>
  <si>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</si>
  <si>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</si>
  <si>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</si>
  <si>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</si>
  <si>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</si>
  <si>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</si>
  <si>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</si>
  <si>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</si>
  <si>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</si>
  <si>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</si>
  <si>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</si>
  <si>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</si>
  <si>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</si>
  <si>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</si>
  <si>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</si>
  <si>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</si>
  <si>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</si>
  <si>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</si>
  <si>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</si>
  <si>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</si>
  <si>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</si>
  <si>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</si>
  <si>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</si>
  <si>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</si>
  <si>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</si>
  <si>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</si>
  <si>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</si>
  <si>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</si>
  <si>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</si>
  <si>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</si>
  <si>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</si>
  <si>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</si>
  <si>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</si>
  <si>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</si>
  <si>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</si>
  <si>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</si>
  <si>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</si>
  <si>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</si>
  <si>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</si>
  <si>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</si>
  <si>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</si>
  <si>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</si>
  <si>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</si>
  <si>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</si>
  <si>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</si>
  <si>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</si>
  <si>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</si>
  <si>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</si>
  <si>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</si>
  <si>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</si>
  <si>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</si>
  <si>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</si>
  <si>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</si>
  <si>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</si>
  <si>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</si>
  <si>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</si>
  <si>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</si>
  <si>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</si>
  <si>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</si>
  <si>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</si>
  <si>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</si>
  <si>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</si>
  <si>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</si>
  <si>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</si>
  <si>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</si>
  <si>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</si>
  <si>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</si>
  <si>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</si>
  <si>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</si>
  <si>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</si>
  <si>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</si>
  <si>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</si>
  <si>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</si>
  <si>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</si>
  <si>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</si>
  <si>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</si>
  <si>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</si>
  <si>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</si>
  <si>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</si>
  <si>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</si>
  <si>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</si>
  <si>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</si>
  <si>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</si>
  <si>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</si>
  <si>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</si>
  <si>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</si>
  <si>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</si>
  <si>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</si>
  <si>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</si>
  <si>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</si>
  <si>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</si>
  <si>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</si>
  <si>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</si>
  <si>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</si>
  <si>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</si>
  <si>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</si>
  <si>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</si>
  <si>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</si>
  <si>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</si>
  <si>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</si>
  <si>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</si>
  <si>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</si>
  <si>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</si>
  <si>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</si>
  <si>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</si>
  <si>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</si>
  <si>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</si>
  <si>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</si>
  <si>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</si>
  <si>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</si>
  <si>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</si>
  <si>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</si>
  <si>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</si>
  <si>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</si>
  <si>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</si>
  <si>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</si>
  <si>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</si>
  <si>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</si>
  <si>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</si>
  <si>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</si>
  <si>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</si>
  <si>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</si>
  <si>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</si>
  <si>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</si>
  <si>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</si>
  <si>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</si>
  <si>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</si>
  <si>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</si>
  <si>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</si>
  <si>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</si>
  <si>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</si>
  <si>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</si>
  <si>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</si>
  <si>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</si>
  <si>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</si>
  <si>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</si>
  <si>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</si>
  <si>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</si>
  <si>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</si>
  <si>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</si>
  <si>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</si>
  <si>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</si>
  <si>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</si>
  <si>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</si>
  <si>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</si>
  <si>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</si>
  <si>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</si>
  <si>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</si>
  <si>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</si>
  <si>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</si>
  <si>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</si>
  <si>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</si>
  <si>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</si>
  <si>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</si>
  <si>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</si>
  <si>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</si>
  <si>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</si>
  <si>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</si>
  <si>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</si>
  <si>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</si>
  <si>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</si>
  <si>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</si>
  <si>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</si>
  <si>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</si>
  <si>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</si>
  <si>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</si>
  <si>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</si>
  <si>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</si>
  <si>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</si>
  <si>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</si>
  <si>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</si>
  <si>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</si>
  <si>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</si>
  <si>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</si>
  <si>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</si>
  <si>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</si>
  <si>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</si>
  <si>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</si>
  <si>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</si>
  <si>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</si>
  <si>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</si>
  <si>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</si>
  <si>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</si>
  <si>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</si>
  <si>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</si>
  <si>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</si>
  <si>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</si>
  <si>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</si>
  <si>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</si>
  <si>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</si>
  <si>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</si>
  <si>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</si>
  <si>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</si>
  <si>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</si>
  <si>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</si>
  <si>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</si>
  <si>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</si>
  <si>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</si>
  <si>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</si>
  <si>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</si>
  <si>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</si>
  <si>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</si>
  <si>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</si>
  <si>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</si>
  <si>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</si>
  <si>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</si>
  <si>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</si>
  <si>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</si>
  <si>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</si>
  <si>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</si>
  <si>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</si>
  <si>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</si>
  <si>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</si>
  <si>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</si>
  <si>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</si>
  <si>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</si>
  <si>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</si>
  <si>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</si>
  <si>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</si>
  <si>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</si>
  <si>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</si>
  <si>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</si>
  <si>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</si>
  <si>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</si>
  <si>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</si>
  <si>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</si>
  <si>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</si>
  <si>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</si>
  <si>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</si>
  <si>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</si>
  <si>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</si>
  <si>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</si>
  <si>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</si>
  <si>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</si>
  <si>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</si>
  <si>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</si>
  <si>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</si>
  <si>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</si>
  <si>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</si>
  <si>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</si>
  <si>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</si>
  <si>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</si>
  <si>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</si>
  <si>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</si>
  <si>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</si>
  <si>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</si>
  <si>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</si>
  <si>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</si>
  <si>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</si>
  <si>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</si>
  <si>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</si>
  <si>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</si>
  <si>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</si>
  <si>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</si>
  <si>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</si>
  <si>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</si>
  <si>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</si>
  <si>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</si>
  <si>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</si>
  <si>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</si>
  <si>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</si>
  <si>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</si>
  <si>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</si>
  <si>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</si>
  <si>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</si>
  <si>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</si>
  <si>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</si>
  <si>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</si>
  <si>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</si>
  <si>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</si>
  <si>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</si>
  <si>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</si>
  <si>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</si>
  <si>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</si>
  <si>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</si>
  <si>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</si>
  <si>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</si>
  <si>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</si>
  <si>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</si>
  <si>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</si>
  <si>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</si>
  <si>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</si>
  <si>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</si>
  <si>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</si>
  <si>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</si>
  <si>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</si>
  <si>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</si>
  <si>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</si>
  <si>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</si>
  <si>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</si>
  <si>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</si>
  <si>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</si>
  <si>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</si>
  <si>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</si>
  <si>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</si>
  <si>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</si>
  <si>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</si>
  <si>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</si>
  <si>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</si>
  <si>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</si>
  <si>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</si>
  <si>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</si>
  <si>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</si>
  <si>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</si>
  <si>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</si>
  <si>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</si>
  <si>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</si>
  <si>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</si>
  <si>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</si>
  <si>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</si>
  <si>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</si>
  <si>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</si>
  <si>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</si>
  <si>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</si>
  <si>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</si>
  <si>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</si>
  <si>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</si>
  <si>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</si>
  <si>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</si>
  <si>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</si>
  <si>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</si>
  <si>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</si>
  <si>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</si>
  <si>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</si>
  <si>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</si>
  <si>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</si>
  <si>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</si>
  <si>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</si>
  <si>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</si>
  <si>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</si>
  <si>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</si>
  <si>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</si>
  <si>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</si>
  <si>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</si>
  <si>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</si>
  <si>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</si>
  <si>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</si>
  <si>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</si>
  <si>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</si>
  <si>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</si>
  <si>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</si>
  <si>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</si>
  <si>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</si>
  <si>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</si>
  <si>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</si>
  <si>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</si>
  <si>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</si>
  <si>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</si>
  <si>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</si>
  <si>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</si>
  <si>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</si>
  <si>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</si>
  <si>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</si>
  <si>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</si>
  <si>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</si>
  <si>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</si>
  <si>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</si>
  <si>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</si>
  <si>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</si>
  <si>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</si>
  <si>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</si>
  <si>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</si>
  <si>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</si>
  <si>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</si>
  <si>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</si>
  <si>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</si>
  <si>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</si>
  <si>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</si>
  <si>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</si>
  <si>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</si>
  <si>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</si>
  <si>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</si>
  <si>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</si>
  <si>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</si>
  <si>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</si>
  <si>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</si>
  <si>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</si>
  <si>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</si>
  <si>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</si>
  <si>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</si>
  <si>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</si>
  <si>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</si>
  <si>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</si>
  <si>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</si>
  <si>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</si>
  <si>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</si>
  <si>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</si>
  <si>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</si>
  <si>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</si>
  <si>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</si>
  <si>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</si>
  <si>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</si>
  <si>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</si>
  <si>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</si>
  <si>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</si>
  <si>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</si>
  <si>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</si>
  <si>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</si>
  <si>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</si>
  <si>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</si>
  <si>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</si>
  <si>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</si>
  <si>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</si>
  <si>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</si>
  <si>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</si>
  <si>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</si>
  <si>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</si>
  <si>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</si>
  <si>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</si>
  <si>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</si>
  <si>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</si>
  <si>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</si>
  <si>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</si>
  <si>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</si>
  <si>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</si>
  <si>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</si>
  <si>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</si>
  <si>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</si>
  <si>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</si>
  <si>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</si>
  <si>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</si>
  <si>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</si>
  <si>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</si>
  <si>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</si>
  <si>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</si>
  <si>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</si>
  <si>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</si>
  <si>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</si>
  <si>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</si>
  <si>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</si>
  <si>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</si>
  <si>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</si>
  <si>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</si>
  <si>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</si>
  <si>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</si>
  <si>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</si>
  <si>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</si>
  <si>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</si>
  <si>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</si>
  <si>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</si>
  <si>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</si>
  <si>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</si>
  <si>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</si>
  <si>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</si>
  <si>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</si>
  <si>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</si>
  <si>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</si>
  <si>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</si>
  <si>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</si>
  <si>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</si>
  <si>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</si>
  <si>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</si>
  <si>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</si>
  <si>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</si>
  <si>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</si>
  <si>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</si>
  <si>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</si>
  <si>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</si>
  <si>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</si>
  <si>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</si>
  <si>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</si>
  <si>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</si>
  <si>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</si>
  <si>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</si>
  <si>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</si>
  <si>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</si>
  <si>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</si>
  <si>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</si>
  <si>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</si>
  <si>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</si>
  <si>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</si>
  <si>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</si>
  <si>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</si>
  <si>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</si>
  <si>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</si>
  <si>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</si>
  <si>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</si>
  <si>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</si>
  <si>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</si>
  <si>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</si>
  <si>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</si>
  <si>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</si>
  <si>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</si>
  <si>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</si>
  <si>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</si>
  <si>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</si>
  <si>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</si>
  <si>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</si>
  <si>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</si>
  <si>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</si>
  <si>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</si>
  <si>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</si>
  <si>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</si>
  <si>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</si>
  <si>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</si>
  <si>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</si>
  <si>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</si>
  <si>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</si>
  <si>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</si>
  <si>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</si>
  <si>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</si>
  <si>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</si>
  <si>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</si>
  <si>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</si>
  <si>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</si>
  <si>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</si>
  <si>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</si>
  <si>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</si>
  <si>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</si>
  <si>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</si>
  <si>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</si>
  <si>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</si>
  <si>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</si>
  <si>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</si>
  <si>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</si>
  <si>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</si>
  <si>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</si>
  <si>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</si>
  <si>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</si>
  <si>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</si>
  <si>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</si>
  <si>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</si>
  <si>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</si>
  <si>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</si>
  <si>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</si>
  <si>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</si>
  <si>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</si>
  <si>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</si>
  <si>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</si>
  <si>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</si>
  <si>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</si>
  <si>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</si>
  <si>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</si>
  <si>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</si>
  <si>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</si>
  <si>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</si>
  <si>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</si>
  <si>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</si>
  <si>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</si>
  <si>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</si>
  <si>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</si>
  <si>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</si>
  <si>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</si>
  <si>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</si>
  <si>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</si>
  <si>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</si>
  <si>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</si>
  <si>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</si>
  <si>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</si>
  <si>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</si>
  <si>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</si>
  <si>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</si>
  <si>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</si>
  <si>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</si>
  <si>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</si>
  <si>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</si>
  <si>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</si>
  <si>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</si>
  <si>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</si>
  <si>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</si>
  <si>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</si>
  <si>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</si>
  <si>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</si>
  <si>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</si>
  <si>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</si>
  <si>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</si>
  <si>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</si>
  <si>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</si>
  <si>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</si>
  <si>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</si>
  <si>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</si>
  <si>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</si>
  <si>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</si>
  <si>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</si>
  <si>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</si>
  <si>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</si>
  <si>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</si>
  <si>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</si>
  <si>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</si>
  <si>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</si>
  <si>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</si>
  <si>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</si>
  <si>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</si>
  <si>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</si>
  <si>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</si>
  <si>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</si>
  <si>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</si>
  <si>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</si>
  <si>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</si>
  <si>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</si>
  <si>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</si>
  <si>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</si>
  <si>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</si>
  <si>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</si>
  <si>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</si>
  <si>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</si>
  <si>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</si>
  <si>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</si>
  <si>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</si>
  <si>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</si>
  <si>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</si>
  <si>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</si>
  <si>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</si>
  <si>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</si>
  <si>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</si>
  <si>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</si>
  <si>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</si>
  <si>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</si>
  <si>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</si>
  <si>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</si>
  <si>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</si>
  <si>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</si>
  <si>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</si>
  <si>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</si>
  <si>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</si>
  <si>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</si>
  <si>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</si>
  <si>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</si>
  <si>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</si>
  <si>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</si>
  <si>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</si>
  <si>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</si>
  <si>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</si>
  <si>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</si>
  <si>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</si>
  <si>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</si>
  <si>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</si>
  <si>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</si>
  <si>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</si>
  <si>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</si>
  <si>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</si>
  <si>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</si>
  <si>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</si>
  <si>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</si>
  <si>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</si>
  <si>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</si>
  <si>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</si>
  <si>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</si>
  <si>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</si>
  <si>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</si>
  <si>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</si>
  <si>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</si>
  <si>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</si>
  <si>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</si>
  <si>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</si>
  <si>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</si>
  <si>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</si>
  <si>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</si>
  <si>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</si>
  <si>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</si>
  <si>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</si>
  <si>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</si>
  <si>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</si>
  <si>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</si>
  <si>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</si>
  <si>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</si>
  <si>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</si>
  <si>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</si>
  <si>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</si>
  <si>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</si>
  <si>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</si>
  <si>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</si>
  <si>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</si>
  <si>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</si>
  <si>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</si>
  <si>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</si>
  <si>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</si>
  <si>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</si>
  <si>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</si>
  <si>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</si>
  <si>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</si>
  <si>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</si>
  <si>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</si>
  <si>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</si>
  <si>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</si>
  <si>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</si>
  <si>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</si>
  <si>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</si>
  <si>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</si>
  <si>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</si>
  <si>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</si>
  <si>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</si>
  <si>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</si>
  <si>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</si>
  <si>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</si>
  <si>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</si>
  <si>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</si>
  <si>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</si>
  <si>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</si>
  <si>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</si>
  <si>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</si>
  <si>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</si>
  <si>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</si>
  <si>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</si>
  <si>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</si>
  <si>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</si>
  <si>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</si>
  <si>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</si>
  <si>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</si>
  <si>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</si>
  <si>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</si>
  <si>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</si>
  <si>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</si>
  <si>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</si>
  <si>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</si>
  <si>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</si>
  <si>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</si>
  <si>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</si>
  <si>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</si>
  <si>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</si>
  <si>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</si>
  <si>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</si>
  <si>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</si>
  <si>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</si>
  <si>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</si>
  <si>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</si>
  <si>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</si>
  <si>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</si>
  <si>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</si>
  <si>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</si>
  <si>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</si>
  <si>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</si>
  <si>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</si>
  <si>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</si>
  <si>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</si>
  <si>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</si>
  <si>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</si>
  <si>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</si>
  <si>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</si>
  <si>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</si>
  <si>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</si>
  <si>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</si>
  <si>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</si>
  <si>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</si>
  <si>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</si>
  <si>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</si>
  <si>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</si>
  <si>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</si>
  <si>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</si>
  <si>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</si>
  <si>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</si>
  <si>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</si>
  <si>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</si>
  <si>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</si>
  <si>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</si>
  <si>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</si>
  <si>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</si>
  <si>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</si>
  <si>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</si>
  <si>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</si>
  <si>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</si>
  <si>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</si>
  <si>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</si>
  <si>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</si>
  <si>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</si>
  <si>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</si>
  <si>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</si>
  <si>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</si>
  <si>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</si>
  <si>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</si>
  <si>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</si>
  <si>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</si>
  <si>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</si>
  <si>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</si>
  <si>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</si>
  <si>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</si>
  <si>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</si>
  <si>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</si>
  <si>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</si>
  <si>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</si>
  <si>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</si>
  <si>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</si>
  <si>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</si>
  <si>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</si>
  <si>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</si>
  <si>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</si>
  <si>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</si>
  <si>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</si>
  <si>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</si>
  <si>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</si>
  <si>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</si>
  <si>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</si>
  <si>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</si>
  <si>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</si>
  <si>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</si>
  <si>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</si>
  <si>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</si>
  <si>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</si>
  <si>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</si>
  <si>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</si>
  <si>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</si>
  <si>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</si>
  <si>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</si>
  <si>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</si>
  <si>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</si>
  <si>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</si>
  <si>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</si>
  <si>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</si>
  <si>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</si>
  <si>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</si>
  <si>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</si>
  <si>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</si>
  <si>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</si>
  <si>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</si>
  <si>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</si>
  <si>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</si>
  <si>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</si>
  <si>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</si>
  <si>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</si>
  <si>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</si>
  <si>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</si>
  <si>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</si>
  <si>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</si>
  <si>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</si>
  <si>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</si>
  <si>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</si>
  <si>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</si>
  <si>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</si>
  <si>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</si>
  <si>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</si>
  <si>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</si>
  <si>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</si>
  <si>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</si>
  <si>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</si>
  <si>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</si>
  <si>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</si>
  <si>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</si>
  <si>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</si>
  <si>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</si>
  <si>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</si>
  <si>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</si>
  <si>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</si>
  <si>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</si>
  <si>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</si>
  <si>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</si>
  <si>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</si>
  <si>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</si>
  <si>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</si>
  <si>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</si>
  <si>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</si>
  <si>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</si>
  <si>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</si>
  <si>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</si>
  <si>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</si>
  <si>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</si>
  <si>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</si>
  <si>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</si>
  <si>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</si>
  <si>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</si>
  <si>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</si>
  <si>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</si>
  <si>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</si>
  <si>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</si>
  <si>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</si>
  <si>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</si>
  <si>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</si>
  <si>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</si>
  <si>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</si>
  <si>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</si>
  <si>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</si>
  <si>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</si>
  <si>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</si>
  <si>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</si>
  <si>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</si>
  <si>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</si>
  <si>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</si>
  <si>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</si>
  <si>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</si>
  <si>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</si>
  <si>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</si>
  <si>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</si>
  <si>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</si>
  <si>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</si>
  <si>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</si>
  <si>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</si>
  <si>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</si>
  <si>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</si>
  <si>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</si>
  <si>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</si>
  <si>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</si>
  <si>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</si>
  <si>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</si>
  <si>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</si>
  <si>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</si>
  <si>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</si>
  <si>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</si>
  <si>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</si>
  <si>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</si>
  <si>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</si>
  <si>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</si>
  <si>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</si>
  <si>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</si>
  <si>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</si>
  <si>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</si>
  <si>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</si>
  <si>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</si>
  <si>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</si>
  <si>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</si>
  <si>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</si>
  <si>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</si>
  <si>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</si>
  <si>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</si>
  <si>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</si>
  <si>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</si>
  <si>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</si>
  <si>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</si>
  <si>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</si>
  <si>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</si>
  <si>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</si>
  <si>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</si>
  <si>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</si>
  <si>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</si>
  <si>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</si>
  <si>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</si>
  <si>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</si>
  <si>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</si>
  <si>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</si>
  <si>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</si>
  <si>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</si>
  <si>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</si>
  <si>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</si>
  <si>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</si>
  <si>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</si>
  <si>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</si>
  <si>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</si>
  <si>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</si>
  <si>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</si>
  <si>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</si>
  <si>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</si>
  <si>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</si>
  <si>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</si>
  <si>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</si>
  <si>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</si>
  <si>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</si>
  <si>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</si>
  <si>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</si>
  <si>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</si>
  <si>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</si>
  <si>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</si>
  <si>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</si>
  <si>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</si>
  <si>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</si>
  <si>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</si>
  <si>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</si>
  <si>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</si>
  <si>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</si>
  <si>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</si>
  <si>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</si>
  <si>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</si>
  <si>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</si>
  <si>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</si>
  <si>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</si>
  <si>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</si>
  <si>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</si>
  <si>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</si>
  <si>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</si>
  <si>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</si>
  <si>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</si>
  <si>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</si>
  <si>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</si>
  <si>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</si>
  <si>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</si>
  <si>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</si>
  <si>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</si>
  <si>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</si>
  <si>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</si>
  <si>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</si>
  <si>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</si>
  <si>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</si>
  <si>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</si>
  <si>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</si>
  <si>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</si>
  <si>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</si>
  <si>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</si>
  <si>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</si>
  <si>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</si>
  <si>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</si>
  <si>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</si>
  <si>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</si>
  <si>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</si>
  <si>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</si>
  <si>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</si>
  <si>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</si>
  <si>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</si>
  <si>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</si>
  <si>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</si>
  <si>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</si>
  <si>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</si>
  <si>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</si>
  <si>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</si>
  <si>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</si>
  <si>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</si>
  <si>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</si>
  <si>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</si>
  <si>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</si>
  <si>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</si>
  <si>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</si>
  <si>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</si>
  <si>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</si>
  <si>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</si>
  <si>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</si>
  <si>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</si>
  <si>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</si>
  <si>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</si>
  <si>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</si>
  <si>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</si>
  <si>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</si>
  <si>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</si>
  <si>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</si>
  <si>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</si>
  <si>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</si>
  <si>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</si>
  <si>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</si>
  <si>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</si>
  <si>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</si>
  <si>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</si>
  <si>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</si>
  <si>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</si>
  <si>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</si>
  <si>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</si>
  <si>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</si>
  <si>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</si>
  <si>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</si>
  <si>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</si>
  <si>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</si>
  <si>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</si>
  <si>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</si>
  <si>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</si>
  <si>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</si>
  <si>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</si>
  <si>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</si>
  <si>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</si>
  <si>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</si>
  <si>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</si>
  <si>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</si>
  <si>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</si>
  <si>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</si>
  <si>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</si>
  <si>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</si>
  <si>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</si>
  <si>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</si>
  <si>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</si>
  <si>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</si>
  <si>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</si>
  <si>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</si>
  <si>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</si>
  <si>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</si>
  <si>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</si>
  <si>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</si>
  <si>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</si>
  <si>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</si>
  <si>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</si>
  <si>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</si>
  <si>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</si>
  <si>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</si>
  <si>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</si>
  <si>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</si>
  <si>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</si>
  <si>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</si>
  <si>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</si>
  <si>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</si>
  <si>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</si>
  <si>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</si>
  <si>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</si>
  <si>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</si>
  <si>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</si>
  <si>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</si>
  <si>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</si>
  <si>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</si>
  <si>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</si>
  <si>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</si>
  <si>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</si>
  <si>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</si>
  <si>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</si>
  <si>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</si>
  <si>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</si>
  <si>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</si>
  <si>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</si>
  <si>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</si>
  <si>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</si>
  <si>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</si>
  <si>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</si>
  <si>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</si>
  <si>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</si>
  <si>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</si>
  <si>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</si>
  <si>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</si>
  <si>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</si>
  <si>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</si>
  <si>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</si>
  <si>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</si>
  <si>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</si>
  <si>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</si>
  <si>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</si>
  <si>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</si>
  <si>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</si>
  <si>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</si>
  <si>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</si>
  <si>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</si>
  <si>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</si>
  <si>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</si>
  <si>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</si>
  <si>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</si>
  <si>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</si>
  <si>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</si>
  <si>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</si>
  <si>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</si>
  <si>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</si>
  <si>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</si>
  <si>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</si>
  <si>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</si>
  <si>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</si>
  <si>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</si>
  <si>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</si>
  <si>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</si>
  <si>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</si>
  <si>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</si>
  <si>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</si>
  <si>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</si>
  <si>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</si>
  <si>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</si>
  <si>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</si>
  <si>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</si>
  <si>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</si>
  <si>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</si>
  <si>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</si>
  <si>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</si>
  <si>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</si>
  <si>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</si>
  <si>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</si>
  <si>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</si>
  <si>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</si>
  <si>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</si>
  <si>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</si>
  <si>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</si>
  <si>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</si>
  <si>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</si>
  <si>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</si>
  <si>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</si>
  <si>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</si>
  <si>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</si>
  <si>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</si>
  <si>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</si>
  <si>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</si>
  <si>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</si>
  <si>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</si>
  <si>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</si>
  <si>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</si>
  <si>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</si>
  <si>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</si>
  <si>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</si>
  <si>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</si>
  <si>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</si>
  <si>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</si>
  <si>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</si>
  <si>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</si>
  <si>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</si>
  <si>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</si>
  <si>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</si>
  <si>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</si>
  <si>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</si>
  <si>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</si>
  <si>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</si>
  <si>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</si>
  <si>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</si>
  <si>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</si>
  <si>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</si>
  <si>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</si>
  <si>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</si>
  <si>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</si>
  <si>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</si>
  <si>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</si>
  <si>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</si>
  <si>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</si>
  <si>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</si>
  <si>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</si>
  <si>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</si>
  <si>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</si>
  <si>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</si>
  <si>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</si>
  <si>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</si>
  <si>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</si>
  <si>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</si>
  <si>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</si>
  <si>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</si>
  <si>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</si>
  <si>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</si>
  <si>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</si>
  <si>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</si>
  <si>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</si>
  <si>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</si>
  <si>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</si>
  <si>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</si>
  <si>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</si>
  <si>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</si>
  <si>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</si>
  <si>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</si>
  <si>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</si>
  <si>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</si>
  <si>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</si>
  <si>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</si>
  <si>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</si>
  <si>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</si>
  <si>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</si>
  <si>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</si>
  <si>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</si>
  <si>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</si>
  <si>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</si>
  <si>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</si>
  <si>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</si>
  <si>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</si>
  <si>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</si>
  <si>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</si>
  <si>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</si>
  <si>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</si>
  <si>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</si>
  <si>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</si>
  <si>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</si>
  <si>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</si>
  <si>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</si>
  <si>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</si>
  <si>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</si>
  <si>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</si>
  <si>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</si>
  <si>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</si>
  <si>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</si>
  <si>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</si>
  <si>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</si>
  <si>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</si>
  <si>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</si>
  <si>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</si>
  <si>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</si>
  <si>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</si>
  <si>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</si>
  <si>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</si>
  <si>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</si>
  <si>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</si>
  <si>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</si>
  <si>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</si>
  <si>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</si>
  <si>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</si>
  <si>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</si>
  <si>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</si>
  <si>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</si>
  <si>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</si>
  <si>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</si>
  <si>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</si>
  <si>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</si>
  <si>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</si>
  <si>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</si>
  <si>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</si>
  <si>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</si>
  <si>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</si>
  <si>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</si>
  <si>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</si>
  <si>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</si>
  <si>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</si>
  <si>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</si>
  <si>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</si>
  <si>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</si>
  <si>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</si>
  <si>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</si>
  <si>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</si>
  <si>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</si>
  <si>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</si>
  <si>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</si>
  <si>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</si>
  <si>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</si>
  <si>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</si>
  <si>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</si>
  <si>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</si>
  <si>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</si>
  <si>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</si>
  <si>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</si>
  <si>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</si>
  <si>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</si>
  <si>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</si>
  <si>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</si>
  <si>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</si>
  <si>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</si>
  <si>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</si>
  <si>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</si>
  <si>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</si>
  <si>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</si>
  <si>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</si>
  <si>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</si>
  <si>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</si>
  <si>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</si>
  <si>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</si>
  <si>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</si>
  <si>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</si>
  <si>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</si>
  <si>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</si>
  <si>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</si>
  <si>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</si>
  <si>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</si>
  <si>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</si>
  <si>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</si>
  <si>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</si>
  <si>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</si>
  <si>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</si>
  <si>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</si>
  <si>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</si>
  <si>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</si>
  <si>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</si>
  <si>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</si>
  <si>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</si>
  <si>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</si>
  <si>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</si>
  <si>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</si>
  <si>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</si>
  <si>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</si>
  <si>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</si>
  <si>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</si>
  <si>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</si>
  <si>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</si>
  <si>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</si>
  <si>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</si>
  <si>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</si>
  <si>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</si>
  <si>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</si>
  <si>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</si>
  <si>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</si>
  <si>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</si>
  <si>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</si>
  <si>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</si>
  <si>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</si>
  <si>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</si>
  <si>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</si>
  <si>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</si>
  <si>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</si>
  <si>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</si>
  <si>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</si>
  <si>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</si>
  <si>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</si>
  <si>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</si>
  <si>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</si>
  <si>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</si>
  <si>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</si>
  <si>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</si>
  <si>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</si>
  <si>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</si>
  <si>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</si>
  <si>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</si>
  <si>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</si>
  <si>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</si>
  <si>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</si>
  <si>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</si>
  <si>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</si>
  <si>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</si>
  <si>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</si>
  <si>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</si>
  <si>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</si>
  <si>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</si>
  <si>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</si>
  <si>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</si>
  <si>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</si>
  <si>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</si>
  <si>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</si>
  <si>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</si>
  <si>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</si>
  <si>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</si>
  <si>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</si>
  <si>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</si>
  <si>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</si>
  <si>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</si>
  <si>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</si>
  <si>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</si>
  <si>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</si>
  <si>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</si>
  <si>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</si>
  <si>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</si>
  <si>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</si>
  <si>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</si>
  <si>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</si>
  <si>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</si>
  <si>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</si>
  <si>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</si>
  <si>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</si>
  <si>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</si>
  <si>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</si>
  <si>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</si>
  <si>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</si>
  <si>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</si>
  <si>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</si>
  <si>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</si>
  <si>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</si>
  <si>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</si>
  <si>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</si>
  <si>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</si>
  <si>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</si>
  <si>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</si>
  <si>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</si>
  <si>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</si>
  <si>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</si>
  <si>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</si>
  <si>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</si>
  <si>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</si>
  <si>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</si>
  <si>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</si>
  <si>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</si>
  <si>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</si>
  <si>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</si>
  <si>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</si>
  <si>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</si>
  <si>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</si>
  <si>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</si>
  <si>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</si>
  <si>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</si>
  <si>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</si>
  <si>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</si>
  <si>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</si>
  <si>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</si>
  <si>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</si>
  <si>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</si>
  <si>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</si>
  <si>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</si>
  <si>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</si>
  <si>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</si>
  <si>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</si>
  <si>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</si>
  <si>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</si>
  <si>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</si>
  <si>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</si>
  <si>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</si>
  <si>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</si>
  <si>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</si>
  <si>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</si>
  <si>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</si>
  <si>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</si>
  <si>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</si>
  <si>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</si>
  <si>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</si>
  <si>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</si>
  <si>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</si>
  <si>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</si>
  <si>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</si>
  <si>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</si>
  <si>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</si>
  <si>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</si>
  <si>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</si>
  <si>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</si>
  <si>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</si>
  <si>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</si>
  <si>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</si>
  <si>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</si>
  <si>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</si>
  <si>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</si>
  <si>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</si>
  <si>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</si>
  <si>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</si>
  <si>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</si>
  <si>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</si>
  <si>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</si>
  <si>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</si>
  <si>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</si>
  <si>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</si>
  <si>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</si>
  <si>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</si>
  <si>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</si>
  <si>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</si>
  <si>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</si>
  <si>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</si>
  <si>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</si>
  <si>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</si>
  <si>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</si>
  <si>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</si>
  <si>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</si>
  <si>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</si>
  <si>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</si>
  <si>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</si>
  <si>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</si>
  <si>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</si>
  <si>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</si>
  <si>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</si>
  <si>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</si>
  <si>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</si>
  <si>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</si>
  <si>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</si>
  <si>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</si>
  <si>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</si>
  <si>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</si>
  <si>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</si>
  <si>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</si>
  <si>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</si>
  <si>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</si>
  <si>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</si>
  <si>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</si>
  <si>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</si>
  <si>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</si>
  <si>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</si>
  <si>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</si>
  <si>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</si>
  <si>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</si>
  <si>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</si>
  <si>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</si>
  <si>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</si>
  <si>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</si>
  <si>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</si>
  <si>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</si>
  <si>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</si>
  <si>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</si>
  <si>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</si>
  <si>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</si>
  <si>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</si>
  <si>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</si>
  <si>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</si>
  <si>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</si>
  <si>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</si>
  <si>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</si>
  <si>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</si>
  <si>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</si>
  <si>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</si>
  <si>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</si>
  <si>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</si>
  <si>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</si>
  <si>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</si>
  <si>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</si>
  <si>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</si>
  <si>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</si>
  <si>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</si>
  <si>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</si>
  <si>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</si>
  <si>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</si>
  <si>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</si>
  <si>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</si>
  <si>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</si>
  <si>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</si>
  <si>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</si>
  <si>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</si>
  <si>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</si>
  <si>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</si>
  <si>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</si>
  <si>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</si>
  <si>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</si>
  <si>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</si>
  <si>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</si>
  <si>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</si>
  <si>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</si>
  <si>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</si>
  <si>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</si>
  <si>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</si>
  <si>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</si>
  <si>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</si>
  <si>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</si>
  <si>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</si>
  <si>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</si>
  <si>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</si>
  <si>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</si>
  <si>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</si>
  <si>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</si>
  <si>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</si>
  <si>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</si>
  <si>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</si>
  <si>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</si>
  <si>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</si>
  <si>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</si>
  <si>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</si>
  <si>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</si>
  <si>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</si>
  <si>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</si>
  <si>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</si>
  <si>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</si>
  <si>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</si>
  <si>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</si>
  <si>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</si>
  <si>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</si>
  <si>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</si>
  <si>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</si>
  <si>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</si>
  <si>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</si>
  <si>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</si>
  <si>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</si>
  <si>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</si>
  <si>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</si>
  <si>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</si>
  <si>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</si>
  <si>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</si>
  <si>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</si>
  <si>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</si>
  <si>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</si>
  <si>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</si>
  <si>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</si>
  <si>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</si>
  <si>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</si>
  <si>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</si>
  <si>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</si>
  <si>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</si>
  <si>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</si>
  <si>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</si>
  <si>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</si>
  <si>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</si>
  <si>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</si>
  <si>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</si>
  <si>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</si>
  <si>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</si>
  <si>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</si>
  <si>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</si>
  <si>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</si>
  <si>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</si>
  <si>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</si>
  <si>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</si>
  <si>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</si>
  <si>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</si>
  <si>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</si>
  <si>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</si>
  <si>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</si>
  <si>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</si>
  <si>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</si>
  <si>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</si>
  <si>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</si>
  <si>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</si>
  <si>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</si>
  <si>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</si>
  <si>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</si>
  <si>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</si>
  <si>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</si>
  <si>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</si>
  <si>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</si>
  <si>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</si>
  <si>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</si>
  <si>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</si>
  <si>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</si>
  <si>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</si>
  <si>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</si>
  <si>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</si>
  <si>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</si>
  <si>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</si>
  <si>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</si>
  <si>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</si>
  <si>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</si>
  <si>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</si>
  <si>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</si>
  <si>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</si>
  <si>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</si>
  <si>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</si>
  <si>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</si>
  <si>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</si>
  <si>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</si>
  <si>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</si>
  <si>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</si>
  <si>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</si>
  <si>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</si>
  <si>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</si>
  <si>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</si>
  <si>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</si>
  <si>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</si>
  <si>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</si>
  <si>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</si>
  <si>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</si>
  <si>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</si>
  <si>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</si>
  <si>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</si>
  <si>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</si>
  <si>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</si>
  <si>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</si>
  <si>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</si>
  <si>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</si>
  <si>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</si>
  <si>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</si>
  <si>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</si>
  <si>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</si>
  <si>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</si>
  <si>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</si>
  <si>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</si>
  <si>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</si>
  <si>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</si>
  <si>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</si>
  <si>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</si>
  <si>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</si>
  <si>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</si>
  <si>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</si>
  <si>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</si>
  <si>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</si>
  <si>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</si>
  <si>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</si>
  <si>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</si>
  <si>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</si>
  <si>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</si>
  <si>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</si>
  <si>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</si>
  <si>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</si>
  <si>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</si>
  <si>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</si>
  <si>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</si>
  <si>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</si>
  <si>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</si>
  <si>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</si>
  <si>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</si>
  <si>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</si>
  <si>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</si>
  <si>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</si>
  <si>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</si>
  <si>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</si>
  <si>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</si>
  <si>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</si>
  <si>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</si>
  <si>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</si>
  <si>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</si>
  <si>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</si>
  <si>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</si>
  <si>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</si>
  <si>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</si>
  <si>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</si>
  <si>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</si>
  <si>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</si>
  <si>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</si>
  <si>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</si>
  <si>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</si>
  <si>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</si>
  <si>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</si>
  <si>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</si>
  <si>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</si>
  <si>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</si>
  <si>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</si>
  <si>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</si>
  <si>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</si>
  <si>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</si>
  <si>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</si>
  <si>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</si>
  <si>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</si>
  <si>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</si>
  <si>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</si>
  <si>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</si>
  <si>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</si>
  <si>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</si>
  <si>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</si>
  <si>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</si>
  <si>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</si>
  <si>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</si>
  <si>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</si>
  <si>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</si>
  <si>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</si>
  <si>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</si>
  <si>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</si>
  <si>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</si>
  <si>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</si>
  <si>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</si>
  <si>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</si>
  <si>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</si>
  <si>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</si>
  <si>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</si>
  <si>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</si>
  <si>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</si>
  <si>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</si>
  <si>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</si>
  <si>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</si>
  <si>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</si>
  <si>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</si>
  <si>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</si>
  <si>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</si>
  <si>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</si>
  <si>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</si>
  <si>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</si>
  <si>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</si>
  <si>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</si>
  <si>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</si>
  <si>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</si>
  <si>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</si>
  <si>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</si>
  <si>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</si>
  <si>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</si>
  <si>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</si>
  <si>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</si>
  <si>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</si>
  <si>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</si>
  <si>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</si>
  <si>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</si>
  <si>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</si>
  <si>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</si>
  <si>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</si>
  <si>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</si>
  <si>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</si>
  <si>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</si>
  <si>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</si>
  <si>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</si>
  <si>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</si>
  <si>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</si>
  <si>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</si>
  <si>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</si>
  <si>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</si>
  <si>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</si>
  <si>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</si>
  <si>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</si>
  <si>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</si>
  <si>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</si>
  <si>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</si>
  <si>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</si>
  <si>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</si>
  <si>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</si>
  <si>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</si>
  <si>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</si>
  <si>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</si>
  <si>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</si>
  <si>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</si>
  <si>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</si>
  <si>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</si>
  <si>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</si>
  <si>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</si>
  <si>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</si>
  <si>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</si>
  <si>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</si>
  <si>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</si>
  <si>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</si>
  <si>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</si>
  <si>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</si>
  <si>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</si>
  <si>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</si>
  <si>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</si>
  <si>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</si>
  <si>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</si>
  <si>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</si>
  <si>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</si>
  <si>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</si>
  <si>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</si>
  <si>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</si>
  <si>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</si>
  <si>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</si>
  <si>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</si>
  <si>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</si>
  <si>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</si>
  <si>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</si>
  <si>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</si>
  <si>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</si>
  <si>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</si>
  <si>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</si>
  <si>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</si>
  <si>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</si>
  <si>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</si>
  <si>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</si>
  <si>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</si>
  <si>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</si>
  <si>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</si>
  <si>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</si>
  <si>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</si>
  <si>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</si>
  <si>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</si>
  <si>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</si>
  <si>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</si>
  <si>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</si>
  <si>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</si>
  <si>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</si>
  <si>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</si>
  <si>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</si>
  <si>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</si>
  <si>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</si>
  <si>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</si>
  <si>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</si>
  <si>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</si>
  <si>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</si>
  <si>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</si>
  <si>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</si>
  <si>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</si>
  <si>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</si>
  <si>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</si>
  <si>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</si>
  <si>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</si>
  <si>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</si>
  <si>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</si>
  <si>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</si>
  <si>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</si>
  <si>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</si>
  <si>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</si>
  <si>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</si>
  <si>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</si>
  <si>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</si>
  <si>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</si>
  <si>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</si>
  <si>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</si>
  <si>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</si>
  <si>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</si>
  <si>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</si>
  <si>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</si>
  <si>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</si>
  <si>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</si>
  <si>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</si>
  <si>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</si>
  <si>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</si>
  <si>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</si>
  <si>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</si>
  <si>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</si>
  <si>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</si>
  <si>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</si>
  <si>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</si>
  <si>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</si>
  <si>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</si>
  <si>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</si>
  <si>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</si>
  <si>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</si>
  <si>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</si>
  <si>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</si>
  <si>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</si>
  <si>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</si>
  <si>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</si>
  <si>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</si>
  <si>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</si>
  <si>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</si>
  <si>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</si>
  <si>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</si>
  <si>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</si>
  <si>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</si>
  <si>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</si>
  <si>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</si>
  <si>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</si>
  <si>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</si>
  <si>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</si>
  <si>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</si>
  <si>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</si>
  <si>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</si>
  <si>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</si>
  <si>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</si>
  <si>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</si>
  <si>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</si>
  <si>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</si>
  <si>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</si>
  <si>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</si>
  <si>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</si>
  <si>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</si>
  <si>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</si>
  <si>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</si>
  <si>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</si>
  <si>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</si>
  <si>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</si>
  <si>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</si>
  <si>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</si>
  <si>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</si>
  <si>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</si>
  <si>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</si>
  <si>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</si>
  <si>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</si>
  <si>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</si>
  <si>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</si>
  <si>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</si>
  <si>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</si>
  <si>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</si>
  <si>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</si>
  <si>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</si>
  <si>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</si>
  <si>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</si>
  <si>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</si>
  <si>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</si>
  <si>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</si>
  <si>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</si>
  <si>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</si>
  <si>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</si>
  <si>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</si>
  <si>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</si>
  <si>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</si>
  <si>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</si>
  <si>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</si>
  <si>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</si>
  <si>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</si>
  <si>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</si>
  <si>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</si>
  <si>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</si>
  <si>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</si>
  <si>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</si>
  <si>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</si>
  <si>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</si>
  <si>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</si>
  <si>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</si>
  <si>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</si>
  <si>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</si>
  <si>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</si>
  <si>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</si>
  <si>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</si>
  <si>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</si>
  <si>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</si>
  <si>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</si>
  <si>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</si>
  <si>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</si>
  <si>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</si>
  <si>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</si>
  <si>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</si>
  <si>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</si>
  <si>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</si>
  <si>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</si>
  <si>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</si>
  <si>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</si>
  <si>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</si>
  <si>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</si>
  <si>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</si>
  <si>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</si>
  <si>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</si>
  <si>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</si>
  <si>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</si>
  <si>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</si>
  <si>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</si>
  <si>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</si>
  <si>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</si>
  <si>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</si>
  <si>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</si>
  <si>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</si>
  <si>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</si>
  <si>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</si>
  <si>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</si>
  <si>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</si>
  <si>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</si>
  <si>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</si>
  <si>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</si>
  <si>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</si>
  <si>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</si>
  <si>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</si>
  <si>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</si>
  <si>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</si>
  <si>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</si>
  <si>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</si>
  <si>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</si>
  <si>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</si>
  <si>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</si>
  <si>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</si>
  <si>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</si>
  <si>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</si>
  <si>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</si>
  <si>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</si>
  <si>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</si>
  <si>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</si>
  <si>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</si>
  <si>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</si>
  <si>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</si>
  <si>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</si>
  <si>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</si>
  <si>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</si>
  <si>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</si>
  <si>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</si>
  <si>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</si>
  <si>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</si>
  <si>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</si>
  <si>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</si>
  <si>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</si>
  <si>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</si>
  <si>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</si>
  <si>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</si>
  <si>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</si>
  <si>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</si>
  <si>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</si>
  <si>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</si>
  <si>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</si>
  <si>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</si>
  <si>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</si>
  <si>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</si>
  <si>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</si>
  <si>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</si>
  <si>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</si>
  <si>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</si>
  <si>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</si>
  <si>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</si>
  <si>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</si>
  <si>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</si>
  <si>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</si>
  <si>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</si>
  <si>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</si>
  <si>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</si>
  <si>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</si>
  <si>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</si>
  <si>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</si>
  <si>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</si>
  <si>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</si>
  <si>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</si>
  <si>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</si>
  <si>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</si>
  <si>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</si>
  <si>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</si>
  <si>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</si>
  <si>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</si>
  <si>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</si>
  <si>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</si>
  <si>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</si>
  <si>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</si>
  <si>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</si>
  <si>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</si>
  <si>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</si>
  <si>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</si>
  <si>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</si>
  <si>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</si>
  <si>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</si>
  <si>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</si>
  <si>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</si>
  <si>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</si>
  <si>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</si>
  <si>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</si>
  <si>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</si>
  <si>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</si>
  <si>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</si>
  <si>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</si>
  <si>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</si>
  <si>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</si>
  <si>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</si>
  <si>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</si>
  <si>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</si>
  <si>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</si>
  <si>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</si>
  <si>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</si>
  <si>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</si>
  <si>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</si>
  <si>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</si>
  <si>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</si>
  <si>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</si>
  <si>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</si>
  <si>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</si>
  <si>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</si>
  <si>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</si>
  <si>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</si>
  <si>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</si>
  <si>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</si>
  <si>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</si>
  <si>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</si>
  <si>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</si>
  <si>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</si>
  <si>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</si>
  <si>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</si>
  <si>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</si>
  <si>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</si>
  <si>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</si>
  <si>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</si>
  <si>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</si>
  <si>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</si>
  <si>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</si>
  <si>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</si>
  <si>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</si>
  <si>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</si>
  <si>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</si>
  <si>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</si>
  <si>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</si>
  <si>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</si>
  <si>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</si>
  <si>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</si>
  <si>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</si>
  <si>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</si>
  <si>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</si>
  <si>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</si>
  <si>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</si>
  <si>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</si>
  <si>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</si>
  <si>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</si>
  <si>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</si>
  <si>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</si>
  <si>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</si>
  <si>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</si>
  <si>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</si>
  <si>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</si>
  <si>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</si>
  <si>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</si>
  <si>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</si>
  <si>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</si>
  <si>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</si>
  <si>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</si>
  <si>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</si>
  <si>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</si>
  <si>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</si>
  <si>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</si>
  <si>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</si>
  <si>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</si>
  <si>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</si>
  <si>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</si>
  <si>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</si>
  <si>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</si>
  <si>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</si>
  <si>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</si>
  <si>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</si>
  <si>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</si>
  <si>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</si>
  <si>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</si>
  <si>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</si>
  <si>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</si>
  <si>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</si>
  <si>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</si>
  <si>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</si>
  <si>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</si>
  <si>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</si>
  <si>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</si>
  <si>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</si>
  <si>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</si>
  <si>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</si>
  <si>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</si>
  <si>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</si>
  <si>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</si>
  <si>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</si>
  <si>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</si>
  <si>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</si>
  <si>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</si>
  <si>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</si>
  <si>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</si>
  <si>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</si>
  <si>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</si>
  <si>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</si>
  <si>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</si>
  <si>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</si>
  <si>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</si>
  <si>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</si>
  <si>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</si>
  <si>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</si>
  <si>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</si>
  <si>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</si>
  <si>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</si>
  <si>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</si>
  <si>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</si>
  <si>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</si>
  <si>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</si>
  <si>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</si>
  <si>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</si>
  <si>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</si>
  <si>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</si>
  <si>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</si>
  <si>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</si>
  <si>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</si>
  <si>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</si>
  <si>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</si>
  <si>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</si>
  <si>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</si>
  <si>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</si>
  <si>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</si>
  <si>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</si>
  <si>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</si>
  <si>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</si>
  <si>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</si>
  <si>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</si>
  <si>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</si>
  <si>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</si>
  <si>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</si>
  <si>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</si>
  <si>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</si>
  <si>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</si>
  <si>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</si>
  <si>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</si>
  <si>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</si>
  <si>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</si>
  <si>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</si>
  <si>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</si>
  <si>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</si>
  <si>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</si>
  <si>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</si>
  <si>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</si>
  <si>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</si>
  <si>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</si>
  <si>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</si>
  <si>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</si>
  <si>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</si>
  <si>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</si>
  <si>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</si>
  <si>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</si>
  <si>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</si>
  <si>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</si>
  <si>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</si>
  <si>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</si>
  <si>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</si>
  <si>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</si>
  <si>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</si>
  <si>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</si>
  <si>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</si>
  <si>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</si>
  <si>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</si>
  <si>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</si>
  <si>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</si>
  <si>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</si>
  <si>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</si>
  <si>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</si>
  <si>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</si>
  <si>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</si>
  <si>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</si>
  <si>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</si>
  <si>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</si>
  <si>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</si>
  <si>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</si>
  <si>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</si>
  <si>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</si>
  <si>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</si>
  <si>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</si>
  <si>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</si>
  <si>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</si>
  <si>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</si>
  <si>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</si>
  <si>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</si>
  <si>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</si>
  <si>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</si>
  <si>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</si>
  <si>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</si>
  <si>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</si>
  <si>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</si>
  <si>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</si>
  <si>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</si>
  <si>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</si>
  <si>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</si>
  <si>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</si>
  <si>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</si>
  <si>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</si>
  <si>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</si>
  <si>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</si>
  <si>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</si>
  <si>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</si>
  <si>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</si>
  <si>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</si>
  <si>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</si>
  <si>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</si>
  <si>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</si>
  <si>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</si>
  <si>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</si>
  <si>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</si>
  <si>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</si>
  <si>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</si>
  <si>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</si>
  <si>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</si>
  <si>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</si>
  <si>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</si>
  <si>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</si>
  <si>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</si>
  <si>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</si>
  <si>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</si>
  <si>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</si>
  <si>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</si>
  <si>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</si>
  <si>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</si>
  <si>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</si>
  <si>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</si>
  <si>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</si>
  <si>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</si>
  <si>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</si>
  <si>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</si>
  <si>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</si>
  <si>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</si>
  <si>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</si>
  <si>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</si>
  <si>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</si>
  <si>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</si>
  <si>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</si>
  <si>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</si>
  <si>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</si>
  <si>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</si>
  <si>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</si>
  <si>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</si>
  <si>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</si>
  <si>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</si>
  <si>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</si>
  <si>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</si>
  <si>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</si>
  <si>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</si>
  <si>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</si>
  <si>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</si>
  <si>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</si>
  <si>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</si>
  <si>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</si>
  <si>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</si>
  <si>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</si>
  <si>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</si>
  <si>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</si>
  <si>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</si>
  <si>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</si>
  <si>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</si>
  <si>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</si>
  <si>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</si>
  <si>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</si>
  <si>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</si>
  <si>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</si>
  <si>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</si>
  <si>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</si>
  <si>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</si>
  <si>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</si>
  <si>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</si>
  <si>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</si>
  <si>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</si>
  <si>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</si>
  <si>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</si>
  <si>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</si>
  <si>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</si>
  <si>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</si>
  <si>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</si>
  <si>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</si>
  <si>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</si>
  <si>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</si>
  <si>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</si>
  <si>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</si>
  <si>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</si>
  <si>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</si>
  <si>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</si>
  <si>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</si>
  <si>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</si>
  <si>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</si>
  <si>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</si>
  <si>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</si>
  <si>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</si>
  <si>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</si>
  <si>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</si>
  <si>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</si>
  <si>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</si>
  <si>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</si>
  <si>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</si>
  <si>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</si>
  <si>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</si>
  <si>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</si>
  <si>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</si>
  <si>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</si>
  <si>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</si>
  <si>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</si>
  <si>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</si>
  <si>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</si>
  <si>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</si>
  <si>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</si>
  <si>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</si>
  <si>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</si>
  <si>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</si>
  <si>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</si>
  <si>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</si>
  <si>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</si>
  <si>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</si>
  <si>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</si>
  <si>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</si>
  <si>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</si>
  <si>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</si>
  <si>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</si>
  <si>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</si>
  <si>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</si>
  <si>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</si>
  <si>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</si>
  <si>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</si>
  <si>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</si>
  <si>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</si>
  <si>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</si>
  <si>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</si>
  <si>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</si>
  <si>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</si>
  <si>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</si>
  <si>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</si>
  <si>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</si>
  <si>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</si>
  <si>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</si>
  <si>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</si>
  <si>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</si>
  <si>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</si>
  <si>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</si>
  <si>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</si>
  <si>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</si>
  <si>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</si>
  <si>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</si>
  <si>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</si>
  <si>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</si>
  <si>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</si>
  <si>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</si>
  <si>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</si>
  <si>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</si>
  <si>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</si>
  <si>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</si>
  <si>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</si>
  <si>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</si>
  <si>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</si>
  <si>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</si>
  <si>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</si>
  <si>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</si>
  <si>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</si>
  <si>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</si>
  <si>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</si>
  <si>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</si>
  <si>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</si>
  <si>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</si>
  <si>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</si>
  <si>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</si>
  <si>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</si>
  <si>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</si>
  <si>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</si>
  <si>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</si>
  <si>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</si>
  <si>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</si>
  <si>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</si>
  <si>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</si>
  <si>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</si>
  <si>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</si>
  <si>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</si>
  <si>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</si>
  <si>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</si>
  <si>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</si>
  <si>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</si>
  <si>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</si>
  <si>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</si>
  <si>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</si>
  <si>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</si>
  <si>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</si>
  <si>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</si>
  <si>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</si>
  <si>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</si>
  <si>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</si>
  <si>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</si>
  <si>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</si>
  <si>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</si>
  <si>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</si>
  <si>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</si>
  <si>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</si>
  <si>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</si>
  <si>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</si>
  <si>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</si>
  <si>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</si>
  <si>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</si>
  <si>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</si>
  <si>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</si>
  <si>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</si>
  <si>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</si>
  <si>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</si>
  <si>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</si>
  <si>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</si>
  <si>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</si>
  <si>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</si>
  <si>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</si>
  <si>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</si>
  <si>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</si>
  <si>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</si>
  <si>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</si>
  <si>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</si>
  <si>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</si>
  <si>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</si>
  <si>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</si>
  <si>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</si>
  <si>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</si>
  <si>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</si>
  <si>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</si>
  <si>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</si>
  <si>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</si>
  <si>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</si>
  <si>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</si>
  <si>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</si>
  <si>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</si>
  <si>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</si>
  <si>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</si>
  <si>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</si>
  <si>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</si>
  <si>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</si>
  <si>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</si>
  <si>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</si>
  <si>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</si>
  <si>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</si>
  <si>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</si>
  <si>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</si>
  <si>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</si>
  <si>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</si>
  <si>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</si>
  <si>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</si>
  <si>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</si>
  <si>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</si>
  <si>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</si>
  <si>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</si>
  <si>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</si>
  <si>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</si>
  <si>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</si>
  <si>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</si>
  <si>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</si>
  <si>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</si>
  <si>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</si>
  <si>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</si>
  <si>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</si>
  <si>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</si>
  <si>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</si>
  <si>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</si>
  <si>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</si>
  <si>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</si>
  <si>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</si>
  <si>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</si>
  <si>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</si>
  <si>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</si>
  <si>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</si>
  <si>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</si>
  <si>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</si>
  <si>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</si>
  <si>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</si>
  <si>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</si>
  <si>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</si>
  <si>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</si>
  <si>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</si>
  <si>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</si>
  <si>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</si>
  <si>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</si>
  <si>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</si>
  <si>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</si>
  <si>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</si>
  <si>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</si>
  <si>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</si>
  <si>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</si>
  <si>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</si>
  <si>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</si>
  <si>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</si>
  <si>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</si>
  <si>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</si>
  <si>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</si>
  <si>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</si>
  <si>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</si>
  <si>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</si>
  <si>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</si>
  <si>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</si>
  <si>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</si>
  <si>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</si>
  <si>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</si>
  <si>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</si>
  <si>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</si>
  <si>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</si>
  <si>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</si>
  <si>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</si>
  <si>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</si>
  <si>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</si>
  <si>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</si>
  <si>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</si>
  <si>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</si>
  <si>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</si>
  <si>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</si>
  <si>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</si>
  <si>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</si>
  <si>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</si>
  <si>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</si>
  <si>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</si>
  <si>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</si>
  <si>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</si>
  <si>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</si>
  <si>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</si>
  <si>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</si>
  <si>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</si>
  <si>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</si>
  <si>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</si>
  <si>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</si>
  <si>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</si>
  <si>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</si>
  <si>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</si>
  <si>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</si>
  <si>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</si>
  <si>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</si>
  <si>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</si>
  <si>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</si>
  <si>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</si>
  <si>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</si>
  <si>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</si>
  <si>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</si>
  <si>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</si>
  <si>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</si>
  <si>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</si>
  <si>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</si>
  <si>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</si>
  <si>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</si>
  <si>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</si>
  <si>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</si>
  <si>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</si>
  <si>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</si>
  <si>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</si>
  <si>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</si>
  <si>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</si>
  <si>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</si>
  <si>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</si>
  <si>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</si>
  <si>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</si>
  <si>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</si>
  <si>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</si>
  <si>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</si>
  <si>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</si>
  <si>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</si>
  <si>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</si>
  <si>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</si>
  <si>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</si>
  <si>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</si>
  <si>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</si>
  <si>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</si>
  <si>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</si>
  <si>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</si>
  <si>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</si>
  <si>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</si>
  <si>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</si>
  <si>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</si>
  <si>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</si>
  <si>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</si>
  <si>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</si>
  <si>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</si>
  <si>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</si>
  <si>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</si>
  <si>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</si>
  <si>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</si>
  <si>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</si>
  <si>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</si>
  <si>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</si>
  <si>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</si>
  <si>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</si>
  <si>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</si>
  <si>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</si>
  <si>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</si>
  <si>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</si>
  <si>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</si>
  <si>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</si>
  <si>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</si>
  <si>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</si>
  <si>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</si>
  <si>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</si>
  <si>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</si>
  <si>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</si>
  <si>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</si>
  <si>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</si>
  <si>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</si>
  <si>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</si>
  <si>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</si>
  <si>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</si>
  <si>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</si>
  <si>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</si>
  <si>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</si>
  <si>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</si>
  <si>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</si>
  <si>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</si>
  <si>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</si>
  <si>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</si>
  <si>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</si>
  <si>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</si>
  <si>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</si>
  <si>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</si>
  <si>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</si>
  <si>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</si>
  <si>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</si>
  <si>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</si>
  <si>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</si>
  <si>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</si>
  <si>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</si>
  <si>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</si>
  <si>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</si>
  <si>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</si>
  <si>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</si>
  <si>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</si>
  <si>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</si>
  <si>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</si>
  <si>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</si>
  <si>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</si>
  <si>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</si>
  <si>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</si>
  <si>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</si>
  <si>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</si>
  <si>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</si>
  <si>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</si>
  <si>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</si>
  <si>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</si>
  <si>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</si>
  <si>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</si>
  <si>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</si>
  <si>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</si>
  <si>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</si>
  <si>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</si>
  <si>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</si>
  <si>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</si>
  <si>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</si>
  <si>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</si>
  <si>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</si>
  <si>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</si>
  <si>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</si>
  <si>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</si>
  <si>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</si>
  <si>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</si>
  <si>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</si>
  <si>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</si>
  <si>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</si>
  <si>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</si>
  <si>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</si>
  <si>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</si>
  <si>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</si>
  <si>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</si>
  <si>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</si>
  <si>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</si>
  <si>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</si>
  <si>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</si>
  <si>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</si>
  <si>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</si>
  <si>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</si>
  <si>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</si>
  <si>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</si>
  <si>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</si>
  <si>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</si>
  <si>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</si>
  <si>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</si>
  <si>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</si>
  <si>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</si>
  <si>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</si>
  <si>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</si>
  <si>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</si>
  <si>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</si>
  <si>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</si>
  <si>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</si>
  <si>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</si>
  <si>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</si>
  <si>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</si>
  <si>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</si>
  <si>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</si>
  <si>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</si>
  <si>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</si>
  <si>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</si>
  <si>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</si>
  <si>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</si>
  <si>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</si>
  <si>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</si>
  <si>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</si>
  <si>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</si>
  <si>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</si>
  <si>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</si>
  <si>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</si>
  <si>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</si>
  <si>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</si>
  <si>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</si>
  <si>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</si>
  <si>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</si>
  <si>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</si>
  <si>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</si>
  <si>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</si>
  <si>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</si>
  <si>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</si>
  <si>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</si>
  <si>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</si>
  <si>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</si>
  <si>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</si>
  <si>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</si>
  <si>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</si>
  <si>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</si>
  <si>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</si>
  <si>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</si>
  <si>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</si>
  <si>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</si>
  <si>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</si>
  <si>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</si>
  <si>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</si>
  <si>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</si>
  <si>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</si>
  <si>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</si>
  <si>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</si>
  <si>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</si>
  <si>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</si>
  <si>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</si>
  <si>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</si>
  <si>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</si>
  <si>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</si>
  <si>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</si>
  <si>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</si>
  <si>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</si>
  <si>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</si>
  <si>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</si>
  <si>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</si>
  <si>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</si>
  <si>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</si>
  <si>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</si>
  <si>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</si>
  <si>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</si>
  <si>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</si>
  <si>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</si>
  <si>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</si>
  <si>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</si>
  <si>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</si>
  <si>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</si>
  <si>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</si>
  <si>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</si>
  <si>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</si>
  <si>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</si>
  <si>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</si>
  <si>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</si>
  <si>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</si>
  <si>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</si>
  <si>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</si>
  <si>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</si>
  <si>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</si>
  <si>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</si>
  <si>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</si>
  <si>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</si>
  <si>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</si>
  <si>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</si>
  <si>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</si>
  <si>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</si>
  <si>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</si>
  <si>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</si>
  <si>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</si>
  <si>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</si>
  <si>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</si>
  <si>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</si>
  <si>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</si>
  <si>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</si>
  <si>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</si>
  <si>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</si>
  <si>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</si>
  <si>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</si>
  <si>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</si>
  <si>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</si>
  <si>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</si>
  <si>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</si>
  <si>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</si>
  <si>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</si>
  <si>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</si>
  <si>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</si>
  <si>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</si>
  <si>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</si>
  <si>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</si>
  <si>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</si>
  <si>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</si>
  <si>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</si>
  <si>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</si>
  <si>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</si>
  <si>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</si>
  <si>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</si>
  <si>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</si>
  <si>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</si>
  <si>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</si>
  <si>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</si>
  <si>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</si>
  <si>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</si>
  <si>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</si>
  <si>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</si>
  <si>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</si>
  <si>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</si>
  <si>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</si>
  <si>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</si>
  <si>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</si>
  <si>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</si>
  <si>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</si>
  <si>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</si>
  <si>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</si>
  <si>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</si>
  <si>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</si>
  <si>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</si>
  <si>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</si>
  <si>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</si>
  <si>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</si>
  <si>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</si>
  <si>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</si>
  <si>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</si>
  <si>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</si>
  <si>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</si>
  <si>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</si>
  <si>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</si>
  <si>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</si>
  <si>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</si>
  <si>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</si>
  <si>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</si>
  <si>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</si>
  <si>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</si>
  <si>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</si>
  <si>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</si>
  <si>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</si>
  <si>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</si>
  <si>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</si>
  <si>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</si>
  <si>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</si>
  <si>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</si>
  <si>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</si>
  <si>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</si>
  <si>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</si>
  <si>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</si>
  <si>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</si>
  <si>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</si>
  <si>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</si>
  <si>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</si>
  <si>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</si>
  <si>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</si>
  <si>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</si>
  <si>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</si>
  <si>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</si>
  <si>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</si>
  <si>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</si>
  <si>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</si>
  <si>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</si>
  <si>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</si>
  <si>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</si>
  <si>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</si>
  <si>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</si>
  <si>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</si>
  <si>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</si>
  <si>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</si>
  <si>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</si>
  <si>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</si>
  <si>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</si>
  <si>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</si>
  <si>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</si>
  <si>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</si>
  <si>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</si>
  <si>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</si>
  <si>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</si>
  <si>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</si>
  <si>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</si>
  <si>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</si>
  <si>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</si>
  <si>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</si>
  <si>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</si>
  <si>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</si>
  <si>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</si>
  <si>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</si>
  <si>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</si>
  <si>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</si>
  <si>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</si>
  <si>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</si>
  <si>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</si>
  <si>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</si>
  <si>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</si>
  <si>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</si>
  <si>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</si>
  <si>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</si>
  <si>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</si>
  <si>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</si>
  <si>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</si>
  <si>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</si>
  <si>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</si>
  <si>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</si>
  <si>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</si>
  <si>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</si>
  <si>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</si>
  <si>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</si>
  <si>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</si>
  <si>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</si>
  <si>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</si>
  <si>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</si>
  <si>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</si>
  <si>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</si>
  <si>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</si>
  <si>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</si>
  <si>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</si>
  <si>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</si>
  <si>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</si>
  <si>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</si>
  <si>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</si>
  <si>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</si>
  <si>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</si>
  <si>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</si>
  <si>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</si>
  <si>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</si>
  <si>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</si>
  <si>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</si>
  <si>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</si>
  <si>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</si>
  <si>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</si>
  <si>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</si>
  <si>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</si>
  <si>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</si>
  <si>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</si>
  <si>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</si>
  <si>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</si>
  <si>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</si>
  <si>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</si>
  <si>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</si>
  <si>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</si>
  <si>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</si>
  <si>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</si>
  <si>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</si>
  <si>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</si>
  <si>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</si>
  <si>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</si>
  <si>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</si>
  <si>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</si>
  <si>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</si>
  <si>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</si>
  <si>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</si>
  <si>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</si>
  <si>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</si>
  <si>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</si>
  <si>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</si>
  <si>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</si>
  <si>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</si>
  <si>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</si>
  <si>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</si>
  <si>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</si>
  <si>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</si>
  <si>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</si>
  <si>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</si>
  <si>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</si>
  <si>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</si>
  <si>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</si>
  <si>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</si>
  <si>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</si>
  <si>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</si>
  <si>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</si>
  <si>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</si>
  <si>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</si>
  <si>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</si>
  <si>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</si>
  <si>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</si>
  <si>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</si>
  <si>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</si>
  <si>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</si>
  <si>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</si>
  <si>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</si>
  <si>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</si>
  <si>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</si>
  <si>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</si>
  <si>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</si>
  <si>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</si>
  <si>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</si>
  <si>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</si>
  <si>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</si>
  <si>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</si>
  <si>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</si>
  <si>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</si>
  <si>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</si>
  <si>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</si>
  <si>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</si>
  <si>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</si>
  <si>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</si>
  <si>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</si>
  <si>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</si>
  <si>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</si>
  <si>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</si>
  <si>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</si>
  <si>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</si>
  <si>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</si>
  <si>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</si>
  <si>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</si>
  <si>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</si>
  <si>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</si>
  <si>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</si>
  <si>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</si>
  <si>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</si>
  <si>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</si>
  <si>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</si>
  <si>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</si>
  <si>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</si>
  <si>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</si>
  <si>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</si>
  <si>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</si>
  <si>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</si>
  <si>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</si>
  <si>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</si>
  <si>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</si>
  <si>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</si>
  <si>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</si>
  <si>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</si>
  <si>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</si>
  <si>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</si>
  <si>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</si>
  <si>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</si>
  <si>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</si>
  <si>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</si>
  <si>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</si>
  <si>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</si>
  <si>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</si>
  <si>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</si>
  <si>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</si>
  <si>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</si>
  <si>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</si>
  <si>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</si>
  <si>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</si>
  <si>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</si>
  <si>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</si>
  <si>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</si>
  <si>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</si>
  <si>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</si>
  <si>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</si>
  <si>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</si>
  <si>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</si>
  <si>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</si>
  <si>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</si>
  <si>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</si>
  <si>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</si>
  <si>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</si>
  <si>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</si>
  <si>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</si>
  <si>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</si>
  <si>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</si>
  <si>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</si>
  <si>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</si>
  <si>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</si>
  <si>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</si>
  <si>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</si>
  <si>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</si>
  <si>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</si>
  <si>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</si>
  <si>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</si>
  <si>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</si>
  <si>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</si>
  <si>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</si>
  <si>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</si>
  <si>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</si>
  <si>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</si>
  <si>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</si>
  <si>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</si>
  <si>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</si>
  <si>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</si>
  <si>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</si>
  <si>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</si>
  <si>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</si>
  <si>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</si>
  <si>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</si>
  <si>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</si>
  <si>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</si>
  <si>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</si>
  <si>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</si>
  <si>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</si>
  <si>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</si>
  <si>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</si>
  <si>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</si>
  <si>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</si>
  <si>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</si>
  <si>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</si>
  <si>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</si>
  <si>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</si>
  <si>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</si>
  <si>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</si>
  <si>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</si>
  <si>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</si>
  <si>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</si>
  <si>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</si>
  <si>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</si>
  <si>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</si>
  <si>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</si>
  <si>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</si>
  <si>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</si>
  <si>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</si>
  <si>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</si>
  <si>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</si>
  <si>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</si>
  <si>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</si>
  <si>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</si>
  <si>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</si>
  <si>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</si>
  <si>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</si>
  <si>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</si>
  <si>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</si>
  <si>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</si>
  <si>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</si>
  <si>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</si>
  <si>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</si>
  <si>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</si>
  <si>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</si>
  <si>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</si>
  <si>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</si>
  <si>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</si>
  <si>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</si>
  <si>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</si>
  <si>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</si>
  <si>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</si>
  <si>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</si>
  <si>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</si>
  <si>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</si>
  <si>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</si>
  <si>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</si>
  <si>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</si>
  <si>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</si>
  <si>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</si>
  <si>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</si>
  <si>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</si>
  <si>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</si>
  <si>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</si>
  <si>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</si>
  <si>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</si>
  <si>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</si>
  <si>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</si>
  <si>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</si>
  <si>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</si>
  <si>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</si>
  <si>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</si>
  <si>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</si>
  <si>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</si>
  <si>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</si>
  <si>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</si>
  <si>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</si>
  <si>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</si>
  <si>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</si>
  <si>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</si>
  <si>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</si>
  <si>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</si>
  <si>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</si>
  <si>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</si>
  <si>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</si>
  <si>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</si>
  <si>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</si>
  <si>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</si>
  <si>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</si>
  <si>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</si>
  <si>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</si>
  <si>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</si>
  <si>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</si>
  <si>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</si>
  <si>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</si>
  <si>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</si>
  <si>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</si>
  <si>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</si>
  <si>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</si>
  <si>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</si>
  <si>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</si>
  <si>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</si>
  <si>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</si>
  <si>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</si>
  <si>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</si>
  <si>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</si>
  <si>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</si>
  <si>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</si>
  <si>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</si>
  <si>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</si>
  <si>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</si>
  <si>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</si>
  <si>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</si>
  <si>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</si>
  <si>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</si>
  <si>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</si>
  <si>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</si>
  <si>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</si>
  <si>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</si>
  <si>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</si>
  <si>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</si>
  <si>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</si>
  <si>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</si>
  <si>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</si>
  <si>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</si>
  <si>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</si>
  <si>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</si>
  <si>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</si>
  <si>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</si>
  <si>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</si>
  <si>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</si>
  <si>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</si>
  <si>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</si>
  <si>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</si>
  <si>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</si>
  <si>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</si>
  <si>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</si>
  <si>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</si>
  <si>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</si>
  <si>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</si>
  <si>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</si>
  <si>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</si>
  <si>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</si>
  <si>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</si>
  <si>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</si>
  <si>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</si>
  <si>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</si>
  <si>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</si>
  <si>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</si>
  <si>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</si>
  <si>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</si>
  <si>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</si>
  <si>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</si>
  <si>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</si>
  <si>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</si>
  <si>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</si>
  <si>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</si>
  <si>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</si>
  <si>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</si>
  <si>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</si>
  <si>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</si>
  <si>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</si>
  <si>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</si>
  <si>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</si>
  <si>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</si>
  <si>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</si>
  <si>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</si>
  <si>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</si>
  <si>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</si>
  <si>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</si>
  <si>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</si>
  <si>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</si>
  <si>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</si>
  <si>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</si>
  <si>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</si>
  <si>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</si>
  <si>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</si>
  <si>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</si>
  <si>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</si>
  <si>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</si>
  <si>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</si>
  <si>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</si>
  <si>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</si>
  <si>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</si>
  <si>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</si>
  <si>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</si>
  <si>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</si>
  <si>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</si>
  <si>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</si>
  <si>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</si>
  <si>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</si>
  <si>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</si>
  <si>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</si>
  <si>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</si>
  <si>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</si>
  <si>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</si>
  <si>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</si>
  <si>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</si>
  <si>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</si>
  <si>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</si>
  <si>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</si>
  <si>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</si>
  <si>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</si>
  <si>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</si>
  <si>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</si>
  <si>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</si>
  <si>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</si>
  <si>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</si>
  <si>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</si>
  <si>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</si>
  <si>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</si>
  <si>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</si>
  <si>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</si>
  <si>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</si>
  <si>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</si>
  <si>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</si>
  <si>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</si>
  <si>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</si>
  <si>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</si>
  <si>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</si>
  <si>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</si>
  <si>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</si>
  <si>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</si>
  <si>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</si>
  <si>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</si>
  <si>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</si>
  <si>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</si>
  <si>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</si>
  <si>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</si>
  <si>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</si>
  <si>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</si>
  <si>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</si>
  <si>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</si>
  <si>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</si>
  <si>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</si>
  <si>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</si>
  <si>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</si>
  <si>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</si>
  <si>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</si>
  <si>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</si>
  <si>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</si>
  <si>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</si>
  <si>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</si>
  <si>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</si>
  <si>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</si>
  <si>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</si>
  <si>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</si>
  <si>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</si>
  <si>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</si>
  <si>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</si>
  <si>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</si>
  <si>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</si>
  <si>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</si>
  <si>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</si>
  <si>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</si>
  <si>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</si>
  <si>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</si>
  <si>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</si>
  <si>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</si>
  <si>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</si>
  <si>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</si>
  <si>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</si>
  <si>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</si>
  <si>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</si>
  <si>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</si>
  <si>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</si>
  <si>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</si>
  <si>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</si>
  <si>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</si>
  <si>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</si>
  <si>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</si>
  <si>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</si>
  <si>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</si>
  <si>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</si>
  <si>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</si>
  <si>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</si>
  <si>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</si>
  <si>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</si>
  <si>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</si>
  <si>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</si>
  <si>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</si>
  <si>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</si>
  <si>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</si>
  <si>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</si>
  <si>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</si>
  <si>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</si>
  <si>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</si>
  <si>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</si>
  <si>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</si>
  <si>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</si>
  <si>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</si>
  <si>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</si>
  <si>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</si>
  <si>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</si>
  <si>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</si>
  <si>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</si>
  <si>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</si>
  <si>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</si>
  <si>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</si>
  <si>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</si>
  <si>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</si>
  <si>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</si>
  <si>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</si>
  <si>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</si>
  <si>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</si>
  <si>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</si>
  <si>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</si>
  <si>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</si>
  <si>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</si>
  <si>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</si>
  <si>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</si>
  <si>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</si>
  <si>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</si>
  <si>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</si>
  <si>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</si>
  <si>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</si>
  <si>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</si>
  <si>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</si>
  <si>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</si>
  <si>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</si>
  <si>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</si>
  <si>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</si>
  <si>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</si>
  <si>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</si>
  <si>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</si>
  <si>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</si>
  <si>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</si>
  <si>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</si>
  <si>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</si>
  <si>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</si>
  <si>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</si>
  <si>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</si>
  <si>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</si>
  <si>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</si>
  <si>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</si>
  <si>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</si>
  <si>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</si>
  <si>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</si>
  <si>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</si>
  <si>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</si>
  <si>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</si>
  <si>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</si>
  <si>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</si>
  <si>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</si>
  <si>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</si>
  <si>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</si>
  <si>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</si>
  <si>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</si>
  <si>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</si>
  <si>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</si>
  <si>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</si>
  <si>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</si>
  <si>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</si>
  <si>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</si>
  <si>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</si>
  <si>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</si>
  <si>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</si>
  <si>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</si>
  <si>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</si>
  <si>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</si>
  <si>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</si>
  <si>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</si>
  <si>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</si>
  <si>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</si>
  <si>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</si>
  <si>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</si>
  <si>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</si>
  <si>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</si>
  <si>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</si>
  <si>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</si>
  <si>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</si>
  <si>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</si>
  <si>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</si>
  <si>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</si>
  <si>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</si>
  <si>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</si>
  <si>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</si>
  <si>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</si>
  <si>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</si>
  <si>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</si>
  <si>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</si>
  <si>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</si>
  <si>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</si>
  <si>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</si>
  <si>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</si>
  <si>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</si>
  <si>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</si>
  <si>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</si>
  <si>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</si>
  <si>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</si>
  <si>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</si>
  <si>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</si>
  <si>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</si>
  <si>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</si>
  <si>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</si>
  <si>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</si>
  <si>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</si>
  <si>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</si>
  <si>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</si>
  <si>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</si>
  <si>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</si>
  <si>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</si>
  <si>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</si>
  <si>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</si>
  <si>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</si>
  <si>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</si>
  <si>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</si>
  <si>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</si>
  <si>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</si>
  <si>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</si>
  <si>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</si>
  <si>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</si>
  <si>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</si>
  <si>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</si>
  <si>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</si>
  <si>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</si>
  <si>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</si>
  <si>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</si>
  <si>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</si>
  <si>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</si>
  <si>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</si>
  <si>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</si>
  <si>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</si>
  <si>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</si>
  <si>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</si>
  <si>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</si>
  <si>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</si>
  <si>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</si>
  <si>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</si>
  <si>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</si>
  <si>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</si>
  <si>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</si>
  <si>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</si>
  <si>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</si>
  <si>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</si>
  <si>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</si>
  <si>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</si>
  <si>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</si>
  <si>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</si>
  <si>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</si>
  <si>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</si>
  <si>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</si>
  <si>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</si>
  <si>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</si>
  <si>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</si>
  <si>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</si>
  <si>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</si>
  <si>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</si>
  <si>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</si>
  <si>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</si>
  <si>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</si>
  <si>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</si>
  <si>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</si>
  <si>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</si>
  <si>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</si>
  <si>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</si>
  <si>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</si>
  <si>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</si>
  <si>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</si>
  <si>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</si>
  <si>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</si>
  <si>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</si>
  <si>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</si>
  <si>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</si>
  <si>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</si>
  <si>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</si>
  <si>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</si>
  <si>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</si>
  <si>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</si>
  <si>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</si>
  <si>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</si>
  <si>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</si>
  <si>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</si>
  <si>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</si>
  <si>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</si>
  <si>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</si>
  <si>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</si>
  <si>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</si>
  <si>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</si>
  <si>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</si>
  <si>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</si>
  <si>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</si>
  <si>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</si>
  <si>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</si>
  <si>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</si>
  <si>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</si>
  <si>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</si>
  <si>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</si>
  <si>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</si>
  <si>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</si>
  <si>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</si>
  <si>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</si>
  <si>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</si>
  <si>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</si>
  <si>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</si>
  <si>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</si>
  <si>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</si>
  <si>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</si>
  <si>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</si>
  <si>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</si>
  <si>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</si>
  <si>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</si>
  <si>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</si>
  <si>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</si>
  <si>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</si>
  <si>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</si>
  <si>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</si>
  <si>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</si>
  <si>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</si>
  <si>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</si>
  <si>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</si>
  <si>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</si>
  <si>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</si>
  <si>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</si>
  <si>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</si>
  <si>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</si>
  <si>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</si>
  <si>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</si>
  <si>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</si>
  <si>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</si>
  <si>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</si>
  <si>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</si>
  <si>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</si>
  <si>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</si>
  <si>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</si>
  <si>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</si>
  <si>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</si>
  <si>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</si>
  <si>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</si>
  <si>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</si>
  <si>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</si>
  <si>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</si>
  <si>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</si>
  <si>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</si>
  <si>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</si>
  <si>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</si>
  <si>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</si>
  <si>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</si>
  <si>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</si>
  <si>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</si>
  <si>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</si>
  <si>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</si>
  <si>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</si>
  <si>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</si>
  <si>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</si>
  <si>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</si>
  <si>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</si>
  <si>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</si>
  <si>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</si>
  <si>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</si>
  <si>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</si>
  <si>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</si>
  <si>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</si>
  <si>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</si>
  <si>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</si>
  <si>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</si>
  <si>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</si>
  <si>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</si>
  <si>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</si>
  <si>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</si>
  <si>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</si>
  <si>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</si>
  <si>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</si>
  <si>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</si>
  <si>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</si>
  <si>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</si>
  <si>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</si>
  <si>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</si>
  <si>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</si>
  <si>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</si>
  <si>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</si>
  <si>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</si>
  <si>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</si>
  <si>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</si>
  <si>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</si>
  <si>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</si>
  <si>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</si>
  <si>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</si>
  <si>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</si>
  <si>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</si>
  <si>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</si>
  <si>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</si>
  <si>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</si>
  <si>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</si>
  <si>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</si>
  <si>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</si>
  <si>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</si>
  <si>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</si>
  <si>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</si>
  <si>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</si>
  <si>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</si>
  <si>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</si>
  <si>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</si>
  <si>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</si>
  <si>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</si>
  <si>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</si>
  <si>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</si>
  <si>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</si>
  <si>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</si>
  <si>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</si>
  <si>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</si>
  <si>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</si>
  <si>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</si>
  <si>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</si>
  <si>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</si>
  <si>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</si>
  <si>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</si>
  <si>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</si>
  <si>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</si>
  <si>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</si>
  <si>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</si>
  <si>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</si>
  <si>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</si>
  <si>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</si>
  <si>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</si>
  <si>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</si>
  <si>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</si>
  <si>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</si>
  <si>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</si>
  <si>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</si>
  <si>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</si>
  <si>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</si>
  <si>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</si>
  <si>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</si>
  <si>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</si>
  <si>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</si>
  <si>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</si>
  <si>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</si>
  <si>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</si>
  <si>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</si>
  <si>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</si>
  <si>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</si>
  <si>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</si>
  <si>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</si>
  <si>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</si>
  <si>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</si>
  <si>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</si>
  <si>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</si>
  <si>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</si>
  <si>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</si>
  <si>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</si>
  <si>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</si>
  <si>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</si>
  <si>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</si>
  <si>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</si>
  <si>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</si>
  <si>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</si>
  <si>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</si>
  <si>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</si>
  <si>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</si>
  <si>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</si>
  <si>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</si>
  <si>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</si>
  <si>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</si>
  <si>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</si>
  <si>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</si>
  <si>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</si>
  <si>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</si>
  <si>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</si>
  <si>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</si>
  <si>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</si>
  <si>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</si>
  <si>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</si>
  <si>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</si>
  <si>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</si>
  <si>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</si>
  <si>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</si>
  <si>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</si>
  <si>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</si>
  <si>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</si>
  <si>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</si>
  <si>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</si>
  <si>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</si>
  <si>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</si>
  <si>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</si>
  <si>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</si>
  <si>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</si>
  <si>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</si>
  <si>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</si>
  <si>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</si>
  <si>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</si>
  <si>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</si>
  <si>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</si>
  <si>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</si>
  <si>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</si>
  <si>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</si>
  <si>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</si>
  <si>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</si>
  <si>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</si>
  <si>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</si>
  <si>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</si>
  <si>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</si>
  <si>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</si>
  <si>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</si>
  <si>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</si>
  <si>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</si>
  <si>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</si>
  <si>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</si>
  <si>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</si>
  <si>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</si>
  <si>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</si>
  <si>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</si>
  <si>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</si>
  <si>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</si>
  <si>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</si>
  <si>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</si>
  <si>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</si>
  <si>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</si>
  <si>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</si>
  <si>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</si>
  <si>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</si>
  <si>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</si>
  <si>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</si>
  <si>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</si>
  <si>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</si>
  <si>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</si>
  <si>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</si>
  <si>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</si>
  <si>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</si>
  <si>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</si>
  <si>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</si>
  <si>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</si>
  <si>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</si>
  <si>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</si>
  <si>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</si>
  <si>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</si>
  <si>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</si>
  <si>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</si>
  <si>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</si>
  <si>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</si>
  <si>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</si>
  <si>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</si>
  <si>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</si>
  <si>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</si>
  <si>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</si>
  <si>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</si>
  <si>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</si>
  <si>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</si>
  <si>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</si>
  <si>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</si>
  <si>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</si>
  <si>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</si>
  <si>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</si>
  <si>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</si>
  <si>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</si>
  <si>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</si>
  <si>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</si>
  <si>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</si>
  <si>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</si>
  <si>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</si>
  <si>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</si>
  <si>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</si>
  <si>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</si>
  <si>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</si>
  <si>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</si>
  <si>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</si>
  <si>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</si>
  <si>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</si>
  <si>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</si>
  <si>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</si>
  <si>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</si>
  <si>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</si>
  <si>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</si>
  <si>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</si>
  <si>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</si>
  <si>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</si>
  <si>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</si>
  <si>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</si>
  <si>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</si>
  <si>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</si>
  <si>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</si>
  <si>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</si>
  <si>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</si>
  <si>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</si>
  <si>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</si>
  <si>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</si>
  <si>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</si>
  <si>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</si>
  <si>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</si>
  <si>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</si>
  <si>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</si>
  <si>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</si>
  <si>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</si>
  <si>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</si>
  <si>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</si>
  <si>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</si>
  <si>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</si>
  <si>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</si>
  <si>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</si>
  <si>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</si>
  <si>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</si>
  <si>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</si>
  <si>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</si>
  <si>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</si>
  <si>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</si>
  <si>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</si>
  <si>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</si>
  <si>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</si>
  <si>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</si>
  <si>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</si>
  <si>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</si>
  <si>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</si>
  <si>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</si>
  <si>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</si>
  <si>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</si>
  <si>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</si>
  <si>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</si>
  <si>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</si>
  <si>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</si>
  <si>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</si>
  <si>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</si>
  <si>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</si>
  <si>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</si>
  <si>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</si>
  <si>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</si>
  <si>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</si>
  <si>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</si>
  <si>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</si>
  <si>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</si>
  <si>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</si>
  <si>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</si>
  <si>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</si>
  <si>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</si>
  <si>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</si>
  <si>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</si>
  <si>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</si>
  <si>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</si>
  <si>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</si>
  <si>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</si>
  <si>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</si>
  <si>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</si>
  <si>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</si>
  <si>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</si>
  <si>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</si>
  <si>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</si>
  <si>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</si>
  <si>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</si>
  <si>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</si>
  <si>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</si>
  <si>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</si>
  <si>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</si>
  <si>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</si>
  <si>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</si>
  <si>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</si>
  <si>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</si>
  <si>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</si>
  <si>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</si>
  <si>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</si>
  <si>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</si>
  <si>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</si>
  <si>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</si>
  <si>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</si>
  <si>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</si>
  <si>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</si>
  <si>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</si>
  <si>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</si>
  <si>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</si>
  <si>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</si>
  <si>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</si>
  <si>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</si>
  <si>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</si>
  <si>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</si>
  <si>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</si>
  <si>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</si>
  <si>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</si>
  <si>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</si>
  <si>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</si>
  <si>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</si>
  <si>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</si>
  <si>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</si>
  <si>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</si>
  <si>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</si>
  <si>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</si>
  <si>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</si>
  <si>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</si>
  <si>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</si>
  <si>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</si>
  <si>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</si>
  <si>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</si>
  <si>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</si>
  <si>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</si>
  <si>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</si>
  <si>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</si>
  <si>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</si>
  <si>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</si>
  <si>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</si>
  <si>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</si>
  <si>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</si>
  <si>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</si>
  <si>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</si>
  <si>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</si>
  <si>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</si>
  <si>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</si>
  <si>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</si>
  <si>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</si>
  <si>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</si>
  <si>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</si>
  <si>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</si>
  <si>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</si>
  <si>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</si>
  <si>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</si>
  <si>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</si>
  <si>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</si>
  <si>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</si>
  <si>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</si>
  <si>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</si>
  <si>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</si>
  <si>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</si>
  <si>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</si>
  <si>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</si>
  <si>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</si>
  <si>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</si>
  <si>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</si>
  <si>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</si>
  <si>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</si>
  <si>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</si>
  <si>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</si>
  <si>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</si>
  <si>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</si>
  <si>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</si>
  <si>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</si>
  <si>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</si>
  <si>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</si>
  <si>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</si>
  <si>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</si>
  <si>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</si>
  <si>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</si>
  <si>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</si>
  <si>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</si>
  <si>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</si>
  <si>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</si>
  <si>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</si>
  <si>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</si>
  <si>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</si>
  <si>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</si>
  <si>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</si>
  <si>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</si>
  <si>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</si>
  <si>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</si>
  <si>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</si>
  <si>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</si>
  <si>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</si>
  <si>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</si>
  <si>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</si>
  <si>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</si>
  <si>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</si>
  <si>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</si>
  <si>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</si>
  <si>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</si>
  <si>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</si>
  <si>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</si>
  <si>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</si>
  <si>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</si>
  <si>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</si>
  <si>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</si>
  <si>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</si>
  <si>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</si>
  <si>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</si>
  <si>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</si>
  <si>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</si>
  <si>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</si>
  <si>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</si>
  <si>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</si>
  <si>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</si>
  <si>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</si>
  <si>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</si>
  <si>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</si>
  <si>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</si>
  <si>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</si>
  <si>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</si>
  <si>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</si>
  <si>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</si>
  <si>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</si>
  <si>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</si>
  <si>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</si>
  <si>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</si>
  <si>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</si>
  <si>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</si>
  <si>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</si>
  <si>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</si>
  <si>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</si>
  <si>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</si>
  <si>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</si>
  <si>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</si>
  <si>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</si>
  <si>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</si>
  <si>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</si>
  <si>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</si>
  <si>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</si>
  <si>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</si>
  <si>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</si>
  <si>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</si>
  <si>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</si>
  <si>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</si>
  <si>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</si>
  <si>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</si>
  <si>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</si>
  <si>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</si>
  <si>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</si>
  <si>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</si>
  <si>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</si>
  <si>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</si>
  <si>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</si>
  <si>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</si>
  <si>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</si>
  <si>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</si>
  <si>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</si>
  <si>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</si>
  <si>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</si>
  <si>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</si>
  <si>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</si>
  <si>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</si>
  <si>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</si>
  <si>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</si>
  <si>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</si>
  <si>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</si>
  <si>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</si>
  <si>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</si>
  <si>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</si>
  <si>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</si>
  <si>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</si>
  <si>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</si>
  <si>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</si>
  <si>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</si>
  <si>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</si>
  <si>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</si>
  <si>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</si>
  <si>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</si>
  <si>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</si>
  <si>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</si>
  <si>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</si>
  <si>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</si>
  <si>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</si>
  <si>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</si>
  <si>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</si>
  <si>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</si>
  <si>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</si>
  <si>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</si>
  <si>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</si>
  <si>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</si>
  <si>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</si>
  <si>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</si>
  <si>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</si>
  <si>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</si>
  <si>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</si>
  <si>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</si>
  <si>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</si>
  <si>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</si>
  <si>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</si>
  <si>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</si>
  <si>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</si>
  <si>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</si>
  <si>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</si>
  <si>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</si>
  <si>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</si>
  <si>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</si>
  <si>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</si>
  <si>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</si>
  <si>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</si>
  <si>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</si>
  <si>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</si>
  <si>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</si>
  <si>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</si>
  <si>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</si>
  <si>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</si>
  <si>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</si>
  <si>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</si>
  <si>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</si>
  <si>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</si>
  <si>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</si>
  <si>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</si>
  <si>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</si>
  <si>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</si>
  <si>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</si>
  <si>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</si>
  <si>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</si>
  <si>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</si>
  <si>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</si>
  <si>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</si>
  <si>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</si>
  <si>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</si>
  <si>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</si>
  <si>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</si>
  <si>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</si>
  <si>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</si>
  <si>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</si>
  <si>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</si>
  <si>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</si>
  <si>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</si>
  <si>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</si>
  <si>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</si>
  <si>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</si>
  <si>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</si>
  <si>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</si>
  <si>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</si>
  <si>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</si>
  <si>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</si>
  <si>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</si>
  <si>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</si>
  <si>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</si>
  <si>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</si>
  <si>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</si>
  <si>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</si>
  <si>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</si>
  <si>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</si>
  <si>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</si>
  <si>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</si>
  <si>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</si>
  <si>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</si>
  <si>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</si>
  <si>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</si>
  <si>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</si>
  <si>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</si>
  <si>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</si>
  <si>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</si>
  <si>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</si>
  <si>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</si>
  <si>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</si>
  <si>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</si>
  <si>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</si>
  <si>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</si>
  <si>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</si>
  <si>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</si>
  <si>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</si>
  <si>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</si>
  <si>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</si>
  <si>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</si>
  <si>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</si>
  <si>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</si>
  <si>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</si>
  <si>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</si>
  <si>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</si>
  <si>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</si>
  <si>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</si>
  <si>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</si>
  <si>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</si>
  <si>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</si>
  <si>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</si>
  <si>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</si>
  <si>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</si>
  <si>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</si>
  <si>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</si>
  <si>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</si>
  <si>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</si>
  <si>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</si>
  <si>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</si>
  <si>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</si>
  <si>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</si>
  <si>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</si>
  <si>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</si>
  <si>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</si>
  <si>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</si>
  <si>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</si>
  <si>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</si>
  <si>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</si>
  <si>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</si>
  <si>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</si>
  <si>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</si>
  <si>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</si>
  <si>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</si>
  <si>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</si>
  <si>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</si>
  <si>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</si>
  <si>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</si>
  <si>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</si>
  <si>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</si>
  <si>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</si>
  <si>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</si>
  <si>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</si>
  <si>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</si>
  <si>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</si>
  <si>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</si>
  <si>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</si>
  <si>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</si>
  <si>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</si>
  <si>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</si>
  <si>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</si>
  <si>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</si>
  <si>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</si>
  <si>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</si>
  <si>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</si>
  <si>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</si>
  <si>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</si>
  <si>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</si>
  <si>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</si>
  <si>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</si>
  <si>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</si>
  <si>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</si>
  <si>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</si>
  <si>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</si>
  <si>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</si>
  <si>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</si>
  <si>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</si>
  <si>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</si>
  <si>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</si>
  <si>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</si>
  <si>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</si>
  <si>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</si>
  <si>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</si>
  <si>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</si>
  <si>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</si>
  <si>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</si>
  <si>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</si>
  <si>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</si>
  <si>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</si>
  <si>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</si>
  <si>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</si>
  <si>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</si>
  <si>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</si>
  <si>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</si>
  <si>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</si>
  <si>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</si>
  <si>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</si>
  <si>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</si>
  <si>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</si>
  <si>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</si>
  <si>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</si>
  <si>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</si>
  <si>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</si>
  <si>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</si>
  <si>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</si>
  <si>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</si>
  <si>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</si>
  <si>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</si>
  <si>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</si>
  <si>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</si>
  <si>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</si>
  <si>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</si>
  <si>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</si>
  <si>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</si>
  <si>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</si>
  <si>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</si>
  <si>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</si>
  <si>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</si>
  <si>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</si>
  <si>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</si>
  <si>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</si>
  <si>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</si>
  <si>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</si>
  <si>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</si>
  <si>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</si>
  <si>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</si>
  <si>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</si>
  <si>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</si>
  <si>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</si>
  <si>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</si>
  <si>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</si>
  <si>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</si>
  <si>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</si>
  <si>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</si>
  <si>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</si>
  <si>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</si>
  <si>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</si>
  <si>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</si>
  <si>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</si>
  <si>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</si>
  <si>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</si>
  <si>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</si>
  <si>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</si>
  <si>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</si>
  <si>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</si>
  <si>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</si>
  <si>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</si>
  <si>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</si>
  <si>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</si>
  <si>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</si>
  <si>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</si>
  <si>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</si>
  <si>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</si>
  <si>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</si>
  <si>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</si>
  <si>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</si>
  <si>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</si>
  <si>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</si>
  <si>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</si>
  <si>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</si>
  <si>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</si>
  <si>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</si>
  <si>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</si>
  <si>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</si>
  <si>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</si>
  <si>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</si>
  <si>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</si>
  <si>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</si>
  <si>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</si>
  <si>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</si>
  <si>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</si>
  <si>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</si>
  <si>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</si>
  <si>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</si>
  <si>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</si>
  <si>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</si>
  <si>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</si>
  <si>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</si>
  <si>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</si>
  <si>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</si>
  <si>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</si>
  <si>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</si>
  <si>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</si>
  <si>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</si>
  <si>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</si>
  <si>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</si>
  <si>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</si>
  <si>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</si>
  <si>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</si>
  <si>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</si>
  <si>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</si>
  <si>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</si>
  <si>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</si>
  <si>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</si>
  <si>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</si>
  <si>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</si>
  <si>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</si>
  <si>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</si>
  <si>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</si>
  <si>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</si>
  <si>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</si>
  <si>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</si>
  <si>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</si>
  <si>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</si>
  <si>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</si>
  <si>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</si>
  <si>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</si>
  <si>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</si>
  <si>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</si>
  <si>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</si>
  <si>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</si>
  <si>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</si>
  <si>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</si>
  <si>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</si>
  <si>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</si>
  <si>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</si>
  <si>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</si>
  <si>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</si>
  <si>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</si>
  <si>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</si>
  <si>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</si>
  <si>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</si>
  <si>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</si>
  <si>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</si>
  <si>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</si>
  <si>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</si>
  <si>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</si>
  <si>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</si>
  <si>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</si>
  <si>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</si>
  <si>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</si>
  <si>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</si>
  <si>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</si>
  <si>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</si>
  <si>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</si>
  <si>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</si>
  <si>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</si>
  <si>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</si>
  <si>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</si>
  <si>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</si>
  <si>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</si>
  <si>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</si>
  <si>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</si>
  <si>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</si>
  <si>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</si>
  <si>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</si>
  <si>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</si>
  <si>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</si>
  <si>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</si>
  <si>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</si>
  <si>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</si>
  <si>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</si>
  <si>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</si>
  <si>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</si>
  <si>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</si>
  <si>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</si>
  <si>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</si>
  <si>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</si>
  <si>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</si>
  <si>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</si>
  <si>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</si>
  <si>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</si>
  <si>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</si>
  <si>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</si>
  <si>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</si>
  <si>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</si>
  <si>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</si>
  <si>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</si>
  <si>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</si>
  <si>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</si>
  <si>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</si>
  <si>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</si>
  <si>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</si>
  <si>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</si>
  <si>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</si>
  <si>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</si>
  <si>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</si>
  <si>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</si>
  <si>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</si>
  <si>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</si>
  <si>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</si>
  <si>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</si>
  <si>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</si>
  <si>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</si>
  <si>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</si>
  <si>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</si>
  <si>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</si>
  <si>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</si>
  <si>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</si>
  <si>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</si>
  <si>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</si>
  <si>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</si>
  <si>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</si>
  <si>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</si>
  <si>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</si>
  <si>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</si>
  <si>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</si>
  <si>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</si>
  <si>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</si>
  <si>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</si>
  <si>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</si>
  <si>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</si>
  <si>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</si>
  <si>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</si>
  <si>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</si>
  <si>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</si>
  <si>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</si>
  <si>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</si>
  <si>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</si>
  <si>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</si>
  <si>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</si>
  <si>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</si>
  <si>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</si>
  <si>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</si>
  <si>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</si>
  <si>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</si>
  <si>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</si>
  <si>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</si>
  <si>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</si>
  <si>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</si>
  <si>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</si>
  <si>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</si>
  <si>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</si>
  <si>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</si>
  <si>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</si>
  <si>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</si>
  <si>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</si>
  <si>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</si>
  <si>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</si>
  <si>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</si>
  <si>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</si>
  <si>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</si>
  <si>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</si>
  <si>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</si>
  <si>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</si>
  <si>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</si>
  <si>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</si>
  <si>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</si>
  <si>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</si>
  <si>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</si>
  <si>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</si>
  <si>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</si>
  <si>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</si>
  <si>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</si>
  <si>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</si>
  <si>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</si>
  <si>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</si>
  <si>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</si>
  <si>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</si>
  <si>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</si>
  <si>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</si>
  <si>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</si>
  <si>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</si>
  <si>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</si>
  <si>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</si>
  <si>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</si>
  <si>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</si>
  <si>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</si>
  <si>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</si>
  <si>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</si>
  <si>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</si>
  <si>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</si>
  <si>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</si>
  <si>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</si>
  <si>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</si>
  <si>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</si>
  <si>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</si>
  <si>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</si>
  <si>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</si>
  <si>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</si>
  <si>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</si>
  <si>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</si>
  <si>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</si>
  <si>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</si>
  <si>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</si>
  <si>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</si>
  <si>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</si>
  <si>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</si>
  <si>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</si>
  <si>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</si>
  <si>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</si>
  <si>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</si>
  <si>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</si>
  <si>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</si>
  <si>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</si>
  <si>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</si>
  <si>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</si>
  <si>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</si>
  <si>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</si>
  <si>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</si>
  <si>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</si>
  <si>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</si>
  <si>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</si>
  <si>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</si>
  <si>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</si>
  <si>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</si>
  <si>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</si>
  <si>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</si>
  <si>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</si>
  <si>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</si>
  <si>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</si>
  <si>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</si>
  <si>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</si>
  <si>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</si>
  <si>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</si>
  <si>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</si>
  <si>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</si>
  <si>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</si>
  <si>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</si>
  <si>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</si>
  <si>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</si>
  <si>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</si>
  <si>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</si>
  <si>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</si>
  <si>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</si>
  <si>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</si>
  <si>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</si>
  <si>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</si>
  <si>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</si>
  <si>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</si>
  <si>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</si>
  <si>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</si>
  <si>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</si>
  <si>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</si>
  <si>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</si>
  <si>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</si>
  <si>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</si>
  <si>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</si>
  <si>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</si>
  <si>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</si>
  <si>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</si>
  <si>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</si>
  <si>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</si>
  <si>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</si>
  <si>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</si>
  <si>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</si>
  <si>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</si>
  <si>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</si>
  <si>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</si>
  <si>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</si>
  <si>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</si>
  <si>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</si>
  <si>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</si>
  <si>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</si>
  <si>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</si>
  <si>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</si>
  <si>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</si>
  <si>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</si>
  <si>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</si>
  <si>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</si>
  <si>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</si>
  <si>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</si>
  <si>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</si>
  <si>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</si>
  <si>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</si>
  <si>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</si>
  <si>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</si>
  <si>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</si>
  <si>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</si>
  <si>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</si>
  <si>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</si>
  <si>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</si>
  <si>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</si>
  <si>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</si>
  <si>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</si>
  <si>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</si>
  <si>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</si>
  <si>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</si>
  <si>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</si>
  <si>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</si>
  <si>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</si>
  <si>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</si>
  <si>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</si>
  <si>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</si>
  <si>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</si>
  <si>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</si>
  <si>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</si>
  <si>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</si>
  <si>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</si>
  <si>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</si>
  <si>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</si>
  <si>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</si>
  <si>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</si>
  <si>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</si>
  <si>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</si>
  <si>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</si>
  <si>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</si>
  <si>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</si>
  <si>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</si>
  <si>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</si>
  <si>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</si>
  <si>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</si>
  <si>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</si>
  <si>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</si>
  <si>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</si>
  <si>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</si>
  <si>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</si>
  <si>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</si>
  <si>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</si>
  <si>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</si>
  <si>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</si>
  <si>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</si>
  <si>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</si>
  <si>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</si>
  <si>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</si>
  <si>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</si>
  <si>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</si>
  <si>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</si>
  <si>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</si>
  <si>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</si>
  <si>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</si>
  <si>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</si>
  <si>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</si>
  <si>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</si>
  <si>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</si>
  <si>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</si>
  <si>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</si>
  <si>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</si>
  <si>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</si>
  <si>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</si>
  <si>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</si>
  <si>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</si>
  <si>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</si>
  <si>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</si>
  <si>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</si>
  <si>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</si>
  <si>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</si>
  <si>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</si>
  <si>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</si>
  <si>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</si>
  <si>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</si>
  <si>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</si>
  <si>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</si>
  <si>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</si>
  <si>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</si>
  <si>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</si>
  <si>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</si>
  <si>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</si>
  <si>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</si>
  <si>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</si>
  <si>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</si>
  <si>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</si>
  <si>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</si>
  <si>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</si>
  <si>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</si>
  <si>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</si>
  <si>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</si>
  <si>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</si>
  <si>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</si>
  <si>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</si>
  <si>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</si>
  <si>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</si>
  <si>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</si>
  <si>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</si>
  <si>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</si>
  <si>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</si>
  <si>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</si>
  <si>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</si>
  <si>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</si>
  <si>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</si>
  <si>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</si>
  <si>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</si>
  <si>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</si>
  <si>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</si>
  <si>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</si>
  <si>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</si>
  <si>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</si>
  <si>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</si>
  <si>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</si>
  <si>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</si>
  <si>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</si>
  <si>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</si>
  <si>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</si>
  <si>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</si>
  <si>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</si>
  <si>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</si>
  <si>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</si>
  <si>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</si>
  <si>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</si>
  <si>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</si>
  <si>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</si>
  <si>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</si>
  <si>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</si>
  <si>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</si>
  <si>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</si>
  <si>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</si>
  <si>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</si>
  <si>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</si>
  <si>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</si>
  <si>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</si>
  <si>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</si>
  <si>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</si>
  <si>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</si>
  <si>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</si>
  <si>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</si>
  <si>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</si>
  <si>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</si>
  <si>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</si>
  <si>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</si>
  <si>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</si>
  <si>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</si>
  <si>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</si>
  <si>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</si>
  <si>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</si>
  <si>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</si>
  <si>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</si>
  <si>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</si>
  <si>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</si>
  <si>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</si>
  <si>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</si>
  <si>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</si>
  <si>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</si>
  <si>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</si>
  <si>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</si>
  <si>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</si>
  <si>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</si>
  <si>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</si>
  <si>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</si>
  <si>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</si>
  <si>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</si>
  <si>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</si>
  <si>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</si>
  <si>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</si>
  <si>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</si>
  <si>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</si>
  <si>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</si>
  <si>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</si>
  <si>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</si>
  <si>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</si>
  <si>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</si>
  <si>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</si>
  <si>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</si>
  <si>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</si>
  <si>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</si>
  <si>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</si>
  <si>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</si>
  <si>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</si>
  <si>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</si>
  <si>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</si>
  <si>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</si>
  <si>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</si>
  <si>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</si>
  <si>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</si>
  <si>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</si>
  <si>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</si>
  <si>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</si>
  <si>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</si>
  <si>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</si>
  <si>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</si>
  <si>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</si>
  <si>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</si>
  <si>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</si>
  <si>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</si>
  <si>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</si>
  <si>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</si>
  <si>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</si>
  <si>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</si>
  <si>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</si>
  <si>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</si>
  <si>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</si>
  <si>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</si>
  <si>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</si>
  <si>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</si>
  <si>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</si>
  <si>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</si>
  <si>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</si>
  <si>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</si>
  <si>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</si>
  <si>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</si>
  <si>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</si>
  <si>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</si>
  <si>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</si>
  <si>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</si>
  <si>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</si>
  <si>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</si>
  <si>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</si>
  <si>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</si>
  <si>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</si>
  <si>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</si>
  <si>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</si>
  <si>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</si>
  <si>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</si>
  <si>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</si>
  <si>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</si>
  <si>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</si>
  <si>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</si>
  <si>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</si>
  <si>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</si>
  <si>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</si>
  <si>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</si>
  <si>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</si>
  <si>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</si>
  <si>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</si>
  <si>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</si>
  <si>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</si>
  <si>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</si>
  <si>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</si>
  <si>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</si>
  <si>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</si>
  <si>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</si>
  <si>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</si>
  <si>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</si>
  <si>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</si>
  <si>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</si>
  <si>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</si>
  <si>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</si>
  <si>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</si>
  <si>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</si>
  <si>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</si>
  <si>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</si>
  <si>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</si>
  <si>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</si>
  <si>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</si>
  <si>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</si>
  <si>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</si>
  <si>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</si>
  <si>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</si>
  <si>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</si>
  <si>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</si>
  <si>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</si>
  <si>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</si>
  <si>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</si>
  <si>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</si>
  <si>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</si>
  <si>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</si>
  <si>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</si>
  <si>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</si>
  <si>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</si>
  <si>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</si>
  <si>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</si>
  <si>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</si>
  <si>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</si>
  <si>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</si>
  <si>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</si>
  <si>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</si>
  <si>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</si>
  <si>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</si>
  <si>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</si>
  <si>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</si>
  <si>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</si>
  <si>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</si>
  <si>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</si>
  <si>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</si>
  <si>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</si>
  <si>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</si>
  <si>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</si>
  <si>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</si>
  <si>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</si>
  <si>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</si>
  <si>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</si>
  <si>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</si>
  <si>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</si>
  <si>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</si>
  <si>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</si>
  <si>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</si>
  <si>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</si>
  <si>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</si>
  <si>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</si>
  <si>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</si>
  <si>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</si>
  <si>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</si>
  <si>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</si>
  <si>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</si>
  <si>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</si>
  <si>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</si>
  <si>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</si>
  <si>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</si>
  <si>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</si>
  <si>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</si>
  <si>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</si>
  <si>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</si>
  <si>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</si>
  <si>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</si>
  <si>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</si>
  <si>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</si>
  <si>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</si>
  <si>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</si>
  <si>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</si>
  <si>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</si>
  <si>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</si>
  <si>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</si>
  <si>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</si>
  <si>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</si>
  <si>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</si>
  <si>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</si>
  <si>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</si>
  <si>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</si>
  <si>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</si>
  <si>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</si>
  <si>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</si>
  <si>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</si>
  <si>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</si>
  <si>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</si>
  <si>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</si>
  <si>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</si>
  <si>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</si>
  <si>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</si>
  <si>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</si>
  <si>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</si>
  <si>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</si>
  <si>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</si>
  <si>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</si>
  <si>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</si>
  <si>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</si>
  <si>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</si>
  <si>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</si>
  <si>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</si>
  <si>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</si>
  <si>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</si>
  <si>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</si>
  <si>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</si>
  <si>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</si>
  <si>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</si>
  <si>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</si>
  <si>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</si>
  <si>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</si>
  <si>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</si>
  <si>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</si>
  <si>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</si>
  <si>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</si>
  <si>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</si>
  <si>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</si>
  <si>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</si>
  <si>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</si>
  <si>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</si>
  <si>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</si>
  <si>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</si>
  <si>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</si>
  <si>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</si>
  <si>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</si>
  <si>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</si>
  <si>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</si>
  <si>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</si>
  <si>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</si>
  <si>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</si>
  <si>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</si>
  <si>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</si>
  <si>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</si>
  <si>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</si>
  <si>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</si>
  <si>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</si>
  <si>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</si>
  <si>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</si>
  <si>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</si>
  <si>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</si>
  <si>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</si>
  <si>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</si>
  <si>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</si>
  <si>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</si>
  <si>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</si>
  <si>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</si>
  <si>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</si>
  <si>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</si>
  <si>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</si>
  <si>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</si>
  <si>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</si>
  <si>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</si>
  <si>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</si>
  <si>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</si>
  <si>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</si>
  <si>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</si>
  <si>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</si>
  <si>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</si>
  <si>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</si>
  <si>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</si>
  <si>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</si>
  <si>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</si>
  <si>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</si>
  <si>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</si>
  <si>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</si>
  <si>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</si>
  <si>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</si>
  <si>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</si>
  <si>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</si>
  <si>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</si>
  <si>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</si>
  <si>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</si>
  <si>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</si>
  <si>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</si>
  <si>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</si>
  <si>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</si>
  <si>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</si>
  <si>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</si>
  <si>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</si>
  <si>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</si>
  <si>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</si>
  <si>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</si>
  <si>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</si>
  <si>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</si>
  <si>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</si>
  <si>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</si>
  <si>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</si>
  <si>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</si>
  <si>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</si>
  <si>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</si>
  <si>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</si>
  <si>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</si>
  <si>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</si>
  <si>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</si>
  <si>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</si>
  <si>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</si>
  <si>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</si>
  <si>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</si>
  <si>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</si>
  <si>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</si>
  <si>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</si>
  <si>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</si>
  <si>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</si>
  <si>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</si>
  <si>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</si>
  <si>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</si>
  <si>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</si>
  <si>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</si>
  <si>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</si>
  <si>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</si>
  <si>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</si>
  <si>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</si>
  <si>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</si>
  <si>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</si>
  <si>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</si>
  <si>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</si>
  <si>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</si>
  <si>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</si>
  <si>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</si>
  <si>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</si>
  <si>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</si>
  <si>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</si>
  <si>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</si>
  <si>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</si>
  <si>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</si>
  <si>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</si>
  <si>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</si>
  <si>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</si>
  <si>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</si>
  <si>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</si>
  <si>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</si>
  <si>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</si>
  <si>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</si>
  <si>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</si>
  <si>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</si>
  <si>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</si>
  <si>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</si>
  <si>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</si>
  <si>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</si>
  <si>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</si>
  <si>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</si>
  <si>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</si>
  <si>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</si>
  <si>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</si>
  <si>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</si>
  <si>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</si>
  <si>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</si>
  <si>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</si>
  <si>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</si>
  <si>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</si>
  <si>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</si>
  <si>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</si>
  <si>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</si>
  <si>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</si>
  <si>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</si>
  <si>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</si>
  <si>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</si>
  <si>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</si>
  <si>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</si>
  <si>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</si>
  <si>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</si>
  <si>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</si>
  <si>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</si>
  <si>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</si>
  <si>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</si>
  <si>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</si>
  <si>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</si>
  <si>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</si>
  <si>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</si>
  <si>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</si>
  <si>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</si>
  <si>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</si>
  <si>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</si>
  <si>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</si>
  <si>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</si>
  <si>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</si>
  <si>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</si>
  <si>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</si>
  <si>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</si>
  <si>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</si>
  <si>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</si>
  <si>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</si>
  <si>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</si>
  <si>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</si>
  <si>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</si>
  <si>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</si>
  <si>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</si>
  <si>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</si>
  <si>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</si>
  <si>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</si>
  <si>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</si>
  <si>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</si>
  <si>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</si>
  <si>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</si>
  <si>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</si>
  <si>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</si>
  <si>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</si>
  <si>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</si>
  <si>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</si>
  <si>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</si>
  <si>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</si>
  <si>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</si>
  <si>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</si>
  <si>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</si>
  <si>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</si>
  <si>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</si>
  <si>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</si>
  <si>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</si>
  <si>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</si>
  <si>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</si>
  <si>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</si>
  <si>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</si>
  <si>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</si>
  <si>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</si>
  <si>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</si>
  <si>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</si>
  <si>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</si>
  <si>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</si>
  <si>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</si>
  <si>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</si>
  <si>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</si>
  <si>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</si>
  <si>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</si>
  <si>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</si>
  <si>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</si>
  <si>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</si>
  <si>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</si>
  <si>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</si>
  <si>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</si>
  <si>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</si>
  <si>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</si>
  <si>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</si>
  <si>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</si>
  <si>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</si>
  <si>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</si>
  <si>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</si>
  <si>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</si>
  <si>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</si>
  <si>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</si>
  <si>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</si>
  <si>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</si>
  <si>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</si>
  <si>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</si>
  <si>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</si>
  <si>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</si>
  <si>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</si>
  <si>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</si>
  <si>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</si>
  <si>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</si>
  <si>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</si>
  <si>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</si>
  <si>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</si>
  <si>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</si>
  <si>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</si>
  <si>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</si>
  <si>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</si>
  <si>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</si>
  <si>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</si>
  <si>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</si>
  <si>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</si>
  <si>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</si>
  <si>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</si>
  <si>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</si>
  <si>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</si>
  <si>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</si>
  <si>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</si>
  <si>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</si>
  <si>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</si>
  <si>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</si>
  <si>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</si>
  <si>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</si>
  <si>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</si>
  <si>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</si>
  <si>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</si>
  <si>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</si>
  <si>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</si>
  <si>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</si>
  <si>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</si>
  <si>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</si>
  <si>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</si>
  <si>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</si>
  <si>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</si>
  <si>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</si>
  <si>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</si>
  <si>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</si>
  <si>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</si>
  <si>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</si>
  <si>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</si>
  <si>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</si>
  <si>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</si>
  <si>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</si>
  <si>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</si>
  <si>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</si>
  <si>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</si>
  <si>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</si>
  <si>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</si>
  <si>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</si>
  <si>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</si>
  <si>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</si>
  <si>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</si>
  <si>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</si>
  <si>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</si>
  <si>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</si>
  <si>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</si>
  <si>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</si>
  <si>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</si>
  <si>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</si>
  <si>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</si>
  <si>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</si>
  <si>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</si>
  <si>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</si>
  <si>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</si>
  <si>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</si>
  <si>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</si>
  <si>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</si>
  <si>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</si>
  <si>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</si>
  <si>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</si>
  <si>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</si>
  <si>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</si>
  <si>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</si>
  <si>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</si>
  <si>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</si>
  <si>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</si>
  <si>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</si>
  <si>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</si>
  <si>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</si>
  <si>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</si>
  <si>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</si>
  <si>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</si>
  <si>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</si>
  <si>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</si>
  <si>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</si>
  <si>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</si>
  <si>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</si>
  <si>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</si>
  <si>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</si>
  <si>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</si>
  <si>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</si>
  <si>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</si>
  <si>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</si>
  <si>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</si>
  <si>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</si>
  <si>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</si>
  <si>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</si>
  <si>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</si>
  <si>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</si>
  <si>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</si>
  <si>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</si>
  <si>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</si>
  <si>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</si>
  <si>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</si>
  <si>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</si>
  <si>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</si>
  <si>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</si>
  <si>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</si>
  <si>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</si>
  <si>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</si>
  <si>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</si>
  <si>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</si>
  <si>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</si>
  <si>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</si>
  <si>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</si>
  <si>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</si>
  <si>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</si>
  <si>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</si>
  <si>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</si>
  <si>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</si>
  <si>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</si>
  <si>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</si>
  <si>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</si>
  <si>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</si>
  <si>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</si>
  <si>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</si>
  <si>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</si>
  <si>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</si>
  <si>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</si>
  <si>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</si>
  <si>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</si>
  <si>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</si>
  <si>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</si>
  <si>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</si>
  <si>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</si>
  <si>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</si>
  <si>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</si>
  <si>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</si>
  <si>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</si>
  <si>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</si>
  <si>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</si>
  <si>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</si>
  <si>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</si>
  <si>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</si>
  <si>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</si>
  <si>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</si>
  <si>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</si>
  <si>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</si>
  <si>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</si>
  <si>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</si>
  <si>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</si>
  <si>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</si>
  <si>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</si>
  <si>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</si>
  <si>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</si>
  <si>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</si>
  <si>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</si>
  <si>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</si>
  <si>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</si>
  <si>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</si>
  <si>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</si>
  <si>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</si>
  <si>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</si>
  <si>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</si>
  <si>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</si>
  <si>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</si>
  <si>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</si>
  <si>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</si>
  <si>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</si>
  <si>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</si>
  <si>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</si>
  <si>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</si>
  <si>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</si>
  <si>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</si>
  <si>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</si>
  <si>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</si>
  <si>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</si>
  <si>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</si>
  <si>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</si>
  <si>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</si>
  <si>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</si>
  <si>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</si>
  <si>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</si>
  <si>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</si>
  <si>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</si>
  <si>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</si>
  <si>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</si>
  <si>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</si>
  <si>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</si>
  <si>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</si>
  <si>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</si>
  <si>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</si>
  <si>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</si>
  <si>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</si>
  <si>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</si>
  <si>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</si>
  <si>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</si>
  <si>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</si>
  <si>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</si>
  <si>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</si>
  <si>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</si>
  <si>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</si>
  <si>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</si>
  <si>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</si>
  <si>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</si>
  <si>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</si>
  <si>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</si>
  <si>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</si>
  <si>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</si>
  <si>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</si>
  <si>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</si>
  <si>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</si>
  <si>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</si>
  <si>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</si>
  <si>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</si>
  <si>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</si>
  <si>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</si>
  <si>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</si>
  <si>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</si>
  <si>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</si>
  <si>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</si>
  <si>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</si>
  <si>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</si>
  <si>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</si>
  <si>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</si>
  <si>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</si>
  <si>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</si>
  <si>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</si>
  <si>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</si>
  <si>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</si>
  <si>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</si>
  <si>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</si>
  <si>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</si>
  <si>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</si>
  <si>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</si>
  <si>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</si>
  <si>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</si>
  <si>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</si>
  <si>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</si>
  <si>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</si>
  <si>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</si>
  <si>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</si>
  <si>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</si>
  <si>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</si>
  <si>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</si>
  <si>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</si>
  <si>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</si>
  <si>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</si>
  <si>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</si>
  <si>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</si>
  <si>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</si>
  <si>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</si>
  <si>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</si>
  <si>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</si>
  <si>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</si>
  <si>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</si>
  <si>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</si>
  <si>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</si>
  <si>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</si>
  <si>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</si>
  <si>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</si>
  <si>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</si>
  <si>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</si>
  <si>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</si>
  <si>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</si>
  <si>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</si>
  <si>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</si>
  <si>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</si>
  <si>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</si>
  <si>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</si>
  <si>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</si>
  <si>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</si>
  <si>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</si>
  <si>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</si>
  <si>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</si>
  <si>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</si>
  <si>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</si>
  <si>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</si>
  <si>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</si>
  <si>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</si>
  <si>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</si>
  <si>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</si>
  <si>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</si>
  <si>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</si>
  <si>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</si>
  <si>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</si>
  <si>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</si>
  <si>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</si>
  <si>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</si>
  <si>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</si>
  <si>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</si>
  <si>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</si>
  <si>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</si>
  <si>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</si>
  <si>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</si>
  <si>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</si>
  <si>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</si>
  <si>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</si>
  <si>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</si>
  <si>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</si>
  <si>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</si>
  <si>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</si>
  <si>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</si>
  <si>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</si>
  <si>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</si>
  <si>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</si>
  <si>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</si>
  <si>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</si>
  <si>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</si>
  <si>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</si>
  <si>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</si>
  <si>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</si>
  <si>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</si>
  <si>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</si>
  <si>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</si>
  <si>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</si>
  <si>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</si>
  <si>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</si>
  <si>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</si>
  <si>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</si>
  <si>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</si>
  <si>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</si>
  <si>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</si>
  <si>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</si>
  <si>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</si>
  <si>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</si>
  <si>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</si>
  <si>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</si>
  <si>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</si>
  <si>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</si>
  <si>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</si>
  <si>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</si>
  <si>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</si>
  <si>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</si>
  <si>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</si>
  <si>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</si>
  <si>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</si>
  <si>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</si>
  <si>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</si>
  <si>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</si>
  <si>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</si>
  <si>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</si>
  <si>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</si>
  <si>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</si>
  <si>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</si>
  <si>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</si>
  <si>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</si>
  <si>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</si>
  <si>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</si>
  <si>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</si>
  <si>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</si>
  <si>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</si>
  <si>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</si>
  <si>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</si>
  <si>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</si>
  <si>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</si>
  <si>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</si>
  <si>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</si>
  <si>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</si>
  <si>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</si>
  <si>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</si>
  <si>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</si>
  <si>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</si>
  <si>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</si>
  <si>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</si>
  <si>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</si>
  <si>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</si>
  <si>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</si>
  <si>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</si>
  <si>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</si>
  <si>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</si>
  <si>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</si>
  <si>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</si>
  <si>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</si>
  <si>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</si>
  <si>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</si>
  <si>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</si>
  <si>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</si>
  <si>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</si>
  <si>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</si>
  <si>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</si>
  <si>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</si>
  <si>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</si>
  <si>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</si>
  <si>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</si>
  <si>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</si>
  <si>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</si>
  <si>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</si>
  <si>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</si>
  <si>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</si>
  <si>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</si>
  <si>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</si>
  <si>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</si>
  <si>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</si>
  <si>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</si>
  <si>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</si>
  <si>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</si>
  <si>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</si>
  <si>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</si>
  <si>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</si>
  <si>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</si>
  <si>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</si>
  <si>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</si>
  <si>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</si>
  <si>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</si>
  <si>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</si>
  <si>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</si>
  <si>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</si>
  <si>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</si>
  <si>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</si>
  <si>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</si>
  <si>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</si>
  <si>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</si>
  <si>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</si>
  <si>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</si>
  <si>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</si>
  <si>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</si>
  <si>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</si>
  <si>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</si>
  <si>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</si>
  <si>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</si>
  <si>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</si>
  <si>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</si>
  <si>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</si>
  <si>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</si>
  <si>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</si>
  <si>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</si>
  <si>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</si>
  <si>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</si>
  <si>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</si>
  <si>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</si>
  <si>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</si>
  <si>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</si>
  <si>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</si>
  <si>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</si>
  <si>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</si>
  <si>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</si>
  <si>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</si>
  <si>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</si>
  <si>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</si>
  <si>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</si>
  <si>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</si>
  <si>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</si>
  <si>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</si>
  <si>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</si>
  <si>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</si>
  <si>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</si>
  <si>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</si>
  <si>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</si>
  <si>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</si>
  <si>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</si>
  <si>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</si>
  <si>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</si>
  <si>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</si>
  <si>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</si>
  <si>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</si>
  <si>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</si>
  <si>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</si>
  <si>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</si>
  <si>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</si>
  <si>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</si>
  <si>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</si>
  <si>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</si>
  <si>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</si>
  <si>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</si>
  <si>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</si>
  <si>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</si>
  <si>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</si>
  <si>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</si>
  <si>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</si>
  <si>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</si>
  <si>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</si>
  <si>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</si>
  <si>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</si>
  <si>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</si>
  <si>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</si>
  <si>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</si>
  <si>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</si>
  <si>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</si>
  <si>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</si>
  <si>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</si>
  <si>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</si>
  <si>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</si>
  <si>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</si>
  <si>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</si>
  <si>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</si>
  <si>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</si>
  <si>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</si>
  <si>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</si>
  <si>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</si>
  <si>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</si>
  <si>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</si>
  <si>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</si>
  <si>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</si>
  <si>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</si>
  <si>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</si>
  <si>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</si>
  <si>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</si>
  <si>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</si>
  <si>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</si>
  <si>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</si>
  <si>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</si>
  <si>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</si>
  <si>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</si>
  <si>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</si>
  <si>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</si>
  <si>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</si>
  <si>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</si>
  <si>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</si>
  <si>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</si>
  <si>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</si>
  <si>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</si>
  <si>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</si>
  <si>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</si>
  <si>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</si>
  <si>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</si>
  <si>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</si>
  <si>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</si>
  <si>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</si>
  <si>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</si>
  <si>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</si>
  <si>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</si>
  <si>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</si>
  <si>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</si>
  <si>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</si>
  <si>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</si>
  <si>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</si>
  <si>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</si>
  <si>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</si>
  <si>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</si>
  <si>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</si>
  <si>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</si>
  <si>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</si>
  <si>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</si>
  <si>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</si>
  <si>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</si>
  <si>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</si>
  <si>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</si>
  <si>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</si>
  <si>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</si>
  <si>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</si>
  <si>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</si>
  <si>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</si>
  <si>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</si>
  <si>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</si>
  <si>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</si>
  <si>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</si>
  <si>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</si>
  <si>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</si>
  <si>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</si>
  <si>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</si>
  <si>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</si>
  <si>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</si>
  <si>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</si>
  <si>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</si>
  <si>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</si>
  <si>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</si>
  <si>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</si>
  <si>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</si>
  <si>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</si>
  <si>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</si>
  <si>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</si>
  <si>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</si>
  <si>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</si>
  <si>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</si>
  <si>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</si>
  <si>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</si>
  <si>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</si>
  <si>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</si>
  <si>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</si>
  <si>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</si>
  <si>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</si>
  <si>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</si>
  <si>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</si>
  <si>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</si>
  <si>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</si>
  <si>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</si>
  <si>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</si>
  <si>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</si>
  <si>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</si>
  <si>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</si>
  <si>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</si>
  <si>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</si>
  <si>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</si>
  <si>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</si>
  <si>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</si>
  <si>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</si>
  <si>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</si>
  <si>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</si>
  <si>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</si>
  <si>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</si>
  <si>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</si>
  <si>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</si>
  <si>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</si>
  <si>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</si>
  <si>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</si>
  <si>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</si>
  <si>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</si>
  <si>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</si>
  <si>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</si>
  <si>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</si>
  <si>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</si>
  <si>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</si>
  <si>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</si>
  <si>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</si>
  <si>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</si>
  <si>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</si>
  <si>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</si>
  <si>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</si>
  <si>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</si>
  <si>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</si>
  <si>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</si>
  <si>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</si>
  <si>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</si>
  <si>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</si>
  <si>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</si>
  <si>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</si>
  <si>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</si>
  <si>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</si>
  <si>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</si>
  <si>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</si>
  <si>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</si>
  <si>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</si>
  <si>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</si>
  <si>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</si>
  <si>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</si>
  <si>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</si>
  <si>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</si>
  <si>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</si>
  <si>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</si>
  <si>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</si>
  <si>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</si>
  <si>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</si>
  <si>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</si>
  <si>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</si>
  <si>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</si>
  <si>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</si>
  <si>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</si>
  <si>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</si>
  <si>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</si>
  <si>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</si>
  <si>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</si>
  <si>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</si>
  <si>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</si>
  <si>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</si>
  <si>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</si>
  <si>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</si>
  <si>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</si>
  <si>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</si>
  <si>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</si>
  <si>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</si>
  <si>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</si>
  <si>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</si>
  <si>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</si>
  <si>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</si>
  <si>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</si>
  <si>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</si>
  <si>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</si>
  <si>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</si>
  <si>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</si>
  <si>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</si>
  <si>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</si>
  <si>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</si>
  <si>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</si>
  <si>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</si>
  <si>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</si>
  <si>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</si>
  <si>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</si>
  <si>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</si>
  <si>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</si>
  <si>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</si>
  <si>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</si>
  <si>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</si>
  <si>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</si>
  <si>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</si>
  <si>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</si>
  <si>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</si>
  <si>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</si>
  <si>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</si>
  <si>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</si>
  <si>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</si>
  <si>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</si>
  <si>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</si>
  <si>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</si>
  <si>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</si>
  <si>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</si>
  <si>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</si>
  <si>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</si>
  <si>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</si>
  <si>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</si>
  <si>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</si>
  <si>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</si>
  <si>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</si>
  <si>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</si>
  <si>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</si>
  <si>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</si>
  <si>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</si>
  <si>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</si>
  <si>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</si>
  <si>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</si>
  <si>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</si>
  <si>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</si>
  <si>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</si>
  <si>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</si>
  <si>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</si>
  <si>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</si>
  <si>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</si>
  <si>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</si>
  <si>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</si>
  <si>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</si>
  <si>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</si>
  <si>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</si>
  <si>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</si>
  <si>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</si>
  <si>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</si>
  <si>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</si>
  <si>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</si>
  <si>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</si>
  <si>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</si>
  <si>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</si>
  <si>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</si>
  <si>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</si>
  <si>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</si>
  <si>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</si>
  <si>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</si>
  <si>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</si>
  <si>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</si>
  <si>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</si>
  <si>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</si>
  <si>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</si>
  <si>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</si>
  <si>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</si>
  <si>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</si>
  <si>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</si>
  <si>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</si>
  <si>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</si>
  <si>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</si>
  <si>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</si>
  <si>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</si>
  <si>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</si>
  <si>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</si>
  <si>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</si>
  <si>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</si>
  <si>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</si>
  <si>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</si>
  <si>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</si>
  <si>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</si>
  <si>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</si>
  <si>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</si>
  <si>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</si>
  <si>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</si>
  <si>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</si>
  <si>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</si>
  <si>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</si>
  <si>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</si>
  <si>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</si>
  <si>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</si>
  <si>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</si>
  <si>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</si>
  <si>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</si>
  <si>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</si>
  <si>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</si>
  <si>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</si>
  <si>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</si>
  <si>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</si>
  <si>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</si>
  <si>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</si>
  <si>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</si>
  <si>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</si>
  <si>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</si>
  <si>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</si>
  <si>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</si>
  <si>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</si>
  <si>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</si>
  <si>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</si>
  <si>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</si>
  <si>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</si>
  <si>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</si>
  <si>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</si>
  <si>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</si>
  <si>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</si>
  <si>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</si>
  <si>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</si>
  <si>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</si>
  <si>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</si>
  <si>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</si>
  <si>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</si>
  <si>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</si>
  <si>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</si>
  <si>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</si>
  <si>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</si>
  <si>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</si>
  <si>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</si>
  <si>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</si>
  <si>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</si>
  <si>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</si>
  <si>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</si>
  <si>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</si>
  <si>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</si>
  <si>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</si>
  <si>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</si>
  <si>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</si>
  <si>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</si>
  <si>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</si>
  <si>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</si>
  <si>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</si>
  <si>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</si>
  <si>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</si>
  <si>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</si>
  <si>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</si>
  <si>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</si>
  <si>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</si>
  <si>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</si>
  <si>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</si>
  <si>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</si>
  <si>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</si>
  <si>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</si>
  <si>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</si>
  <si>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</si>
  <si>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</si>
  <si>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</si>
  <si>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</si>
  <si>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</si>
  <si>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</si>
  <si>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</si>
  <si>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</si>
  <si>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</si>
  <si>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</si>
  <si>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</si>
  <si>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</si>
  <si>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</si>
  <si>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</si>
  <si>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</si>
  <si>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</si>
  <si>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</si>
  <si>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</si>
  <si>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</si>
  <si>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</si>
  <si>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</si>
  <si>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</si>
  <si>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</si>
  <si>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</si>
  <si>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</si>
  <si>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</si>
  <si>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</si>
  <si>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</si>
  <si>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</si>
  <si>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</si>
  <si>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</si>
  <si>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</si>
  <si>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</si>
  <si>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</si>
  <si>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</si>
  <si>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</si>
  <si>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</si>
  <si>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</si>
  <si>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</si>
  <si>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</si>
  <si>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</si>
  <si>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</si>
  <si>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</si>
  <si>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</si>
  <si>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</si>
  <si>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</si>
  <si>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</si>
  <si>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</si>
  <si>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</si>
  <si>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</si>
  <si>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</si>
  <si>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</si>
  <si>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</si>
  <si>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</si>
  <si>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</si>
  <si>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</si>
  <si>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</si>
  <si>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</si>
  <si>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</si>
  <si>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</si>
  <si>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</si>
  <si>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</si>
  <si>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</si>
  <si>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</si>
  <si>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</si>
  <si>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</si>
  <si>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</si>
  <si>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</si>
  <si>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</si>
  <si>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</si>
  <si>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</si>
  <si>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</si>
  <si>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</si>
  <si>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</si>
  <si>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</si>
  <si>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</si>
  <si>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</si>
  <si>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</si>
  <si>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</si>
  <si>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</si>
  <si>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</si>
  <si>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</si>
  <si>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</si>
  <si>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</si>
  <si>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</si>
  <si>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</si>
  <si>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</si>
  <si>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</si>
  <si>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</si>
  <si>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</si>
  <si>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</si>
  <si>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</si>
  <si>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</si>
  <si>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</si>
  <si>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</si>
  <si>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</si>
  <si>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</si>
  <si>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</si>
  <si>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</si>
  <si>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</si>
  <si>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</si>
  <si>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</si>
  <si>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</si>
  <si>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</si>
  <si>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</si>
  <si>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</si>
  <si>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</si>
  <si>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</si>
  <si>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</si>
  <si>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</si>
  <si>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</si>
  <si>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</si>
  <si>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</si>
  <si>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</si>
  <si>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</si>
  <si>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</si>
  <si>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</si>
  <si>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</si>
  <si>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</si>
  <si>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</si>
  <si>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</si>
  <si>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</si>
  <si>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</si>
  <si>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</si>
  <si>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</si>
  <si>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</si>
  <si>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</si>
  <si>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</si>
  <si>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</si>
  <si>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</si>
  <si>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</si>
  <si>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</si>
  <si>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</si>
  <si>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</si>
  <si>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</si>
  <si>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</si>
  <si>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</si>
  <si>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</si>
  <si>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</si>
  <si>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</si>
  <si>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</si>
  <si>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</si>
  <si>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</si>
  <si>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</si>
  <si>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</si>
  <si>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</si>
  <si>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</si>
  <si>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</si>
  <si>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</si>
  <si>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</si>
  <si>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</si>
  <si>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</si>
  <si>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</si>
  <si>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</si>
  <si>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</si>
  <si>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</si>
  <si>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</si>
  <si>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</si>
  <si>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</si>
  <si>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</si>
  <si>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</si>
  <si>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</si>
  <si>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</si>
  <si>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</si>
  <si>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</si>
  <si>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</si>
  <si>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</si>
  <si>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</si>
  <si>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</si>
  <si>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</si>
  <si>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</si>
  <si>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</si>
  <si>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</si>
  <si>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</si>
  <si>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</si>
  <si>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</si>
  <si>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</si>
  <si>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</si>
  <si>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</si>
  <si>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</si>
  <si>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</si>
  <si>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</si>
  <si>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</si>
  <si>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</si>
  <si>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</si>
  <si>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</si>
  <si>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</si>
  <si>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</si>
  <si>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</si>
  <si>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</si>
  <si>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</si>
  <si>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</si>
  <si>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</si>
  <si>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</si>
  <si>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</si>
  <si>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</si>
  <si>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</si>
  <si>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</si>
  <si>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</si>
  <si>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</si>
  <si>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</si>
  <si>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</si>
  <si>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</si>
  <si>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</si>
  <si>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</si>
  <si>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</si>
  <si>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</si>
  <si>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</si>
  <si>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</si>
  <si>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</si>
  <si>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</si>
  <si>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</si>
  <si>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</si>
  <si>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</si>
  <si>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</si>
  <si>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</si>
  <si>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</si>
  <si>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</si>
  <si>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</si>
  <si>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</si>
  <si>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</si>
  <si>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</si>
  <si>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</si>
  <si>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</si>
  <si>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</si>
  <si>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</si>
  <si>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</si>
  <si>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</si>
  <si>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</si>
  <si>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</si>
  <si>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</si>
  <si>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</si>
  <si>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</si>
  <si>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</si>
  <si>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</si>
  <si>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</si>
  <si>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</si>
  <si>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</si>
  <si>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</si>
  <si>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</si>
  <si>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</si>
  <si>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</si>
  <si>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</si>
  <si>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</si>
  <si>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</si>
  <si>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</si>
  <si>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</si>
  <si>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</si>
  <si>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</si>
  <si>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</si>
  <si>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</si>
  <si>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</si>
  <si>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</si>
  <si>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</si>
  <si>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</si>
  <si>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</si>
  <si>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</si>
  <si>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</si>
  <si>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</si>
  <si>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</si>
  <si>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</si>
  <si>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</si>
  <si>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</si>
  <si>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</si>
  <si>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</si>
  <si>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</si>
  <si>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</si>
  <si>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</si>
  <si>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</si>
  <si>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</si>
  <si>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</si>
  <si>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</si>
  <si>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</si>
  <si>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</si>
  <si>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</si>
  <si>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</si>
  <si>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</si>
  <si>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</si>
  <si>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</si>
  <si>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</si>
  <si>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</si>
  <si>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</si>
  <si>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</si>
  <si>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</si>
  <si>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</si>
  <si>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</si>
  <si>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</si>
  <si>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</si>
  <si>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</si>
  <si>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</si>
  <si>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</si>
  <si>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</si>
  <si>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</si>
  <si>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</si>
  <si>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</si>
  <si>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</si>
  <si>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</si>
  <si>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</si>
  <si>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</si>
  <si>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</si>
  <si>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</si>
  <si>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</si>
  <si>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</si>
  <si>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</si>
  <si>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</si>
  <si>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</si>
  <si>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</si>
  <si>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</si>
  <si>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</si>
  <si>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</si>
  <si>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</si>
  <si>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</si>
  <si>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</si>
  <si>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</si>
  <si>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</si>
  <si>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</si>
  <si>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</si>
  <si>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</si>
  <si>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</si>
  <si>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</si>
  <si>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</si>
  <si>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</si>
  <si>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</si>
  <si>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</si>
  <si>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</si>
  <si>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</si>
  <si>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</si>
  <si>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</si>
  <si>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</si>
  <si>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</si>
  <si>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</si>
  <si>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</si>
  <si>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</si>
  <si>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</si>
  <si>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</si>
  <si>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</si>
  <si>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</si>
  <si>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</si>
  <si>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</si>
  <si>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</si>
  <si>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</si>
  <si>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</si>
  <si>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</si>
  <si>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</si>
  <si>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</si>
  <si>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</si>
  <si>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</si>
  <si>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</si>
  <si>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</si>
  <si>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</si>
  <si>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</si>
  <si>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</si>
  <si>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</si>
  <si>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</si>
  <si>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</si>
  <si>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</si>
  <si>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</si>
  <si>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</si>
  <si>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</si>
  <si>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</si>
  <si>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</si>
  <si>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</si>
  <si>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</si>
  <si>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</si>
  <si>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</si>
  <si>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</si>
  <si>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</si>
  <si>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</si>
  <si>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</si>
  <si>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</si>
  <si>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</si>
  <si>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</si>
  <si>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</si>
  <si>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</si>
  <si>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</si>
  <si>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</si>
  <si>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</si>
  <si>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</si>
  <si>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</si>
  <si>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</si>
  <si>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</si>
  <si>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</si>
  <si>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</si>
  <si>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</si>
  <si>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</si>
  <si>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</si>
  <si>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</si>
  <si>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</si>
  <si>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</si>
  <si>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</si>
  <si>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</si>
  <si>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</si>
  <si>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</si>
  <si>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</si>
  <si>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</si>
  <si>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</si>
  <si>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</si>
  <si>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</si>
  <si>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</si>
  <si>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</si>
  <si>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</si>
  <si>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</si>
  <si>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</si>
  <si>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</si>
  <si>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</si>
  <si>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</si>
  <si>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</si>
  <si>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</si>
  <si>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</si>
  <si>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</si>
  <si>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</si>
  <si>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</si>
  <si>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</si>
  <si>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</si>
  <si>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</si>
  <si>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</si>
  <si>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</si>
  <si>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</si>
  <si>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</si>
  <si>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</si>
  <si>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</si>
  <si>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</si>
  <si>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</si>
  <si>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</si>
  <si>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</si>
  <si>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</si>
  <si>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</si>
  <si>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</si>
  <si>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</si>
  <si>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</si>
  <si>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</si>
  <si>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</si>
  <si>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</si>
  <si>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</si>
  <si>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</si>
  <si>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</si>
  <si>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</si>
  <si>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</si>
  <si>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</si>
  <si>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</si>
  <si>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</si>
  <si>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</si>
  <si>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</si>
  <si>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</si>
  <si>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</si>
  <si>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</si>
  <si>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</si>
  <si>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</si>
  <si>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</si>
  <si>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</si>
  <si>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</si>
  <si>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</si>
  <si>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</si>
  <si>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</si>
  <si>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</si>
  <si>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</si>
  <si>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</si>
  <si>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</si>
  <si>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</si>
  <si>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</si>
  <si>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</si>
  <si>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</si>
  <si>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</si>
  <si>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</si>
  <si>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</si>
  <si>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</si>
  <si>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</si>
  <si>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</si>
  <si>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</si>
  <si>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</si>
  <si>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</si>
  <si>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</si>
  <si>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</si>
  <si>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</si>
  <si>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</si>
  <si>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</si>
  <si>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</si>
  <si>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</si>
  <si>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</si>
  <si>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</si>
  <si>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</si>
  <si>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</si>
  <si>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</si>
  <si>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</si>
  <si>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</si>
  <si>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</si>
  <si>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</si>
  <si>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</si>
  <si>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</si>
  <si>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</si>
  <si>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</si>
  <si>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</si>
  <si>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</si>
  <si>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</si>
  <si>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</si>
  <si>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</si>
  <si>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</si>
  <si>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</si>
  <si>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</si>
  <si>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</si>
  <si>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</si>
  <si>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</si>
  <si>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</si>
  <si>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</si>
  <si>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</si>
  <si>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</si>
  <si>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</si>
  <si>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</si>
  <si>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</si>
  <si>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</si>
  <si>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</si>
  <si>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</si>
  <si>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</si>
  <si>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</si>
  <si>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</si>
  <si>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</si>
  <si>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</si>
  <si>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</si>
  <si>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</si>
  <si>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</si>
  <si>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</si>
  <si>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</si>
  <si>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</si>
  <si>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</si>
  <si>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</si>
  <si>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</si>
  <si>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</si>
  <si>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</si>
  <si>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</si>
  <si>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</si>
  <si>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</si>
  <si>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</si>
  <si>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</si>
  <si>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</si>
  <si>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</si>
  <si>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</si>
  <si>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</si>
  <si>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</si>
  <si>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</si>
  <si>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</si>
  <si>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</si>
  <si>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</si>
  <si>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</si>
  <si>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</si>
  <si>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</si>
  <si>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</si>
  <si>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</si>
  <si>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</si>
  <si>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</si>
  <si>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</si>
  <si>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</si>
  <si>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</si>
  <si>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</si>
  <si>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</si>
  <si>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</si>
  <si>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</si>
  <si>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</si>
  <si>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</si>
  <si>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</si>
  <si>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</si>
  <si>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</si>
  <si>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</si>
  <si>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</si>
  <si>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</si>
  <si>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</si>
  <si>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</si>
  <si>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</si>
  <si>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</si>
  <si>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</si>
  <si>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</si>
  <si>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</si>
  <si>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</si>
  <si>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</si>
  <si>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</si>
  <si>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</si>
  <si>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</si>
  <si>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</si>
  <si>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</si>
  <si>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</si>
  <si>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</si>
  <si>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</si>
  <si>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</si>
  <si>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</si>
  <si>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</si>
  <si>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</si>
  <si>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</si>
  <si>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</si>
  <si>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</si>
  <si>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</si>
  <si>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</si>
  <si>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</si>
  <si>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</si>
  <si>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</si>
  <si>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</si>
  <si>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</si>
  <si>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</si>
  <si>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</si>
  <si>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</si>
  <si>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</si>
  <si>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</si>
  <si>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</si>
  <si>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</si>
  <si>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</si>
  <si>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</si>
  <si>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</si>
  <si>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</si>
  <si>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</si>
  <si>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</si>
  <si>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</si>
  <si>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</si>
  <si>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</si>
  <si>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</si>
  <si>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</si>
  <si>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</si>
  <si>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</si>
  <si>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</si>
  <si>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</si>
  <si>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</si>
  <si>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</si>
  <si>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</si>
  <si>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</si>
  <si>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</si>
  <si>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</si>
  <si>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</si>
  <si>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</si>
  <si>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</si>
  <si>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</si>
  <si>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</si>
  <si>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</si>
  <si>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</si>
  <si>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</si>
  <si>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</si>
  <si>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</si>
  <si>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</si>
  <si>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</si>
  <si>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</si>
  <si>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</si>
  <si>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</si>
  <si>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</si>
  <si>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</si>
  <si>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</si>
  <si>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</si>
  <si>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</si>
  <si>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</si>
  <si>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</si>
  <si>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</si>
  <si>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</si>
  <si>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</si>
  <si>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</si>
  <si>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</si>
  <si>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</si>
  <si>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</si>
  <si>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</si>
  <si>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</si>
  <si>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</si>
  <si>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</si>
  <si>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</si>
  <si>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</si>
  <si>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</si>
  <si>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</si>
  <si>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</si>
  <si>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</si>
  <si>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</si>
  <si>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</si>
  <si>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</si>
  <si>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</si>
  <si>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</si>
  <si>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</si>
  <si>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</si>
  <si>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</si>
  <si>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</si>
  <si>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</si>
  <si>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</si>
  <si>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</si>
  <si>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</si>
  <si>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</si>
  <si>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</si>
  <si>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</si>
  <si>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</si>
  <si>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</si>
  <si>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</si>
  <si>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</si>
  <si>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</si>
  <si>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</si>
  <si>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</si>
  <si>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</si>
  <si>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</si>
  <si>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</si>
  <si>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</si>
  <si>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</si>
  <si>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</si>
  <si>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</si>
  <si>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</si>
  <si>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</si>
  <si>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</si>
  <si>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</si>
  <si>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</si>
  <si>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</si>
  <si>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</si>
  <si>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</si>
  <si>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</si>
  <si>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</si>
  <si>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</si>
  <si>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</si>
  <si>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</si>
  <si>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</si>
  <si>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</si>
  <si>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</si>
  <si>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</si>
  <si>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</si>
  <si>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</si>
  <si>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</si>
  <si>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</si>
  <si>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</si>
  <si>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</si>
  <si>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</si>
  <si>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</si>
  <si>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</si>
  <si>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</si>
  <si>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</si>
  <si>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</si>
  <si>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</si>
  <si>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</si>
  <si>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</si>
  <si>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</si>
  <si>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</si>
  <si>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</si>
  <si>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</si>
  <si>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</si>
  <si>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</si>
  <si>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</si>
  <si>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</si>
  <si>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</si>
  <si>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</si>
  <si>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</si>
  <si>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</si>
  <si>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</si>
  <si>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</si>
  <si>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</si>
  <si>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</si>
  <si>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</si>
  <si>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</si>
  <si>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</si>
  <si>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</si>
  <si>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</si>
  <si>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</si>
  <si>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</si>
  <si>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</si>
  <si>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</si>
  <si>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</si>
  <si>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</si>
  <si>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</si>
  <si>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</si>
  <si>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</si>
  <si>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</si>
  <si>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</si>
  <si>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</si>
  <si>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</si>
  <si>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</si>
  <si>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</si>
  <si>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</si>
  <si>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</si>
  <si>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</si>
  <si>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</si>
  <si>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</si>
  <si>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</si>
  <si>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</si>
  <si>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</si>
  <si>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</si>
  <si>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</si>
  <si>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</si>
  <si>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</si>
  <si>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</si>
  <si>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</si>
  <si>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</si>
  <si>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</si>
  <si>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</si>
  <si>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</si>
  <si>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</si>
  <si>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</si>
  <si>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</si>
  <si>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</si>
  <si>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</si>
  <si>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</si>
  <si>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</si>
  <si>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</si>
  <si>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</si>
  <si>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</si>
  <si>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</si>
  <si>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</si>
  <si>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</si>
  <si>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</si>
  <si>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</si>
  <si>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</si>
  <si>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</si>
  <si>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</si>
  <si>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</si>
  <si>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</si>
  <si>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</si>
  <si>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</si>
  <si>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</si>
  <si>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</si>
  <si>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</si>
  <si>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</si>
  <si>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</si>
  <si>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</si>
  <si>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</si>
  <si>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</si>
  <si>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</si>
  <si>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</si>
  <si>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</si>
  <si>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</si>
  <si>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</si>
  <si>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</si>
  <si>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</si>
  <si>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</si>
  <si>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</si>
  <si>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</si>
  <si>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</si>
  <si>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</si>
  <si>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</si>
  <si>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</si>
  <si>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</si>
  <si>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</si>
  <si>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</si>
  <si>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</si>
  <si>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</si>
  <si>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</si>
  <si>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</si>
  <si>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</si>
  <si>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</si>
  <si>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</si>
  <si>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</si>
  <si>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</si>
  <si>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</si>
  <si>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</si>
  <si>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</si>
  <si>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</si>
  <si>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</si>
  <si>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</si>
  <si>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</si>
  <si>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</si>
  <si>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</si>
  <si>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</si>
  <si>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</si>
  <si>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</si>
  <si>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</si>
  <si>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</si>
  <si>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</si>
  <si>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</si>
  <si>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</si>
  <si>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</si>
  <si>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</si>
  <si>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</si>
  <si>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</si>
  <si>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</si>
  <si>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</si>
  <si>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</si>
  <si>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</si>
  <si>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</si>
  <si>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</si>
  <si>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</si>
  <si>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</si>
  <si>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</si>
  <si>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</si>
  <si>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</si>
  <si>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</si>
  <si>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</si>
  <si>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</si>
  <si>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</si>
  <si>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</si>
  <si>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</si>
  <si>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</si>
  <si>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</si>
  <si>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</si>
  <si>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</si>
  <si>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</si>
  <si>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</si>
  <si>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</si>
  <si>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</si>
  <si>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</si>
  <si>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</si>
  <si>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</si>
  <si>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</si>
  <si>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</si>
  <si>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</si>
  <si>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</si>
  <si>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</si>
  <si>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</si>
  <si>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</si>
  <si>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</si>
  <si>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</si>
  <si>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</si>
  <si>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</si>
  <si>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</si>
  <si>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</si>
  <si>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</si>
  <si>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</si>
  <si>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</si>
  <si>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</si>
  <si>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</si>
  <si>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</si>
  <si>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</si>
  <si>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</si>
  <si>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</si>
  <si>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</si>
  <si>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</si>
  <si>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</si>
  <si>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</si>
  <si>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</si>
  <si>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</si>
  <si>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</si>
  <si>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</si>
  <si>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</si>
  <si>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</si>
  <si>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</si>
  <si>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</si>
  <si>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</si>
  <si>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</si>
  <si>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</si>
  <si>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</si>
  <si>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</si>
  <si>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</si>
  <si>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</si>
  <si>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</si>
  <si>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</si>
  <si>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</si>
  <si>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</si>
  <si>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</si>
  <si>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</si>
  <si>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</si>
  <si>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</si>
  <si>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</si>
  <si>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</si>
  <si>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</si>
  <si>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</si>
  <si>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</si>
  <si>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</si>
  <si>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</si>
  <si>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</si>
  <si>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</si>
  <si>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</si>
  <si>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</si>
  <si>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</si>
  <si>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</si>
  <si>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</si>
  <si>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</si>
  <si>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</si>
  <si>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</si>
  <si>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</si>
  <si>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</si>
  <si>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</si>
  <si>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</si>
  <si>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</si>
  <si>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</si>
  <si>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</si>
  <si>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</si>
  <si>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</si>
  <si>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</si>
  <si>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</si>
  <si>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</si>
  <si>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</si>
  <si>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</si>
  <si>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</si>
  <si>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</si>
  <si>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</si>
  <si>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</si>
  <si>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</si>
  <si>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</si>
  <si>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</si>
  <si>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</si>
  <si>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</si>
  <si>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</si>
  <si>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</si>
  <si>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</si>
  <si>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</si>
  <si>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</si>
  <si>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</si>
  <si>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</si>
  <si>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</si>
  <si>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</si>
  <si>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</si>
  <si>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</si>
  <si>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</si>
  <si>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</si>
  <si>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</si>
  <si>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</si>
  <si>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</si>
  <si>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</si>
  <si>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</si>
  <si>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</si>
  <si>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</si>
  <si>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</si>
  <si>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</si>
  <si>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</si>
  <si>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</si>
  <si>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</si>
  <si>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</si>
  <si>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</si>
  <si>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</si>
  <si>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</si>
  <si>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</si>
  <si>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</si>
  <si>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</si>
  <si>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</si>
  <si>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</si>
  <si>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</si>
  <si>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</si>
  <si>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</si>
  <si>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</si>
  <si>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</si>
  <si>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</si>
  <si>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</si>
  <si>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</si>
  <si>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</si>
  <si>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</si>
  <si>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</si>
  <si>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</si>
  <si>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</si>
  <si>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</si>
  <si>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</si>
  <si>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</si>
  <si>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</si>
  <si>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</si>
  <si>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</si>
  <si>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</si>
  <si>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</si>
  <si>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</si>
  <si>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</si>
  <si>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</si>
  <si>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</si>
  <si>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</si>
  <si>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</si>
  <si>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</si>
  <si>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</si>
  <si>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</si>
  <si>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</si>
  <si>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</si>
  <si>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</si>
  <si>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</si>
  <si>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</si>
  <si>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</si>
  <si>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</si>
  <si>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</si>
  <si>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</si>
  <si>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</si>
  <si>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</si>
  <si>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</si>
  <si>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</si>
  <si>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</si>
  <si>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</si>
  <si>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</si>
  <si>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</si>
  <si>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</si>
  <si>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</si>
  <si>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</si>
  <si>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</si>
  <si>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</si>
  <si>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</si>
  <si>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</si>
  <si>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</si>
  <si>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</si>
  <si>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</si>
  <si>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</si>
  <si>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</si>
  <si>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</si>
  <si>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</si>
  <si>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</si>
  <si>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</si>
  <si>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</si>
  <si>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</si>
  <si>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</si>
  <si>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</si>
  <si>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</si>
  <si>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</si>
  <si>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</si>
  <si>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</si>
  <si>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</si>
  <si>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</si>
  <si>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</si>
  <si>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</si>
  <si>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</si>
  <si>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</si>
  <si>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</si>
  <si>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</si>
  <si>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</si>
  <si>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</si>
  <si>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</si>
  <si>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</si>
  <si>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</si>
  <si>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</si>
  <si>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</si>
  <si>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</si>
  <si>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</si>
  <si>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</si>
  <si>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</si>
  <si>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</si>
  <si>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</si>
  <si>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</si>
  <si>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</si>
  <si>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</si>
  <si>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</si>
  <si>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</si>
  <si>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</si>
  <si>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</si>
  <si>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</si>
  <si>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</si>
  <si>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</si>
  <si>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</si>
  <si>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</si>
  <si>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</si>
  <si>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</si>
  <si>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</si>
  <si>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</si>
  <si>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</si>
  <si>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</si>
  <si>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</si>
  <si>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</si>
  <si>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</si>
  <si>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</si>
  <si>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</si>
  <si>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</si>
  <si>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</si>
  <si>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</si>
  <si>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</si>
  <si>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</si>
  <si>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</si>
  <si>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</si>
  <si>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</si>
  <si>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</si>
  <si>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</si>
  <si>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</si>
  <si>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</si>
  <si>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</si>
  <si>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</si>
  <si>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</si>
  <si>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</si>
  <si>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</si>
  <si>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</si>
  <si>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</si>
  <si>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</si>
  <si>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</si>
  <si>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</si>
  <si>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</si>
  <si>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</si>
  <si>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</si>
  <si>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</si>
  <si>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</si>
  <si>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</si>
  <si>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</si>
  <si>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</si>
  <si>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</si>
  <si>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</si>
  <si>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</si>
  <si>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</si>
  <si>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</si>
  <si>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</si>
  <si>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</si>
  <si>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</si>
  <si>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</si>
  <si>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</si>
  <si>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</si>
  <si>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</si>
  <si>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</si>
  <si>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</si>
  <si>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</si>
  <si>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</si>
  <si>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</si>
  <si>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</si>
  <si>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</si>
  <si>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</si>
  <si>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</si>
  <si>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</si>
  <si>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</si>
  <si>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</si>
  <si>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</si>
  <si>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</si>
  <si>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</si>
  <si>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</si>
  <si>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</si>
  <si>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</si>
  <si>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</si>
  <si>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</si>
  <si>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</si>
  <si>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</si>
  <si>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</si>
  <si>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</si>
  <si>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</si>
  <si>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</si>
  <si>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</si>
  <si>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</si>
  <si>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</si>
  <si>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</si>
  <si>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</si>
  <si>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</si>
  <si>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</si>
  <si>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</si>
  <si>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</si>
  <si>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</si>
  <si>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</si>
  <si>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</si>
  <si>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</si>
  <si>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</si>
  <si>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</si>
  <si>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</si>
  <si>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</si>
  <si>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</si>
  <si>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</si>
  <si>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</si>
  <si>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</si>
  <si>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</si>
  <si>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</si>
  <si>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</si>
  <si>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</si>
  <si>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</si>
  <si>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</si>
  <si>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</si>
  <si>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</si>
  <si>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</si>
  <si>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</si>
  <si>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</si>
  <si>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</si>
  <si>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</si>
  <si>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</si>
  <si>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</si>
  <si>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</si>
  <si>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</si>
  <si>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</si>
  <si>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</si>
  <si>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</si>
  <si>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</si>
  <si>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</si>
  <si>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</si>
  <si>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</si>
  <si>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</si>
  <si>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</si>
  <si>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</si>
  <si>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</si>
  <si>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</si>
  <si>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</si>
  <si>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</si>
  <si>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</si>
  <si>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</si>
  <si>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</si>
  <si>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</si>
  <si>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</si>
  <si>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</si>
  <si>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</si>
  <si>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</si>
  <si>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</si>
  <si>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</si>
  <si>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</si>
  <si>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</si>
  <si>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</si>
  <si>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</si>
  <si>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</si>
  <si>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</si>
  <si>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</si>
  <si>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</si>
  <si>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</si>
  <si>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</si>
  <si>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</si>
  <si>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</si>
  <si>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</si>
  <si>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</si>
  <si>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</si>
  <si>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</si>
  <si>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</si>
  <si>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</si>
  <si>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</si>
  <si>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</si>
  <si>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</si>
  <si>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</si>
  <si>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</si>
  <si>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</si>
  <si>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</si>
  <si>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</si>
  <si>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</si>
  <si>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</si>
  <si>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</si>
  <si>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</si>
  <si>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</si>
  <si>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</si>
  <si>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</si>
  <si>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</si>
  <si>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</si>
  <si>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</si>
  <si>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</si>
  <si>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</si>
  <si>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</si>
  <si>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</si>
  <si>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</si>
  <si>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</si>
  <si>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</si>
  <si>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</si>
  <si>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</si>
  <si>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</si>
  <si>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</si>
  <si>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</si>
  <si>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</si>
  <si>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</si>
  <si>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</si>
  <si>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</si>
  <si>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</si>
  <si>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</si>
  <si>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</si>
  <si>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</si>
  <si>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</si>
  <si>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</si>
  <si>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</si>
  <si>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</si>
  <si>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</si>
  <si>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</si>
  <si>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</si>
  <si>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</si>
  <si>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</si>
  <si>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</si>
  <si>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</si>
  <si>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</si>
  <si>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</si>
  <si>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</si>
  <si>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</si>
  <si>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</si>
  <si>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</si>
  <si>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</si>
  <si>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</si>
  <si>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</si>
  <si>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</si>
  <si>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</si>
  <si>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</si>
  <si>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</si>
  <si>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</si>
  <si>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</si>
  <si>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</si>
  <si>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</si>
  <si>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</si>
  <si>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</si>
  <si>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</si>
  <si>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</si>
  <si>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</si>
  <si>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</si>
  <si>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</si>
  <si>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</si>
  <si>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</si>
  <si>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</si>
  <si>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</si>
  <si>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</si>
  <si>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</si>
  <si>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</si>
  <si>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</si>
  <si>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</si>
  <si>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</si>
  <si>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</si>
  <si>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</si>
  <si>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</si>
  <si>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</si>
  <si>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</si>
  <si>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</si>
  <si>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</si>
  <si>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</si>
  <si>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</si>
  <si>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</si>
  <si>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</si>
  <si>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</si>
  <si>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</si>
  <si>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</si>
  <si>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</si>
  <si>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</si>
  <si>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</si>
  <si>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</si>
  <si>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</si>
  <si>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</si>
  <si>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</si>
  <si>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</si>
  <si>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</si>
  <si>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</si>
  <si>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</si>
  <si>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</si>
  <si>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</si>
  <si>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</si>
  <si>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</si>
  <si>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</si>
  <si>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</si>
  <si>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</si>
  <si>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</si>
  <si>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</si>
  <si>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</si>
  <si>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</si>
  <si>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</si>
  <si>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</si>
  <si>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</si>
  <si>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</si>
  <si>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</si>
  <si>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</si>
  <si>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</si>
  <si>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</si>
  <si>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</si>
  <si>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</si>
  <si>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</si>
  <si>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</si>
  <si>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</si>
  <si>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</si>
  <si>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</si>
  <si>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</si>
  <si>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</si>
  <si>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</si>
  <si>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</si>
  <si>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</si>
  <si>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</si>
  <si>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</si>
  <si>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</si>
  <si>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</si>
  <si>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</si>
  <si>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</si>
  <si>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</si>
  <si>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</si>
  <si>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</si>
  <si>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</si>
  <si>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</si>
  <si>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</si>
  <si>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</si>
  <si>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</si>
  <si>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</si>
  <si>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</si>
  <si>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</si>
  <si>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</si>
  <si>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</si>
  <si>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</si>
  <si>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</si>
  <si>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</si>
  <si>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</si>
  <si>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</si>
  <si>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</si>
  <si>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</si>
  <si>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</si>
  <si>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</si>
  <si>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</si>
  <si>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</si>
  <si>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</si>
  <si>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</si>
  <si>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</si>
  <si>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</si>
  <si>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</si>
  <si>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</si>
  <si>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</si>
  <si>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</si>
  <si>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</si>
  <si>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</si>
  <si>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</si>
  <si>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</si>
  <si>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</si>
  <si>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</si>
  <si>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</si>
  <si>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</si>
  <si>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</si>
  <si>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</si>
  <si>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</si>
  <si>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</si>
  <si>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</si>
  <si>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</si>
  <si>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</si>
  <si>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</si>
  <si>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</si>
  <si>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</si>
  <si>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</si>
  <si>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</si>
  <si>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</si>
  <si>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</si>
  <si>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</si>
  <si>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</si>
  <si>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</si>
  <si>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</si>
  <si>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</si>
  <si>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</si>
  <si>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</si>
  <si>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</si>
  <si>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</si>
  <si>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</si>
  <si>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</si>
  <si>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</si>
  <si>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</si>
  <si>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</si>
  <si>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</si>
  <si>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</si>
  <si>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</si>
  <si>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</si>
  <si>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</si>
  <si>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</si>
  <si>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</si>
  <si>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</si>
  <si>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</si>
  <si>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</si>
  <si>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</si>
  <si>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</si>
  <si>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</si>
  <si>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</si>
  <si>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</si>
  <si>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</si>
  <si>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</si>
  <si>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</si>
  <si>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</si>
  <si>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</si>
  <si>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</si>
  <si>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</si>
  <si>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</si>
  <si>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</si>
  <si>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</si>
  <si>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</si>
  <si>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</si>
  <si>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</si>
  <si>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</si>
  <si>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</si>
  <si>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</si>
  <si>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</si>
  <si>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</si>
  <si>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</si>
  <si>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</si>
  <si>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</si>
  <si>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</si>
  <si>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</si>
  <si>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</si>
  <si>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</si>
  <si>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</si>
  <si>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</si>
  <si>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</si>
  <si>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</si>
  <si>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</si>
  <si>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</si>
  <si>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</si>
  <si>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</si>
  <si>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</si>
  <si>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</si>
  <si>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</si>
  <si>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</si>
  <si>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</si>
  <si>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</si>
  <si>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</si>
  <si>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</si>
  <si>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</si>
  <si>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</si>
  <si>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</si>
  <si>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</si>
  <si>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</si>
  <si>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</si>
  <si>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</si>
  <si>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</si>
  <si>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</si>
  <si>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</si>
  <si>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</si>
  <si>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</si>
  <si>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</si>
  <si>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</si>
  <si>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</si>
  <si>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</si>
  <si>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</si>
  <si>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</si>
  <si>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</si>
  <si>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</si>
  <si>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</si>
  <si>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</si>
  <si>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</si>
  <si>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</si>
  <si>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</si>
  <si>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</si>
  <si>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</si>
  <si>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</si>
  <si>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</si>
  <si>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</si>
  <si>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</si>
  <si>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</si>
  <si>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</si>
  <si>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</si>
  <si>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</si>
  <si>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</si>
  <si>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</si>
  <si>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</si>
  <si>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</si>
  <si>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</si>
  <si>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</si>
  <si>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</si>
  <si>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</si>
  <si>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</si>
  <si>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</si>
  <si>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</si>
  <si>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</si>
  <si>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</si>
  <si>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</si>
  <si>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</si>
  <si>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</si>
  <si>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</si>
  <si>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</si>
  <si>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</si>
  <si>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</si>
  <si>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</si>
  <si>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</si>
  <si>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</si>
  <si>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</si>
  <si>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</si>
  <si>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</si>
  <si>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</si>
  <si>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</si>
  <si>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</si>
  <si>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</si>
  <si>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</si>
  <si>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</si>
  <si>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</si>
  <si>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</si>
  <si>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</si>
  <si>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</si>
  <si>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</si>
  <si>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</si>
  <si>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</si>
  <si>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</si>
  <si>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</si>
  <si>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</si>
  <si>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</si>
  <si>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</si>
  <si>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</si>
  <si>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</si>
  <si>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</si>
  <si>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</si>
  <si>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</si>
  <si>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</si>
  <si>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</si>
  <si>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</si>
  <si>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</si>
  <si>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</si>
  <si>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</si>
  <si>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</si>
  <si>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</si>
  <si>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</si>
  <si>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</si>
  <si>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</si>
  <si>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</si>
  <si>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</si>
  <si>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</si>
  <si>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</si>
  <si>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</si>
  <si>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</si>
  <si>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</si>
  <si>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</si>
  <si>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</si>
  <si>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</si>
  <si>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</si>
  <si>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</si>
  <si>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</si>
  <si>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</si>
  <si>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</si>
  <si>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</si>
  <si>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</si>
  <si>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</si>
  <si>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</si>
  <si>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</si>
  <si>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</si>
  <si>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</si>
  <si>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</si>
  <si>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</si>
  <si>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</si>
  <si>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</si>
  <si>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</si>
  <si>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</si>
  <si>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</si>
  <si>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</si>
  <si>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</si>
  <si>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</si>
  <si>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</si>
  <si>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</si>
  <si>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</si>
  <si>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</si>
  <si>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</si>
  <si>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</si>
  <si>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</si>
  <si>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</si>
  <si>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</si>
  <si>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</si>
  <si>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</si>
  <si>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</si>
  <si>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</si>
  <si>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</si>
  <si>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</si>
  <si>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</si>
  <si>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</si>
  <si>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</si>
  <si>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</si>
  <si>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</si>
  <si>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</si>
  <si>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</si>
  <si>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</si>
  <si>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</si>
  <si>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</si>
  <si>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</si>
  <si>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</si>
  <si>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</si>
  <si>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</si>
  <si>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</si>
  <si>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</si>
  <si>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</si>
  <si>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</si>
  <si>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</si>
  <si>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</si>
  <si>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</si>
  <si>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</si>
  <si>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</si>
  <si>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</si>
  <si>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</si>
  <si>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</si>
  <si>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</si>
  <si>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</si>
  <si>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</si>
  <si>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</si>
  <si>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</si>
  <si>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</si>
  <si>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</si>
  <si>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</si>
  <si>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</si>
  <si>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</si>
  <si>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</si>
  <si>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</si>
  <si>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</si>
  <si>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</si>
  <si>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</si>
  <si>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</si>
  <si>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</si>
  <si>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</si>
  <si>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</si>
  <si>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</si>
  <si>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</si>
  <si>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</si>
  <si>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</si>
  <si>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</si>
  <si>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</si>
  <si>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</si>
  <si>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</si>
  <si>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</si>
  <si>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</si>
  <si>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</si>
  <si>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</si>
  <si>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</si>
  <si>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</si>
  <si>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</si>
  <si>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</si>
  <si>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</si>
  <si>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</si>
  <si>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</si>
  <si>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</si>
  <si>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</si>
  <si>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</si>
  <si>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</si>
  <si>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</si>
  <si>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</si>
  <si>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</si>
  <si>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</si>
  <si>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</si>
  <si>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</si>
  <si>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</si>
  <si>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</si>
  <si>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</si>
  <si>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</si>
  <si>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</si>
  <si>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</si>
  <si>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</si>
  <si>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</si>
  <si>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</si>
  <si>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</si>
  <si>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</si>
  <si>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</si>
  <si>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</si>
  <si>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</si>
  <si>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</si>
  <si>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</si>
  <si>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</si>
  <si>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</si>
  <si>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</si>
  <si>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</si>
  <si>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</si>
  <si>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</si>
  <si>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</si>
  <si>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</si>
  <si>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</si>
  <si>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</si>
  <si>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</si>
  <si>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</si>
  <si>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</si>
  <si>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</si>
  <si>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</si>
  <si>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</si>
  <si>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</si>
  <si>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</si>
  <si>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</si>
  <si>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</si>
  <si>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</si>
  <si>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</si>
  <si>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</si>
  <si>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</si>
  <si>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</si>
  <si>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</si>
  <si>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</si>
  <si>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</si>
  <si>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</si>
  <si>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</si>
  <si>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</si>
  <si>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</si>
  <si>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</si>
  <si>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</si>
  <si>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</si>
  <si>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</si>
  <si>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</si>
  <si>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</si>
  <si>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</si>
  <si>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</si>
  <si>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</si>
  <si>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</si>
  <si>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</si>
  <si>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</si>
  <si>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</si>
  <si>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</si>
  <si>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</si>
  <si>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</si>
  <si>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</si>
  <si>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</si>
  <si>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</si>
  <si>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</si>
  <si>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</si>
  <si>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</si>
  <si>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</si>
  <si>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</si>
  <si>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</si>
  <si>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</si>
  <si>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</si>
  <si>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</si>
  <si>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</si>
  <si>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</si>
  <si>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</si>
  <si>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</si>
  <si>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</si>
  <si>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</si>
  <si>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</si>
  <si>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</si>
  <si>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</si>
  <si>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</si>
  <si>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</si>
  <si>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</si>
  <si>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</si>
  <si>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</si>
  <si>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</si>
  <si>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</si>
  <si>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</si>
  <si>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</si>
  <si>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</si>
  <si>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</si>
  <si>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</si>
  <si>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</si>
  <si>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</si>
  <si>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</si>
  <si>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</si>
  <si>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</si>
  <si>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</si>
  <si>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</si>
  <si>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</si>
  <si>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</si>
  <si>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</si>
  <si>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</si>
  <si>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</si>
  <si>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</si>
  <si>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</si>
  <si>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</si>
  <si>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</si>
  <si>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</si>
  <si>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</si>
  <si>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</si>
  <si>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</si>
  <si>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</si>
  <si>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</si>
  <si>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</si>
  <si>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</si>
  <si>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</si>
  <si>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</si>
  <si>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</si>
  <si>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</si>
  <si>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</si>
  <si>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</si>
  <si>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</si>
  <si>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</si>
  <si>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</si>
  <si>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</si>
  <si>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</si>
  <si>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</si>
  <si>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</si>
  <si>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</si>
  <si>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</si>
  <si>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</si>
  <si>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</si>
  <si>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</si>
  <si>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</si>
  <si>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</si>
  <si>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</si>
  <si>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</si>
  <si>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</si>
  <si>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</si>
  <si>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</si>
  <si>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</si>
  <si>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</si>
  <si>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</si>
  <si>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</si>
  <si>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</si>
  <si>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</si>
  <si>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</si>
  <si>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</si>
  <si>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</si>
  <si>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</si>
  <si>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</si>
  <si>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</si>
  <si>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</si>
  <si>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</si>
  <si>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</si>
  <si>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</si>
  <si>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</si>
  <si>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</si>
  <si>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</si>
  <si>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</si>
  <si>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</si>
  <si>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</si>
  <si>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</si>
  <si>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</si>
  <si>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</si>
  <si>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</si>
  <si>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</si>
  <si>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</si>
  <si>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</si>
  <si>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</si>
  <si>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</si>
  <si>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</si>
  <si>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</si>
  <si>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</si>
  <si>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</si>
  <si>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</si>
  <si>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</si>
  <si>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</si>
  <si>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</si>
  <si>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</si>
  <si>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</si>
  <si>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</si>
  <si>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</si>
  <si>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</si>
  <si>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</si>
  <si>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</si>
  <si>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</si>
  <si>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</si>
  <si>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</si>
  <si>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</si>
  <si>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</si>
  <si>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</si>
  <si>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</si>
  <si>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</si>
  <si>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</si>
  <si>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</si>
  <si>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</si>
  <si>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</si>
  <si>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</si>
  <si>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</si>
  <si>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</si>
  <si>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</si>
  <si>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</si>
  <si>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</si>
  <si>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</si>
  <si>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</si>
  <si>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</si>
  <si>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</si>
  <si>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</si>
  <si>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</si>
  <si>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</si>
  <si>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</si>
  <si>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</si>
  <si>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</si>
  <si>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</si>
  <si>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</si>
  <si>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</si>
  <si>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</si>
  <si>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</si>
  <si>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</si>
  <si>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</si>
  <si>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</si>
  <si>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</si>
  <si>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</si>
  <si>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</si>
  <si>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</si>
  <si>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</si>
  <si>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</si>
  <si>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</si>
  <si>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</si>
  <si>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</si>
  <si>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</si>
  <si>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</si>
  <si>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</si>
  <si>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</si>
  <si>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</si>
  <si>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</si>
  <si>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</si>
  <si>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</si>
  <si>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</si>
  <si>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</si>
  <si>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</si>
  <si>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</si>
  <si>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</si>
  <si>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</si>
  <si>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</si>
  <si>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</si>
  <si>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</si>
  <si>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</si>
  <si>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</si>
  <si>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</si>
  <si>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</si>
  <si>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</si>
  <si>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</si>
  <si>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</si>
  <si>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</si>
  <si>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</si>
  <si>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</si>
  <si>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</si>
  <si>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</si>
  <si>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</si>
  <si>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</si>
  <si>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</si>
  <si>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</si>
  <si>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</si>
  <si>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</si>
  <si>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</si>
  <si>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</si>
  <si>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</si>
  <si>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</si>
  <si>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</si>
  <si>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</si>
  <si>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</si>
  <si>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</si>
  <si>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</si>
  <si>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</si>
  <si>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</si>
  <si>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</si>
  <si>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</si>
  <si>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</si>
  <si>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</si>
  <si>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</si>
  <si>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</si>
  <si>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</si>
  <si>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</si>
  <si>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</si>
  <si>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</si>
  <si>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</si>
  <si>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</si>
  <si>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</si>
  <si>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</si>
  <si>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</si>
  <si>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</si>
  <si>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</si>
  <si>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</si>
  <si>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</si>
  <si>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</si>
  <si>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</si>
  <si>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</si>
  <si>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</si>
  <si>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</si>
  <si>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</si>
  <si>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</si>
  <si>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</si>
  <si>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</si>
  <si>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</si>
  <si>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</si>
  <si>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</si>
  <si>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</si>
  <si>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</si>
  <si>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</si>
  <si>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</si>
  <si>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</si>
  <si>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</si>
  <si>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</si>
  <si>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</si>
  <si>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</si>
  <si>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</si>
  <si>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</si>
  <si>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</si>
  <si>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</si>
  <si>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</si>
  <si>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</si>
  <si>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</si>
  <si>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</si>
  <si>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</si>
  <si>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</si>
  <si>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</si>
  <si>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</si>
  <si>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</si>
  <si>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</si>
  <si>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</si>
  <si>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</si>
  <si>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</si>
  <si>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</si>
  <si>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</si>
  <si>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</si>
  <si>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</si>
  <si>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</si>
  <si>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</si>
  <si>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</si>
  <si>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</si>
  <si>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</si>
  <si>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</si>
  <si>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</si>
  <si>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</si>
  <si>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</si>
  <si>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</si>
  <si>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</si>
  <si>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</si>
  <si>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</si>
  <si>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</si>
  <si>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</si>
  <si>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</si>
  <si>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</si>
  <si>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</si>
  <si>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</si>
  <si>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</si>
  <si>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</si>
  <si>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</si>
  <si>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</si>
  <si>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</si>
  <si>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</si>
  <si>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</si>
  <si>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</si>
  <si>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</si>
  <si>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</si>
  <si>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</si>
  <si>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</si>
  <si>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</si>
  <si>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</si>
  <si>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</si>
  <si>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</si>
  <si>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</si>
  <si>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</si>
  <si>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</si>
  <si>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</si>
  <si>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</si>
  <si>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</si>
  <si>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</si>
  <si>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</si>
  <si>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</si>
  <si>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</si>
  <si>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</si>
  <si>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</si>
  <si>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</si>
  <si>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</si>
  <si>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</si>
  <si>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</si>
  <si>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</si>
  <si>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</si>
  <si>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</si>
  <si>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</si>
  <si>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</si>
  <si>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</si>
  <si>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</si>
  <si>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</si>
  <si>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</si>
  <si>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</si>
  <si>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</si>
  <si>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</si>
  <si>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</si>
  <si>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</si>
  <si>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</si>
  <si>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</si>
  <si>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</si>
  <si>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</si>
  <si>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</si>
  <si>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</si>
  <si>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</si>
  <si>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</si>
  <si>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</si>
  <si>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</si>
  <si>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</si>
  <si>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</si>
  <si>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</si>
  <si>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</si>
  <si>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</si>
  <si>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</si>
  <si>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</si>
  <si>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</si>
  <si>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</si>
  <si>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</si>
  <si>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</si>
  <si>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</si>
  <si>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</si>
  <si>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</si>
  <si>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</si>
  <si>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</si>
  <si>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</si>
  <si>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</si>
  <si>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</si>
  <si>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</si>
  <si>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</si>
  <si>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</si>
  <si>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</si>
  <si>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</si>
  <si>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</si>
  <si>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</si>
  <si>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</si>
  <si>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</si>
  <si>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</si>
  <si>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</si>
  <si>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</si>
  <si>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</si>
  <si>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</si>
  <si>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</si>
  <si>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</si>
  <si>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</si>
  <si>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</si>
  <si>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</si>
  <si>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</si>
  <si>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</si>
  <si>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</si>
  <si>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</si>
  <si>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</si>
  <si>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</si>
  <si>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</si>
  <si>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</si>
  <si>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</si>
  <si>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</si>
  <si>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</si>
  <si>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</si>
  <si>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</si>
  <si>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</si>
  <si>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</si>
  <si>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</si>
  <si>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</si>
  <si>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</si>
  <si>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</si>
  <si>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</si>
  <si>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</si>
  <si>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</si>
  <si>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</si>
  <si>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</si>
  <si>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</si>
  <si>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</si>
  <si>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</si>
  <si>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</si>
  <si>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</si>
  <si>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</si>
  <si>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</si>
  <si>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</si>
  <si>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</si>
  <si>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</si>
  <si>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</si>
  <si>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</si>
  <si>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</si>
  <si>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</si>
  <si>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</si>
  <si>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</si>
  <si>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</si>
  <si>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</si>
  <si>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</si>
  <si>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</si>
  <si>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</si>
  <si>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</si>
  <si>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</si>
  <si>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</si>
  <si>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</si>
  <si>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</si>
  <si>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</si>
  <si>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</si>
  <si>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</si>
  <si>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</si>
  <si>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</si>
  <si>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</si>
  <si>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</si>
  <si>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</si>
  <si>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</si>
  <si>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</si>
  <si>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</si>
  <si>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</si>
  <si>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</si>
  <si>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</si>
  <si>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</si>
  <si>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</si>
  <si>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</si>
  <si>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</si>
  <si>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</si>
  <si>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</si>
  <si>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</si>
  <si>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</si>
  <si>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</si>
  <si>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</si>
  <si>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</si>
  <si>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</si>
  <si>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</si>
  <si>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</si>
  <si>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</si>
  <si>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</si>
  <si>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</si>
  <si>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</si>
  <si>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</si>
  <si>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</si>
  <si>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</si>
  <si>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</si>
  <si>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</si>
  <si>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</si>
  <si>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</si>
  <si>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</si>
  <si>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</si>
  <si>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</si>
  <si>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</si>
  <si>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</si>
  <si>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</si>
  <si>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</si>
  <si>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</si>
  <si>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</si>
  <si>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</si>
  <si>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</si>
  <si>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</si>
  <si>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</si>
  <si>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</si>
  <si>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</si>
  <si>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</si>
  <si>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</si>
  <si>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</si>
  <si>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</si>
  <si>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</si>
  <si>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</si>
  <si>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</si>
  <si>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</si>
  <si>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</si>
  <si>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</si>
  <si>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</si>
  <si>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</si>
  <si>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</si>
  <si>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</si>
  <si>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</si>
  <si>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</si>
  <si>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</si>
  <si>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</si>
  <si>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</si>
  <si>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</si>
  <si>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</si>
  <si>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</si>
  <si>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</si>
  <si>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</si>
  <si>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</si>
  <si>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</si>
  <si>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</si>
  <si>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</si>
  <si>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</si>
  <si>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</si>
  <si>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</si>
  <si>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</si>
  <si>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</si>
  <si>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</si>
  <si>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</si>
  <si>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</si>
  <si>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</si>
  <si>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</si>
  <si>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</si>
  <si>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</si>
  <si>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</si>
  <si>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</si>
  <si>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</si>
  <si>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</si>
  <si>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</si>
  <si>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</si>
  <si>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</si>
  <si>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</si>
  <si>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</si>
  <si>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</si>
  <si>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</si>
  <si>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</si>
  <si>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</si>
  <si>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</si>
  <si>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</si>
  <si>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</si>
  <si>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</si>
  <si>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</si>
  <si>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</si>
  <si>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</si>
  <si>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</si>
  <si>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</si>
  <si>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</si>
  <si>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</si>
  <si>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</si>
  <si>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</si>
  <si>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</si>
  <si>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</si>
  <si>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</si>
  <si>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</si>
  <si>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</si>
  <si>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</si>
  <si>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</si>
  <si>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</si>
  <si>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</si>
  <si>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</si>
  <si>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</si>
  <si>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</si>
  <si>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</si>
  <si>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</si>
  <si>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</si>
  <si>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</si>
  <si>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</si>
  <si>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</si>
  <si>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</si>
  <si>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</si>
  <si>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</si>
  <si>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</si>
  <si>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</si>
  <si>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</si>
  <si>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</si>
  <si>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</si>
  <si>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</si>
  <si>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</si>
  <si>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</si>
  <si>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</si>
  <si>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</si>
  <si>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</si>
  <si>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</si>
  <si>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</si>
  <si>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</si>
  <si>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</si>
  <si>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</si>
  <si>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</si>
  <si>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</si>
  <si>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</si>
  <si>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</si>
  <si>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</si>
  <si>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</si>
  <si>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</si>
  <si>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</si>
  <si>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</si>
  <si>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</si>
  <si>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</si>
  <si>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</si>
  <si>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</si>
  <si>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</si>
  <si>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</si>
  <si>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</si>
  <si>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</si>
  <si>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</si>
  <si>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</si>
  <si>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</si>
  <si>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</si>
  <si>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</si>
  <si>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</si>
  <si>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</si>
  <si>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</si>
  <si>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</si>
  <si>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</si>
  <si>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</si>
  <si>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</si>
  <si>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</si>
  <si>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</si>
  <si>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</si>
  <si>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</si>
  <si>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</si>
  <si>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</si>
  <si>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</si>
  <si>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</si>
  <si>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</si>
  <si>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</si>
  <si>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</si>
  <si>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</si>
  <si>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</si>
  <si>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</si>
  <si>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</si>
  <si>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</si>
  <si>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</si>
  <si>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</si>
  <si>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</si>
  <si>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</si>
  <si>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</si>
  <si>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</si>
  <si>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</si>
  <si>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</si>
  <si>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</si>
  <si>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</si>
  <si>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</si>
  <si>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</si>
  <si>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</si>
  <si>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</si>
  <si>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</si>
  <si>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</si>
  <si>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</si>
  <si>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</si>
  <si>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</si>
  <si>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</si>
  <si>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</si>
  <si>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</si>
  <si>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</si>
  <si>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</si>
  <si>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</si>
  <si>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</si>
  <si>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</si>
  <si>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</si>
  <si>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</si>
  <si>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</si>
  <si>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</si>
  <si>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</si>
  <si>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</si>
  <si>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</si>
  <si>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</si>
  <si>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</si>
  <si>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</si>
  <si>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</si>
  <si>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</si>
  <si>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</si>
  <si>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</si>
  <si>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</si>
  <si>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</si>
  <si>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</si>
  <si>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</si>
  <si>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</si>
  <si>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</si>
  <si>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</si>
  <si>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</si>
  <si>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</si>
  <si>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</si>
  <si>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</si>
  <si>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</si>
  <si>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</si>
  <si>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</si>
  <si>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</si>
  <si>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</si>
  <si>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</si>
  <si>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</si>
  <si>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</si>
  <si>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</si>
  <si>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</si>
  <si>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</si>
  <si>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</si>
  <si>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</si>
  <si>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</si>
  <si>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</si>
  <si>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</si>
  <si>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</si>
  <si>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</si>
  <si>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</si>
  <si>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</si>
  <si>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</si>
  <si>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</si>
  <si>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</si>
  <si>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</si>
  <si>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</si>
  <si>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</si>
  <si>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</si>
  <si>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</si>
  <si>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</si>
  <si>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</si>
  <si>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</si>
  <si>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</si>
  <si>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</si>
  <si>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</si>
  <si>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</si>
  <si>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</si>
  <si>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</si>
  <si>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</si>
  <si>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</si>
  <si>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</si>
  <si>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</si>
  <si>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</si>
  <si>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</si>
  <si>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</si>
  <si>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</si>
  <si>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</si>
  <si>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</si>
  <si>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</si>
  <si>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</si>
  <si>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</si>
  <si>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</si>
  <si>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</si>
  <si>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</si>
  <si>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</si>
  <si>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</si>
  <si>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</si>
  <si>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</si>
  <si>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</si>
  <si>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</si>
  <si>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</si>
  <si>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</si>
  <si>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</si>
  <si>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</si>
  <si>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</si>
  <si>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</si>
  <si>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</si>
  <si>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</si>
  <si>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</si>
  <si>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</si>
  <si>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</si>
  <si>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</si>
  <si>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</si>
  <si>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</si>
  <si>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</si>
  <si>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</si>
  <si>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</si>
  <si>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</si>
  <si>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</si>
  <si>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</si>
  <si>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</si>
  <si>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</si>
  <si>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</si>
  <si>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</si>
  <si>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</si>
  <si>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</si>
  <si>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</si>
  <si>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</si>
  <si>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</si>
  <si>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</si>
  <si>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</si>
  <si>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</si>
  <si>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</si>
  <si>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</si>
  <si>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</si>
  <si>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</si>
  <si>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</si>
  <si>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</si>
  <si>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</si>
  <si>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</si>
  <si>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</si>
  <si>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</si>
  <si>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</si>
  <si>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</si>
  <si>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</si>
  <si>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</si>
  <si>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</si>
  <si>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</si>
  <si>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</si>
  <si>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</si>
  <si>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</si>
  <si>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</si>
  <si>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</si>
  <si>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</si>
  <si>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</si>
  <si>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</si>
  <si>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</si>
  <si>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</si>
  <si>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</si>
  <si>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</si>
  <si>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</si>
  <si>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</si>
  <si>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</si>
  <si>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</si>
  <si>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</si>
  <si>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</si>
  <si>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</si>
  <si>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</si>
  <si>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</si>
  <si>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</si>
  <si>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</si>
  <si>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</si>
  <si>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</si>
  <si>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</si>
  <si>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</si>
  <si>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</si>
  <si>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</si>
  <si>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</si>
  <si>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</si>
  <si>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</si>
  <si>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</si>
  <si>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</si>
  <si>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</si>
  <si>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</si>
  <si>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</si>
  <si>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</si>
  <si>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</si>
  <si>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</si>
  <si>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</si>
  <si>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</si>
  <si>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</si>
  <si>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</si>
  <si>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</si>
  <si>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</si>
  <si>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</si>
  <si>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</si>
  <si>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</si>
  <si>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</si>
  <si>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</si>
  <si>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</si>
  <si>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</si>
  <si>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</si>
  <si>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</si>
  <si>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</si>
  <si>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</si>
  <si>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</si>
  <si>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</si>
  <si>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</si>
  <si>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</si>
  <si>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</si>
  <si>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</si>
  <si>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</si>
  <si>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</si>
  <si>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</si>
  <si>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</si>
  <si>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</si>
  <si>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</si>
  <si>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</si>
  <si>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</si>
  <si>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</si>
  <si>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</si>
  <si>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</si>
  <si>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</si>
  <si>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</si>
  <si>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</si>
  <si>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</si>
  <si>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</si>
  <si>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</si>
  <si>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</si>
  <si>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</si>
  <si>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</si>
  <si>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</si>
  <si>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</si>
  <si>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</si>
  <si>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</si>
  <si>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</si>
  <si>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</si>
  <si>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</si>
  <si>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</si>
  <si>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</si>
  <si>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</si>
  <si>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</si>
  <si>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</si>
  <si>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</si>
  <si>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</si>
  <si>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</si>
  <si>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</si>
  <si>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</si>
  <si>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</si>
  <si>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</si>
  <si>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</si>
  <si>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</si>
  <si>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</si>
  <si>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</si>
  <si>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</si>
  <si>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</si>
  <si>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</si>
  <si>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</si>
  <si>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</si>
  <si>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</si>
  <si>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</si>
  <si>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</si>
  <si>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</si>
  <si>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</si>
  <si>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</si>
  <si>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</si>
  <si>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</si>
  <si>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</si>
  <si>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</si>
  <si>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</si>
  <si>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</si>
  <si>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</si>
  <si>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</si>
  <si>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</si>
  <si>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</si>
  <si>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</si>
  <si>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</si>
  <si>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</si>
  <si>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</si>
  <si>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</si>
  <si>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</si>
  <si>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</si>
  <si>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</si>
  <si>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</si>
  <si>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</si>
  <si>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</si>
  <si>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</si>
  <si>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</si>
  <si>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</si>
  <si>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</si>
  <si>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</si>
  <si>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</si>
  <si>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</si>
  <si>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</si>
  <si>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</si>
  <si>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</si>
  <si>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</si>
  <si>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</si>
  <si>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</si>
  <si>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</si>
  <si>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</si>
  <si>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</si>
  <si>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</si>
  <si>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</si>
  <si>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</si>
  <si>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</si>
  <si>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</si>
  <si>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</si>
  <si>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</si>
  <si>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</si>
  <si>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</si>
  <si>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</si>
  <si>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</si>
  <si>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</si>
  <si>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</si>
  <si>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</si>
  <si>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</si>
  <si>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</si>
  <si>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</si>
  <si>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</si>
  <si>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</si>
  <si>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</si>
  <si>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</si>
  <si>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</si>
  <si>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</si>
  <si>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</si>
  <si>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</si>
  <si>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</si>
  <si>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</si>
  <si>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</si>
  <si>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</si>
  <si>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</si>
  <si>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</si>
  <si>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</si>
  <si>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</si>
  <si>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</si>
  <si>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</si>
  <si>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</si>
  <si>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</si>
  <si>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</si>
  <si>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</si>
  <si>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</si>
  <si>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</si>
  <si>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</si>
  <si>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</si>
  <si>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</si>
  <si>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</si>
  <si>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</si>
  <si>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</si>
  <si>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</si>
  <si>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</si>
  <si>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</si>
  <si>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</si>
  <si>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</si>
  <si>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</si>
  <si>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</si>
  <si>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</si>
  <si>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</si>
  <si>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</si>
  <si>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</si>
  <si>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</si>
  <si>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</si>
  <si>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</si>
  <si>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</si>
  <si>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</si>
  <si>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</si>
  <si>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</si>
  <si>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</si>
  <si>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</si>
  <si>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</si>
  <si>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</si>
  <si>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</si>
  <si>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</si>
  <si>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</si>
  <si>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</si>
  <si>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</si>
  <si>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</si>
  <si>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</si>
  <si>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</si>
  <si>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</si>
  <si>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</si>
  <si>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</si>
  <si>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</si>
  <si>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</si>
  <si>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</si>
  <si>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</si>
  <si>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</si>
  <si>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</si>
  <si>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</si>
  <si>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</si>
  <si>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</si>
  <si>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</si>
  <si>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</si>
  <si>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</si>
  <si>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</si>
  <si>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</si>
  <si>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</si>
  <si>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</si>
  <si>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</si>
  <si>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</si>
  <si>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</si>
  <si>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</si>
  <si>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</si>
  <si>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</si>
  <si>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</si>
  <si>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</si>
  <si>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</si>
  <si>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</si>
  <si>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</si>
  <si>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</si>
  <si>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</si>
  <si>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</si>
  <si>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</si>
  <si>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</si>
  <si>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</si>
  <si>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</si>
  <si>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</si>
  <si>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</si>
  <si>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</si>
  <si>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</si>
  <si>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</si>
  <si>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</si>
  <si>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</si>
  <si>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</si>
  <si>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</si>
  <si>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</si>
  <si>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</si>
  <si>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</si>
  <si>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</si>
  <si>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</si>
  <si>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</si>
  <si>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</si>
  <si>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</si>
  <si>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</si>
  <si>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</si>
  <si>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</si>
  <si>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</si>
  <si>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</si>
  <si>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</si>
  <si>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</si>
  <si>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</si>
  <si>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</si>
  <si>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</si>
  <si>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</si>
  <si>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</si>
  <si>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</si>
  <si>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</si>
  <si>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</si>
  <si>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</si>
  <si>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</si>
  <si>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</si>
  <si>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</si>
  <si>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</si>
  <si>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</si>
  <si>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</si>
  <si>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</si>
  <si>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</si>
  <si>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</si>
  <si>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</si>
  <si>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</si>
  <si>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</si>
  <si>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</si>
  <si>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</si>
  <si>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</si>
  <si>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</si>
  <si>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</si>
  <si>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</si>
  <si>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</si>
  <si>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</si>
  <si>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</si>
  <si>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</si>
  <si>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</si>
  <si>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</si>
  <si>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</si>
  <si>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</si>
  <si>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</si>
  <si>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</si>
  <si>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</si>
  <si>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</si>
  <si>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</si>
  <si>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</si>
  <si>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</si>
  <si>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</si>
  <si>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</si>
  <si>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</si>
  <si>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</si>
  <si>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</si>
  <si>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</si>
  <si>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</si>
  <si>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</si>
  <si>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</si>
  <si>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</si>
  <si>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</si>
  <si>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</si>
  <si>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</si>
  <si>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</si>
  <si>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</si>
  <si>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</si>
  <si>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</si>
  <si>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</si>
  <si>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</si>
  <si>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</si>
  <si>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</si>
  <si>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</si>
  <si>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</si>
  <si>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</si>
  <si>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</si>
  <si>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</si>
  <si>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</si>
  <si>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</si>
  <si>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</si>
  <si>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</si>
  <si>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</si>
  <si>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</si>
  <si>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</si>
  <si>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</si>
  <si>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</si>
  <si>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</si>
  <si>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</si>
  <si>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</si>
  <si>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</si>
  <si>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</si>
  <si>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</si>
  <si>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</si>
  <si>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</si>
  <si>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</si>
  <si>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</si>
  <si>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</si>
  <si>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</si>
  <si>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</si>
  <si>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</si>
  <si>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</si>
  <si>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</si>
  <si>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</si>
  <si>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</si>
  <si>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</si>
  <si>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</si>
  <si>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</si>
  <si>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</si>
  <si>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</si>
  <si>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</si>
  <si>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</si>
  <si>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</si>
  <si>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</si>
  <si>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</si>
  <si>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</si>
  <si>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</si>
  <si>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</si>
  <si>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</si>
  <si>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</si>
  <si>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</si>
  <si>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</si>
  <si>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</si>
  <si>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</si>
  <si>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</si>
  <si>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</si>
  <si>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</si>
  <si>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</si>
  <si>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</si>
  <si>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</si>
  <si>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</si>
  <si>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</si>
  <si>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</si>
  <si>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</si>
  <si>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</si>
  <si>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</si>
  <si>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</si>
  <si>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</si>
  <si>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</si>
  <si>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</si>
  <si>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</si>
  <si>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</si>
  <si>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</si>
  <si>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</si>
  <si>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</si>
  <si>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</si>
  <si>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</si>
  <si>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</si>
  <si>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</si>
  <si>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</si>
  <si>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</si>
  <si>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</si>
  <si>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</si>
  <si>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</si>
  <si>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</si>
  <si>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</si>
  <si>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</si>
  <si>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</si>
  <si>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</si>
  <si>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</si>
  <si>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</si>
  <si>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</si>
  <si>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</si>
  <si>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</si>
  <si>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</si>
  <si>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</si>
  <si>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</si>
  <si>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</si>
  <si>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</si>
  <si>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</si>
  <si>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</si>
  <si>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</si>
  <si>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</si>
  <si>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</si>
  <si>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</si>
  <si>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</si>
  <si>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</si>
  <si>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</si>
  <si>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</si>
  <si>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</si>
  <si>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</si>
  <si>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</si>
  <si>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</si>
  <si>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</si>
  <si>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</si>
  <si>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</si>
  <si>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</si>
  <si>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</si>
  <si>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</si>
  <si>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</si>
  <si>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</si>
  <si>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</si>
  <si>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</si>
  <si>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</si>
  <si>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</si>
  <si>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</si>
  <si>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</si>
  <si>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</si>
  <si>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</si>
  <si>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</si>
  <si>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</si>
  <si>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</si>
  <si>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</si>
  <si>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</si>
  <si>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</si>
  <si>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</si>
  <si>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</si>
  <si>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</si>
  <si>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</si>
  <si>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</si>
  <si>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</si>
  <si>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</si>
  <si>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</si>
  <si>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</si>
  <si>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</si>
  <si>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</si>
  <si>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</si>
  <si>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</si>
  <si>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</si>
  <si>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</si>
  <si>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</si>
  <si>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</si>
  <si>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</si>
  <si>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</si>
  <si>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</si>
  <si>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</si>
  <si>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</si>
  <si>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</si>
  <si>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</si>
  <si>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</si>
  <si>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</si>
  <si>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</si>
  <si>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</si>
  <si>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</si>
  <si>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</si>
  <si>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</si>
  <si>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</si>
  <si>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</si>
  <si>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</si>
  <si>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</si>
  <si>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</si>
  <si>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</si>
  <si>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</si>
  <si>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</si>
  <si>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</si>
  <si>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</si>
  <si>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</si>
  <si>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</si>
  <si>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</si>
  <si>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</si>
  <si>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</si>
  <si>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</si>
  <si>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</si>
  <si>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</si>
  <si>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</si>
  <si>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</si>
  <si>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</si>
  <si>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</si>
  <si>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</si>
  <si>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</si>
  <si>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</si>
  <si>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</si>
  <si>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</si>
  <si>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</si>
  <si>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</si>
  <si>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</si>
  <si>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</si>
  <si>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</si>
  <si>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</si>
  <si>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</si>
  <si>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</si>
  <si>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</si>
  <si>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</si>
  <si>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</si>
  <si>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</si>
  <si>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</si>
  <si>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</si>
  <si>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</si>
  <si>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</si>
  <si>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</si>
  <si>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</si>
  <si>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</si>
  <si>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</si>
  <si>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</si>
  <si>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</si>
  <si>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</si>
  <si>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</si>
  <si>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</si>
  <si>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</si>
  <si>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</si>
  <si>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</si>
  <si>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</si>
  <si>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</si>
  <si>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</si>
  <si>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</si>
  <si>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</si>
  <si>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</si>
  <si>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</si>
  <si>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</si>
  <si>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</si>
  <si>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</si>
  <si>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</si>
  <si>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</si>
  <si>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</si>
  <si>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</si>
  <si>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</si>
  <si>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</si>
  <si>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</si>
  <si>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</si>
  <si>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</si>
  <si>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</si>
  <si>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</si>
  <si>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</si>
  <si>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</si>
  <si>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</si>
  <si>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</si>
  <si>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</si>
  <si>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</si>
  <si>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</si>
  <si>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</si>
  <si>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</si>
  <si>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</si>
  <si>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</si>
  <si>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</si>
  <si>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</si>
  <si>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</si>
  <si>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</si>
  <si>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</si>
  <si>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</si>
  <si>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</si>
  <si>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</si>
  <si>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</si>
  <si>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</si>
  <si>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</si>
  <si>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</si>
  <si>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</si>
  <si>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</si>
  <si>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</si>
  <si>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</si>
  <si>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</si>
  <si>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</si>
  <si>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</si>
  <si>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</si>
  <si>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</si>
  <si>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</si>
  <si>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</si>
  <si>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</si>
  <si>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</si>
  <si>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</si>
  <si>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</si>
  <si>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</si>
  <si>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</si>
  <si>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</si>
  <si>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</si>
  <si>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</si>
  <si>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</si>
  <si>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</si>
  <si>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</si>
  <si>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</si>
  <si>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</si>
  <si>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</si>
  <si>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</si>
  <si>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</si>
  <si>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</si>
  <si>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</si>
  <si>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</si>
  <si>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</si>
  <si>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</si>
  <si>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</si>
  <si>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</si>
  <si>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</si>
  <si>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</si>
  <si>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</si>
  <si>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</si>
  <si>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</si>
  <si>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</si>
  <si>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</si>
  <si>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</si>
  <si>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</si>
  <si>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</si>
  <si>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</si>
  <si>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</si>
  <si>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</si>
  <si>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</si>
  <si>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</si>
  <si>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</si>
  <si>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</si>
  <si>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</si>
  <si>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</si>
  <si>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</si>
  <si>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</si>
  <si>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</si>
  <si>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</si>
  <si>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</si>
  <si>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</si>
  <si>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</si>
  <si>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</si>
  <si>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</si>
  <si>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</si>
  <si>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</si>
  <si>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</si>
  <si>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</si>
  <si>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</si>
  <si>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</si>
  <si>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</si>
  <si>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</si>
  <si>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</si>
  <si>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</si>
  <si>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</si>
  <si>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</si>
  <si>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</si>
  <si>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</si>
  <si>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</si>
  <si>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</si>
  <si>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</si>
  <si>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</si>
  <si>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</si>
  <si>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</si>
  <si>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</si>
  <si>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</si>
  <si>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</si>
  <si>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</si>
  <si>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</si>
  <si>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</si>
  <si>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</si>
  <si>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</si>
  <si>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</si>
  <si>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</si>
  <si>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</si>
  <si>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</si>
  <si>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</si>
  <si>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</si>
  <si>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</si>
  <si>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</si>
  <si>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</si>
  <si>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</si>
  <si>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</si>
  <si>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</si>
  <si>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</si>
  <si>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</si>
  <si>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</si>
  <si>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</si>
  <si>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</si>
  <si>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</si>
  <si>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</si>
  <si>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</si>
  <si>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</si>
  <si>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</si>
  <si>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</si>
  <si>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</si>
  <si>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</si>
  <si>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</si>
  <si>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</si>
  <si>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</si>
  <si>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</si>
  <si>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</si>
  <si>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</si>
  <si>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</si>
  <si>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</si>
  <si>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</si>
  <si>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</si>
  <si>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</si>
  <si>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</si>
  <si>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</si>
  <si>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</si>
  <si>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</si>
  <si>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</si>
  <si>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</si>
  <si>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</si>
  <si>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</si>
  <si>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</si>
  <si>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</si>
  <si>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</si>
  <si>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</si>
  <si>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</si>
  <si>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</si>
  <si>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</si>
  <si>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</si>
  <si>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</si>
  <si>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</si>
  <si>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</si>
  <si>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</si>
  <si>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</si>
  <si>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</si>
  <si>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</si>
  <si>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</si>
  <si>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</si>
  <si>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</si>
  <si>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</si>
  <si>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</si>
  <si>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</si>
  <si>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</si>
  <si>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</si>
  <si>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</si>
  <si>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</si>
  <si>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</si>
  <si>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</si>
  <si>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</si>
  <si>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</si>
  <si>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</si>
  <si>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</si>
  <si>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</si>
  <si>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</si>
  <si>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</si>
  <si>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</si>
  <si>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</si>
  <si>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</si>
  <si>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</si>
  <si>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</si>
  <si>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</si>
  <si>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</si>
  <si>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</si>
  <si>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</si>
  <si>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</si>
  <si>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</si>
  <si>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</si>
  <si>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</si>
  <si>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</si>
  <si>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</si>
  <si>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</si>
  <si>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</si>
  <si>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</si>
  <si>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</si>
  <si>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</si>
  <si>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</si>
  <si>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</si>
  <si>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</si>
  <si>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</si>
  <si>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</si>
  <si>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</si>
  <si>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</si>
  <si>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</si>
  <si>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</si>
  <si>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</si>
  <si>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</si>
  <si>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</si>
  <si>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</si>
  <si>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</si>
  <si>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</si>
  <si>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</si>
  <si>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</si>
  <si>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</si>
  <si>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</si>
  <si>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</si>
  <si>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</si>
  <si>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</si>
  <si>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</si>
  <si>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</si>
  <si>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</si>
  <si>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</si>
  <si>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</si>
  <si>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</si>
  <si>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</si>
  <si>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</si>
  <si>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</si>
  <si>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</si>
  <si>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</si>
  <si>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</si>
  <si>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</si>
  <si>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</si>
  <si>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</si>
  <si>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</si>
  <si>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</si>
  <si>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</si>
  <si>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</si>
  <si>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</si>
  <si>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</si>
  <si>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</si>
  <si>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</si>
  <si>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</si>
  <si>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</si>
  <si>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</si>
  <si>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</si>
  <si>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</si>
  <si>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</si>
  <si>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</si>
  <si>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</si>
  <si>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</si>
  <si>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</si>
  <si>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</si>
  <si>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</si>
  <si>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</si>
  <si>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</si>
  <si>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</si>
  <si>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</si>
  <si>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</si>
  <si>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</si>
  <si>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</si>
  <si>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</si>
  <si>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</si>
  <si>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</si>
  <si>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</si>
  <si>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</si>
  <si>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</si>
  <si>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</si>
  <si>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</si>
  <si>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</si>
  <si>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</si>
  <si>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</si>
  <si>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</si>
  <si>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</si>
  <si>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</si>
  <si>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</si>
  <si>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</si>
  <si>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</si>
  <si>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</si>
  <si>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</si>
  <si>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</si>
  <si>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</si>
  <si>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</si>
  <si>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</si>
  <si>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</si>
  <si>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</si>
  <si>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</si>
  <si>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</si>
  <si>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</si>
  <si>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</si>
  <si>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</si>
  <si>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</si>
  <si>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</si>
  <si>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</si>
  <si>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</si>
  <si>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</si>
  <si>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</si>
  <si>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</si>
  <si>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</si>
  <si>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</si>
  <si>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</si>
  <si>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</si>
  <si>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</si>
  <si>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</si>
  <si>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</si>
  <si>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</si>
  <si>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</si>
  <si>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</si>
  <si>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</si>
  <si>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</si>
  <si>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</si>
  <si>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</si>
  <si>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</si>
  <si>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</si>
  <si>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</si>
  <si>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</si>
  <si>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</si>
  <si>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</si>
  <si>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</si>
  <si>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</si>
  <si>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</si>
  <si>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</si>
  <si>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</si>
  <si>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</si>
  <si>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</si>
  <si>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</si>
  <si>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</si>
  <si>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</si>
  <si>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</si>
  <si>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</si>
  <si>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</si>
  <si>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</si>
  <si>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</si>
  <si>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</si>
  <si>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</si>
  <si>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</si>
  <si>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</si>
  <si>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</si>
  <si>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</si>
  <si>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</si>
  <si>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</si>
  <si>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</si>
  <si>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</si>
  <si>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</si>
  <si>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</si>
  <si>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</si>
  <si>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</si>
  <si>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</si>
  <si>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</si>
  <si>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</si>
  <si>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</si>
  <si>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</si>
  <si>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</si>
  <si>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</si>
  <si>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</si>
  <si>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</si>
  <si>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</si>
  <si>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</si>
  <si>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</si>
  <si>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</si>
  <si>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</si>
  <si>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</si>
  <si>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</si>
  <si>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</si>
  <si>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</si>
  <si>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</si>
  <si>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</si>
  <si>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</si>
  <si>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</si>
  <si>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</si>
  <si>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</si>
  <si>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</si>
  <si>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</si>
  <si>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</si>
  <si>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</si>
  <si>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</si>
  <si>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</si>
  <si>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</si>
  <si>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</si>
  <si>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</si>
  <si>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</si>
  <si>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</si>
  <si>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</si>
  <si>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</si>
  <si>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</si>
  <si>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</si>
  <si>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</si>
  <si>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</si>
  <si>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</si>
  <si>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</si>
  <si>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</si>
  <si>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</si>
  <si>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</si>
  <si>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</si>
  <si>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</si>
  <si>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</si>
  <si>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</si>
  <si>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</si>
  <si>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</si>
  <si>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</si>
  <si>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</si>
  <si>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</si>
  <si>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</si>
  <si>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</si>
  <si>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</si>
  <si>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</si>
  <si>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</si>
  <si>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</si>
  <si>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</si>
  <si>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</si>
  <si>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</si>
  <si>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</si>
  <si>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</si>
  <si>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</si>
  <si>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</si>
  <si>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</si>
  <si>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</si>
  <si>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</si>
  <si>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</si>
  <si>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</si>
  <si>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</si>
  <si>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</si>
  <si>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</si>
  <si>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</si>
  <si>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</si>
  <si>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</si>
  <si>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</si>
  <si>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</si>
  <si>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</si>
  <si>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</si>
  <si>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</si>
  <si>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</si>
  <si>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</si>
  <si>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</si>
  <si>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</si>
  <si>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</si>
  <si>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</si>
  <si>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</si>
  <si>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</si>
  <si>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</si>
  <si>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</si>
  <si>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</si>
  <si>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</si>
  <si>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</si>
  <si>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</si>
  <si>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</si>
  <si>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</si>
  <si>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</si>
  <si>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</si>
  <si>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</si>
  <si>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</si>
  <si>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</si>
  <si>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</si>
  <si>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</si>
  <si>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</si>
  <si>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</si>
  <si>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</si>
  <si>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</si>
  <si>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</si>
  <si>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</si>
  <si>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</si>
  <si>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</si>
  <si>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</si>
  <si>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</si>
  <si>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</si>
  <si>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</si>
  <si>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</si>
  <si>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</si>
  <si>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</si>
  <si>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</si>
  <si>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</si>
  <si>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</si>
  <si>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</si>
  <si>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</si>
  <si>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</si>
  <si>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</si>
  <si>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</si>
  <si>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</si>
  <si>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</si>
  <si>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</si>
  <si>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</si>
  <si>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</si>
  <si>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</si>
  <si>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</si>
  <si>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</si>
  <si>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</si>
  <si>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</si>
  <si>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</si>
  <si>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</si>
  <si>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</si>
  <si>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</si>
  <si>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</si>
  <si>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</si>
  <si>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</si>
  <si>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</si>
  <si>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</si>
  <si>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</si>
  <si>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</si>
  <si>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</si>
  <si>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</si>
  <si>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</si>
  <si>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</si>
  <si>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</si>
  <si>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</si>
  <si>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</si>
  <si>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</si>
  <si>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</si>
  <si>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</si>
  <si>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</si>
  <si>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</si>
  <si>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</si>
  <si>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</si>
  <si>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</si>
  <si>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</si>
  <si>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</si>
  <si>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</si>
  <si>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</si>
  <si>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</si>
  <si>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</si>
  <si>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</si>
  <si>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</si>
  <si>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</si>
  <si>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</si>
  <si>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</si>
  <si>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</si>
  <si>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</si>
  <si>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</si>
  <si>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</si>
  <si>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</si>
  <si>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</si>
  <si>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</si>
  <si>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</si>
  <si>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</si>
  <si>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</si>
  <si>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</si>
  <si>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</si>
  <si>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</si>
  <si>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</si>
  <si>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</si>
  <si>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</si>
  <si>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</si>
  <si>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</si>
  <si>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</si>
  <si>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</si>
  <si>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</si>
  <si>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</si>
  <si>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</si>
  <si>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</si>
  <si>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</si>
  <si>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</si>
  <si>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</si>
  <si>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</si>
  <si>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</si>
  <si>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</si>
  <si>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</si>
  <si>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</si>
  <si>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</si>
  <si>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</si>
  <si>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</si>
  <si>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</si>
  <si>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</si>
  <si>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</si>
  <si>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</si>
  <si>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</si>
  <si>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</si>
  <si>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</si>
  <si>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</si>
  <si>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</si>
  <si>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</si>
  <si>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</si>
  <si>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</si>
  <si>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</si>
  <si>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</si>
  <si>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</si>
  <si>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</si>
  <si>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</si>
  <si>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</si>
  <si>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</si>
  <si>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</si>
  <si>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</si>
  <si>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</si>
  <si>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</si>
  <si>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</si>
  <si>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</si>
  <si>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</si>
  <si>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</si>
  <si>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</si>
  <si>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</si>
  <si>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</si>
  <si>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</si>
  <si>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</si>
  <si>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</si>
  <si>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</si>
  <si>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</si>
  <si>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</si>
  <si>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</si>
  <si>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</si>
  <si>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</si>
  <si>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</si>
  <si>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</si>
  <si>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</si>
  <si>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</si>
  <si>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</si>
  <si>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</si>
  <si>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</si>
  <si>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</si>
  <si>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</si>
  <si>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</si>
  <si>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</si>
  <si>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</si>
  <si>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</si>
  <si>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</si>
  <si>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</si>
  <si>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</si>
  <si>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</si>
  <si>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</si>
  <si>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</si>
  <si>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</si>
  <si>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</si>
  <si>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</si>
  <si>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</si>
  <si>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</si>
  <si>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</si>
  <si>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</si>
  <si>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</si>
  <si>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</si>
  <si>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</si>
  <si>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</si>
  <si>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</si>
  <si>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</si>
  <si>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</si>
  <si>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</si>
  <si>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</si>
  <si>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</si>
  <si>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</si>
  <si>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</si>
  <si>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</si>
  <si>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</si>
  <si>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</si>
  <si>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</si>
  <si>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</si>
  <si>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</si>
  <si>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</si>
  <si>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</si>
  <si>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</si>
  <si>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</si>
  <si>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</si>
  <si>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</si>
  <si>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</si>
  <si>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</si>
  <si>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</si>
  <si>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</si>
  <si>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</si>
  <si>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</si>
  <si>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</si>
  <si>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</si>
  <si>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</si>
  <si>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</si>
  <si>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</si>
  <si>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</si>
  <si>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</si>
  <si>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</si>
  <si>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</si>
  <si>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</si>
  <si>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</si>
  <si>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</si>
  <si>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</si>
  <si>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</si>
  <si>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</si>
  <si>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</si>
  <si>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</si>
  <si>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</si>
  <si>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</si>
  <si>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</si>
  <si>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</si>
  <si>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</si>
  <si>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</si>
  <si>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</si>
  <si>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</si>
  <si>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</si>
  <si>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</si>
  <si>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</si>
  <si>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</si>
  <si>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</si>
  <si>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</si>
  <si>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</si>
  <si>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</si>
  <si>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</si>
  <si>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</si>
  <si>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</si>
  <si>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</si>
  <si>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</si>
  <si>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</si>
  <si>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</si>
  <si>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</si>
  <si>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</si>
  <si>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</si>
  <si>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</si>
  <si>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</si>
  <si>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</si>
  <si>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</si>
  <si>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</si>
  <si>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</si>
  <si>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</si>
  <si>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</si>
  <si>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</si>
  <si>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</si>
  <si>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</si>
  <si>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</si>
  <si>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</si>
  <si>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</si>
  <si>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</si>
  <si>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</si>
  <si>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</si>
  <si>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</si>
  <si>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</si>
  <si>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</si>
  <si>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</si>
  <si>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</si>
  <si>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</si>
  <si>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</si>
  <si>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</si>
  <si>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</si>
  <si>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</si>
  <si>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</si>
  <si>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</si>
  <si>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</si>
  <si>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</si>
  <si>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</si>
  <si>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</si>
  <si>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</si>
  <si>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</si>
  <si>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</si>
  <si>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</si>
  <si>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</si>
  <si>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</si>
  <si>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</si>
  <si>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</si>
  <si>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</si>
  <si>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</si>
  <si>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</si>
  <si>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</si>
  <si>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</si>
  <si>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</si>
  <si>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</si>
  <si>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</si>
  <si>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</si>
  <si>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</si>
  <si>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</si>
  <si>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</si>
  <si>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</si>
  <si>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</si>
  <si>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</si>
  <si>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</si>
  <si>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</si>
  <si>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</si>
  <si>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</si>
  <si>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</si>
  <si>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</si>
  <si>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</si>
  <si>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</si>
  <si>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</si>
  <si>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</si>
  <si>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</si>
  <si>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</si>
  <si>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</si>
  <si>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</si>
  <si>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</si>
  <si>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</si>
  <si>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</si>
  <si>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</si>
  <si>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</si>
  <si>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</si>
  <si>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</si>
  <si>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</si>
  <si>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</si>
  <si>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</si>
  <si>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</si>
  <si>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</si>
  <si>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</si>
  <si>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</si>
  <si>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</si>
  <si>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</si>
  <si>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</si>
  <si>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</si>
  <si>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</si>
  <si>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</si>
  <si>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</si>
  <si>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</si>
  <si>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</si>
  <si>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</si>
  <si>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</si>
  <si>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</si>
  <si>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</si>
  <si>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</si>
  <si>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</si>
  <si>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</si>
  <si>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</si>
  <si>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</si>
  <si>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</si>
  <si>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</si>
  <si>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</si>
  <si>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</si>
  <si>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</si>
  <si>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</si>
  <si>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</si>
  <si>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</si>
  <si>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</si>
  <si>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</si>
  <si>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</si>
  <si>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</si>
  <si>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</si>
  <si>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</si>
  <si>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</si>
  <si>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</si>
  <si>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</si>
  <si>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</si>
  <si>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</si>
  <si>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</si>
  <si>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</si>
  <si>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</si>
  <si>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</si>
  <si>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</si>
  <si>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</si>
  <si>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</si>
  <si>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</si>
  <si>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</si>
  <si>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</si>
  <si>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</si>
  <si>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</si>
  <si>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</si>
  <si>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</si>
  <si>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</si>
  <si>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</si>
  <si>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</si>
  <si>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</si>
  <si>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</si>
  <si>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</si>
  <si>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</si>
  <si>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</si>
  <si>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</si>
  <si>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</si>
  <si>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</si>
  <si>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</si>
  <si>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</si>
  <si>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</si>
  <si>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</si>
  <si>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</si>
  <si>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</si>
  <si>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</si>
  <si>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</si>
  <si>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</si>
  <si>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</si>
  <si>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</si>
  <si>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</si>
  <si>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</si>
  <si>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</si>
  <si>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</si>
  <si>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</si>
  <si>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</si>
  <si>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</si>
  <si>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</si>
  <si>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</si>
  <si>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</si>
  <si>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</si>
  <si>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</si>
  <si>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</si>
  <si>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</si>
  <si>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</si>
  <si>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</si>
  <si>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</si>
  <si>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</si>
  <si>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</si>
  <si>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</si>
  <si>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</si>
  <si>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</si>
  <si>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</si>
  <si>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</si>
  <si>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</si>
  <si>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</si>
  <si>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</si>
  <si>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</si>
  <si>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</si>
  <si>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</si>
  <si>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</si>
  <si>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</si>
  <si>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</si>
  <si>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</si>
  <si>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</si>
  <si>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</si>
  <si>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</si>
  <si>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</si>
  <si>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</si>
  <si>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</si>
  <si>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</si>
  <si>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</si>
  <si>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</si>
  <si>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</si>
  <si>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</si>
  <si>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</si>
  <si>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</si>
  <si>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</si>
  <si>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</si>
  <si>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</si>
  <si>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</si>
  <si>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</si>
  <si>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</si>
  <si>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</si>
  <si>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</si>
  <si>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</si>
  <si>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</si>
  <si>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</si>
  <si>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</si>
  <si>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</si>
  <si>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</si>
  <si>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</si>
  <si>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</si>
  <si>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</si>
  <si>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</si>
  <si>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</si>
  <si>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</si>
  <si>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</si>
  <si>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</si>
  <si>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</si>
  <si>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</si>
  <si>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</si>
  <si>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</si>
  <si>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</si>
  <si>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</si>
  <si>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</si>
  <si>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</si>
  <si>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</si>
  <si>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</si>
  <si>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</si>
  <si>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</si>
  <si>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</si>
  <si>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</si>
  <si>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</si>
  <si>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</si>
  <si>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</si>
  <si>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</si>
  <si>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</si>
  <si>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</si>
  <si>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</si>
  <si>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</si>
  <si>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</si>
  <si>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</si>
  <si>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</si>
  <si>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</si>
  <si>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</si>
  <si>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</si>
  <si>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</si>
  <si>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</si>
  <si>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</si>
  <si>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</si>
  <si>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</si>
  <si>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</si>
  <si>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</si>
  <si>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</si>
  <si>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</si>
  <si>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</si>
  <si>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</si>
  <si>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</si>
  <si>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</si>
  <si>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</si>
  <si>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</si>
  <si>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</si>
  <si>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</si>
  <si>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</si>
  <si>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</si>
  <si>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</si>
  <si>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</si>
  <si>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</si>
  <si>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</si>
  <si>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</si>
  <si>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</si>
  <si>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</si>
  <si>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</si>
  <si>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</si>
  <si>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</si>
  <si>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</si>
  <si>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</si>
  <si>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</si>
  <si>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</si>
  <si>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</si>
  <si>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</si>
  <si>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</si>
  <si>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</si>
  <si>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</si>
  <si>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</si>
  <si>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</si>
  <si>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</si>
  <si>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</si>
  <si>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</si>
  <si>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</si>
  <si>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</si>
  <si>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</si>
  <si>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</si>
  <si>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</si>
  <si>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</si>
  <si>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</si>
  <si>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</si>
  <si>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</si>
  <si>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</si>
  <si>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</si>
  <si>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</si>
  <si>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</si>
  <si>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</si>
  <si>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</si>
  <si>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</si>
  <si>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</si>
  <si>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</si>
  <si>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</si>
  <si>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</si>
  <si>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</si>
  <si>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</si>
  <si>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</si>
  <si>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</si>
  <si>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</si>
  <si>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</si>
  <si>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</si>
  <si>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</si>
  <si>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</si>
  <si>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</si>
  <si>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</si>
  <si>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</si>
  <si>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</si>
  <si>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</si>
  <si>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</si>
  <si>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</si>
  <si>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</si>
  <si>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</si>
  <si>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</si>
  <si>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</si>
  <si>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</si>
  <si>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</si>
  <si>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</si>
  <si>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</si>
  <si>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</si>
  <si>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</si>
  <si>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</si>
  <si>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</si>
  <si>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</si>
  <si>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</si>
  <si>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</si>
  <si>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</si>
  <si>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</si>
  <si>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</si>
  <si>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</si>
  <si>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</si>
  <si>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</si>
  <si>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</si>
  <si>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</si>
  <si>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</si>
  <si>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</si>
  <si>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</si>
  <si>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</si>
  <si>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</si>
  <si>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</si>
  <si>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</si>
  <si>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</si>
  <si>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</si>
  <si>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</si>
  <si>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</si>
  <si>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</si>
  <si>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</si>
  <si>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</si>
  <si>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</si>
  <si>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</si>
  <si>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</si>
  <si>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</si>
  <si>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</si>
  <si>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</si>
  <si>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</si>
  <si>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</si>
  <si>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</si>
  <si>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</si>
  <si>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</si>
  <si>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</si>
  <si>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</si>
  <si>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</si>
  <si>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</si>
  <si>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</si>
  <si>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</si>
  <si>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</si>
  <si>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</si>
  <si>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</si>
  <si>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</si>
  <si>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</si>
  <si>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</si>
  <si>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</si>
  <si>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</si>
  <si>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</si>
  <si>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</si>
  <si>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</si>
  <si>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</si>
  <si>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</si>
  <si>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</si>
  <si>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</si>
  <si>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</si>
  <si>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</si>
  <si>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</si>
  <si>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</si>
  <si>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</si>
  <si>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</si>
  <si>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</si>
  <si>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</si>
  <si>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</si>
  <si>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</si>
  <si>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</si>
  <si>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</si>
  <si>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</si>
  <si>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</si>
  <si>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</si>
  <si>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</si>
  <si>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</si>
  <si>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</si>
  <si>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</si>
  <si>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</si>
  <si>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</si>
  <si>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</si>
  <si>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</si>
  <si>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</si>
  <si>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</si>
  <si>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</si>
  <si>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</si>
  <si>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</si>
  <si>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</si>
  <si>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</si>
  <si>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</si>
  <si>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</si>
  <si>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</si>
  <si>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</si>
  <si>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</si>
  <si>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</si>
  <si>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</si>
  <si>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</si>
  <si>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</si>
  <si>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</si>
  <si>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</si>
  <si>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</si>
  <si>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</si>
  <si>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</si>
  <si>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</si>
  <si>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</si>
  <si>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</si>
  <si>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</si>
  <si>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</si>
  <si>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</si>
  <si>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</si>
  <si>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</si>
  <si>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</si>
  <si>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</si>
  <si>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</si>
  <si>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</si>
  <si>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</si>
  <si>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</si>
  <si>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</si>
  <si>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</si>
  <si>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</si>
  <si>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</si>
  <si>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</si>
  <si>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</si>
  <si>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</si>
  <si>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</si>
  <si>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</si>
  <si>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</si>
  <si>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</si>
  <si>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</si>
  <si>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</si>
  <si>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</si>
  <si>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</si>
  <si>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</si>
  <si>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</si>
  <si>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</si>
  <si>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</si>
  <si>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</si>
  <si>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</si>
  <si>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</si>
  <si>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</si>
  <si>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</si>
  <si>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</si>
  <si>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</si>
  <si>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</si>
  <si>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</si>
  <si>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</si>
  <si>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</si>
  <si>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</si>
  <si>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</si>
  <si>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</si>
  <si>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</si>
  <si>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</si>
  <si>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</si>
  <si>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</si>
  <si>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</si>
  <si>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</si>
  <si>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</si>
  <si>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</si>
  <si>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</si>
  <si>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</si>
  <si>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</si>
  <si>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</si>
  <si>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</si>
  <si>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</si>
  <si>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</si>
  <si>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</si>
  <si>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</si>
  <si>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</si>
  <si>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</si>
  <si>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</si>
  <si>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</si>
  <si>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</si>
  <si>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</si>
  <si>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</si>
  <si>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</si>
  <si>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</si>
  <si>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</si>
  <si>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</si>
  <si>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</si>
  <si>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</si>
  <si>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</si>
  <si>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</si>
  <si>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</si>
  <si>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</si>
  <si>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</si>
  <si>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</si>
  <si>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</si>
  <si>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</si>
  <si>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</si>
  <si>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</si>
  <si>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</si>
  <si>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</si>
  <si>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</si>
  <si>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</si>
  <si>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</si>
  <si>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</si>
  <si>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</si>
  <si>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</si>
  <si>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</si>
  <si>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</si>
  <si>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</si>
  <si>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</si>
  <si>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</si>
  <si>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</si>
  <si>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</si>
  <si>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</si>
  <si>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</si>
  <si>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</si>
  <si>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</si>
  <si>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</si>
  <si>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</si>
  <si>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</si>
  <si>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</si>
  <si>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</si>
  <si>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</si>
  <si>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</si>
  <si>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</si>
  <si>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</si>
  <si>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</si>
  <si>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</si>
  <si>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</si>
  <si>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</si>
  <si>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</si>
  <si>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</si>
  <si>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</si>
  <si>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</si>
  <si>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</si>
  <si>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</si>
  <si>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</si>
  <si>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</si>
  <si>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</si>
  <si>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</si>
  <si>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</si>
  <si>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</si>
  <si>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</si>
  <si>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</si>
  <si>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</si>
  <si>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</si>
  <si>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</si>
  <si>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</si>
  <si>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</si>
  <si>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</si>
  <si>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</si>
  <si>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</si>
  <si>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</si>
  <si>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</si>
  <si>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</si>
  <si>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</si>
  <si>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</si>
  <si>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</si>
  <si>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</si>
  <si>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</si>
  <si>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</si>
  <si>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</si>
  <si>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</si>
  <si>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</si>
  <si>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</si>
  <si>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</si>
  <si>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</si>
  <si>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</si>
  <si>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</si>
  <si>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</si>
  <si>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</si>
  <si>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</si>
  <si>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</si>
  <si>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</si>
  <si>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</si>
  <si>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</si>
  <si>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</si>
  <si>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</si>
  <si>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</si>
  <si>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</si>
  <si>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</si>
  <si>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</si>
  <si>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</si>
  <si>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</si>
  <si>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</si>
  <si>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</si>
  <si>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</si>
  <si>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</si>
  <si>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</si>
  <si>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</si>
  <si>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</si>
  <si>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</si>
  <si>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</si>
  <si>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</si>
  <si>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</si>
  <si>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</si>
  <si>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</si>
  <si>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</si>
  <si>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</si>
  <si>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</si>
  <si>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</si>
  <si>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</si>
  <si>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</si>
  <si>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</si>
  <si>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</si>
  <si>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</si>
  <si>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</si>
  <si>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</si>
  <si>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</si>
  <si>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</si>
  <si>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</si>
  <si>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</si>
  <si>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</si>
  <si>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</si>
  <si>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</si>
  <si>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</si>
  <si>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</si>
  <si>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</si>
  <si>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</si>
  <si>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</si>
  <si>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</si>
  <si>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</si>
  <si>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</si>
  <si>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</si>
  <si>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</si>
  <si>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</si>
  <si>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</si>
  <si>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</si>
  <si>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</si>
  <si>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</si>
  <si>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</si>
  <si>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</si>
  <si>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</si>
  <si>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</si>
  <si>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</si>
  <si>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</si>
  <si>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</si>
  <si>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</si>
  <si>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</si>
  <si>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</si>
  <si>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</si>
  <si>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</si>
  <si>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</si>
  <si>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</si>
  <si>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</si>
  <si>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</si>
  <si>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</si>
  <si>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</si>
  <si>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</si>
  <si>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</si>
  <si>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</si>
  <si>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</si>
  <si>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</si>
  <si>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</si>
  <si>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</si>
  <si>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</si>
  <si>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</si>
  <si>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</si>
  <si>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</si>
  <si>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</si>
  <si>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</si>
  <si>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</si>
  <si>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</si>
  <si>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</si>
  <si>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</si>
  <si>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</si>
  <si>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</si>
  <si>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</si>
  <si>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</si>
  <si>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</si>
  <si>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</si>
  <si>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</si>
  <si>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</si>
  <si>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</si>
  <si>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</si>
  <si>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</si>
  <si>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</si>
  <si>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</si>
  <si>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</si>
  <si>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</si>
  <si>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</si>
  <si>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</si>
  <si>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</si>
  <si>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</si>
  <si>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</si>
  <si>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</si>
  <si>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</si>
  <si>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</si>
  <si>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</si>
  <si>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</si>
  <si>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</si>
  <si>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</si>
  <si>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</si>
  <si>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</si>
  <si>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</si>
  <si>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</si>
  <si>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</si>
  <si>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</si>
  <si>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</si>
  <si>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</si>
  <si>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</si>
  <si>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</si>
  <si>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</si>
  <si>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</si>
  <si>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</si>
  <si>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</si>
  <si>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</si>
  <si>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</si>
  <si>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</si>
  <si>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</si>
  <si>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</si>
  <si>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</si>
  <si>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</si>
  <si>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</si>
  <si>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</si>
  <si>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</si>
  <si>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</si>
  <si>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</si>
  <si>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</si>
  <si>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</si>
  <si>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</si>
  <si>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</si>
  <si>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</si>
  <si>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</si>
  <si>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</si>
  <si>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</si>
  <si>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</si>
  <si>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</si>
  <si>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</si>
  <si>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</si>
  <si>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</si>
  <si>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</si>
  <si>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</si>
  <si>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</si>
  <si>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</si>
  <si>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</si>
  <si>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</si>
  <si>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</si>
  <si>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</si>
  <si>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</si>
  <si>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</si>
  <si>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</si>
  <si>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</si>
  <si>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</si>
  <si>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</si>
  <si>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</si>
  <si>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</si>
  <si>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</si>
  <si>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</si>
  <si>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</si>
  <si>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</si>
  <si>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</si>
  <si>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</si>
  <si>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</si>
  <si>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</si>
  <si>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</si>
  <si>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</si>
  <si>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</si>
  <si>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</si>
  <si>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</si>
  <si>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</si>
  <si>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</si>
  <si>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</si>
  <si>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</si>
  <si>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</si>
  <si>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</si>
  <si>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</si>
  <si>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</si>
  <si>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</si>
  <si>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</si>
  <si>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</si>
  <si>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</si>
  <si>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</si>
  <si>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</si>
  <si>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</si>
  <si>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</si>
  <si>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</si>
  <si>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</si>
  <si>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</si>
  <si>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</si>
  <si>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</si>
  <si>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</si>
  <si>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</si>
  <si>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</si>
  <si>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</si>
  <si>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</si>
  <si>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</si>
  <si>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</si>
  <si>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</si>
  <si>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</si>
  <si>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</si>
  <si>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</si>
  <si>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</si>
  <si>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</si>
  <si>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</si>
  <si>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</si>
  <si>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</si>
  <si>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</si>
  <si>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</si>
  <si>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</si>
  <si>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</si>
  <si>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</si>
  <si>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</si>
  <si>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</si>
  <si>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</si>
  <si>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</si>
  <si>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</si>
  <si>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</si>
  <si>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</si>
  <si>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</si>
  <si>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</si>
  <si>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</si>
  <si>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</si>
  <si>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</si>
  <si>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</si>
  <si>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</si>
  <si>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</si>
  <si>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</si>
  <si>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</si>
  <si>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</si>
  <si>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</si>
  <si>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</si>
  <si>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</si>
  <si>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</si>
  <si>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</si>
  <si>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</si>
  <si>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</si>
  <si>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</si>
  <si>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</si>
  <si>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</si>
  <si>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</si>
  <si>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</si>
  <si>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</si>
  <si>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</si>
  <si>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</si>
  <si>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</si>
  <si>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</si>
  <si>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</si>
  <si>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</si>
  <si>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</si>
  <si>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</si>
  <si>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</si>
  <si>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</si>
  <si>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</si>
  <si>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</si>
  <si>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</si>
  <si>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</si>
  <si>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</si>
  <si>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</si>
  <si>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</si>
  <si>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</si>
  <si>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</si>
  <si>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</si>
  <si>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</si>
  <si>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</si>
  <si>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</si>
  <si>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</si>
  <si>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</si>
  <si>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</si>
  <si>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</si>
  <si>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</si>
  <si>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</si>
  <si>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</si>
  <si>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</si>
  <si>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</si>
  <si>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</si>
  <si>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</si>
  <si>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</si>
  <si>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</si>
  <si>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</si>
  <si>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</si>
  <si>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</si>
  <si>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</si>
  <si>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</si>
  <si>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</si>
  <si>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</si>
  <si>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</si>
  <si>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</si>
  <si>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</si>
  <si>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</si>
  <si>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</si>
  <si>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</si>
  <si>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</si>
  <si>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</si>
  <si>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</si>
  <si>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</si>
  <si>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</si>
  <si>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</si>
  <si>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</si>
  <si>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</si>
  <si>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</si>
  <si>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</si>
  <si>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</si>
  <si>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</si>
  <si>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</si>
  <si>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</si>
  <si>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</si>
  <si>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</si>
  <si>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</si>
  <si>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</si>
  <si>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</si>
  <si>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</si>
  <si>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</si>
  <si>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</si>
  <si>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</si>
  <si>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</si>
  <si>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</si>
  <si>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</si>
  <si>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</si>
  <si>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</si>
  <si>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</si>
  <si>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</si>
  <si>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</si>
  <si>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</si>
  <si>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</si>
  <si>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</si>
  <si>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</si>
  <si>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</si>
  <si>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</si>
  <si>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</si>
  <si>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</si>
  <si>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</si>
  <si>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</si>
  <si>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</si>
  <si>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</si>
  <si>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</si>
  <si>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</si>
  <si>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</si>
  <si>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</si>
  <si>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</si>
  <si>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</si>
  <si>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</si>
  <si>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</si>
  <si>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</si>
  <si>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</si>
  <si>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</si>
  <si>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</si>
  <si>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</si>
  <si>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</si>
  <si>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</si>
  <si>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</si>
  <si>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</si>
  <si>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</si>
  <si>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</si>
  <si>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</si>
  <si>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</si>
  <si>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</si>
  <si>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</si>
  <si>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</si>
  <si>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</si>
  <si>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</si>
  <si>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</si>
  <si>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</si>
  <si>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</si>
  <si>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</si>
  <si>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</si>
  <si>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</si>
  <si>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</si>
  <si>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</si>
  <si>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</si>
  <si>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</si>
  <si>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</si>
  <si>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</si>
  <si>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</si>
  <si>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</si>
  <si>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</si>
  <si>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</si>
  <si>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</si>
  <si>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</si>
  <si>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</si>
  <si>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</si>
  <si>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</si>
  <si>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</si>
  <si>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</si>
  <si>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</si>
  <si>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</si>
  <si>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</si>
  <si>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</si>
  <si>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</si>
  <si>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</si>
  <si>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</si>
  <si>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</si>
  <si>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</si>
  <si>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</si>
  <si>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</si>
  <si>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</si>
  <si>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</si>
  <si>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</si>
  <si>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</si>
  <si>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</si>
  <si>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</si>
  <si>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</si>
  <si>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</si>
  <si>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</si>
  <si>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</si>
  <si>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</si>
  <si>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</si>
  <si>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</si>
  <si>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</si>
  <si>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</si>
  <si>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</si>
  <si>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</si>
  <si>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</si>
  <si>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</si>
  <si>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</si>
  <si>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</si>
  <si>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</si>
  <si>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</si>
  <si>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</si>
  <si>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</si>
  <si>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</si>
  <si>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</si>
  <si>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</si>
  <si>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</si>
  <si>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</si>
  <si>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</si>
  <si>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</si>
  <si>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</si>
  <si>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</si>
  <si>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</si>
  <si>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</si>
  <si>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</si>
  <si>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</si>
  <si>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</si>
  <si>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</si>
  <si>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</si>
  <si>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</si>
  <si>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</si>
  <si>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</si>
  <si>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</si>
  <si>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</si>
  <si>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</si>
  <si>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</si>
  <si>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</si>
  <si>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</si>
  <si>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</si>
  <si>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</si>
  <si>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</si>
  <si>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</si>
  <si>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</si>
  <si>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</si>
  <si>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</si>
  <si>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</si>
  <si>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</si>
  <si>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</si>
  <si>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</si>
  <si>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</si>
  <si>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</si>
  <si>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</si>
  <si>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</si>
  <si>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</si>
  <si>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</si>
  <si>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</si>
  <si>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</si>
  <si>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</si>
  <si>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</si>
  <si>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</si>
  <si>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</si>
  <si>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</si>
  <si>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</si>
  <si>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</si>
  <si>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</si>
  <si>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</si>
  <si>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</si>
  <si>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</si>
  <si>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</si>
  <si>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</si>
  <si>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</si>
  <si>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</si>
  <si>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</si>
  <si>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</si>
  <si>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</si>
  <si>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</si>
  <si>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</si>
  <si>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</si>
  <si>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</si>
  <si>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</si>
  <si>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</si>
  <si>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</si>
  <si>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</si>
  <si>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</si>
  <si>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</si>
  <si>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</si>
  <si>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</si>
  <si>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</si>
  <si>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</si>
  <si>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</si>
  <si>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</si>
  <si>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</si>
  <si>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</si>
  <si>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</si>
  <si>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</si>
  <si>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</si>
  <si>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</si>
  <si>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</si>
  <si>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</si>
  <si>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</si>
  <si>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</si>
  <si>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</si>
  <si>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</si>
  <si>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</si>
  <si>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</si>
  <si>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</si>
  <si>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</si>
  <si>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</si>
  <si>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</si>
  <si>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</si>
  <si>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</si>
  <si>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</si>
  <si>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</si>
  <si>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</si>
  <si>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</si>
  <si>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</si>
  <si>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</si>
  <si>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</si>
  <si>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</si>
  <si>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</si>
  <si>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</si>
  <si>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</si>
  <si>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</si>
  <si>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</si>
  <si>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</si>
  <si>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</si>
  <si>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</si>
  <si>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</si>
  <si>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</si>
  <si>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</si>
  <si>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</si>
  <si>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</si>
  <si>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</si>
  <si>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</si>
  <si>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</si>
  <si>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</si>
  <si>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</si>
  <si>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</si>
  <si>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</si>
  <si>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</si>
  <si>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</si>
  <si>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</si>
  <si>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</si>
  <si>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</si>
  <si>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</si>
  <si>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</si>
  <si>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</si>
  <si>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</si>
  <si>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</si>
  <si>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</si>
  <si>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</si>
  <si>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</si>
  <si>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</si>
  <si>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</si>
  <si>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</si>
  <si>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</si>
  <si>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</si>
  <si>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</si>
  <si>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</si>
  <si>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</si>
  <si>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</si>
  <si>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</si>
  <si>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</si>
  <si>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</si>
  <si>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</si>
  <si>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</si>
  <si>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</si>
  <si>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</si>
  <si>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</si>
  <si>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</si>
  <si>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</si>
  <si>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</si>
  <si>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</si>
  <si>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</si>
  <si>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</si>
  <si>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</si>
  <si>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</si>
  <si>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</si>
  <si>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</si>
  <si>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</si>
  <si>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</si>
  <si>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</si>
  <si>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</si>
  <si>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</si>
  <si>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</si>
  <si>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</si>
  <si>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</si>
  <si>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</si>
  <si>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</si>
  <si>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</si>
  <si>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</si>
  <si>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</si>
  <si>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</si>
  <si>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</si>
  <si>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</si>
  <si>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</si>
  <si>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</si>
  <si>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</si>
  <si>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</si>
  <si>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</si>
  <si>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</si>
  <si>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</si>
  <si>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</si>
  <si>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</si>
  <si>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</si>
  <si>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</si>
  <si>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</si>
  <si>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</si>
  <si>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</si>
  <si>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</si>
  <si>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</si>
  <si>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</si>
  <si>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</si>
  <si>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</si>
  <si>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</si>
  <si>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</si>
  <si>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</si>
  <si>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</si>
  <si>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</si>
  <si>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</si>
  <si>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</si>
  <si>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</si>
  <si>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</si>
  <si>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</si>
  <si>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</si>
  <si>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</si>
  <si>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</si>
  <si>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</si>
  <si>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</si>
  <si>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</si>
  <si>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</si>
  <si>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</si>
  <si>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</si>
  <si>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</si>
  <si>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</si>
  <si>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</si>
  <si>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</si>
  <si>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</si>
  <si>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</si>
  <si>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</si>
  <si>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</si>
  <si>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</si>
  <si>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</si>
  <si>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</si>
  <si>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</si>
  <si>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</si>
  <si>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</si>
  <si>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</si>
  <si>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</si>
  <si>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</si>
  <si>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</si>
  <si>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</si>
  <si>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</si>
  <si>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</si>
  <si>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</si>
  <si>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</si>
  <si>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</si>
  <si>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</si>
  <si>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</si>
  <si>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</si>
  <si>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</si>
  <si>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</si>
  <si>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</si>
  <si>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</si>
  <si>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</si>
  <si>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</si>
  <si>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</si>
  <si>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</si>
  <si>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</si>
  <si>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</si>
  <si>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</si>
  <si>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</si>
  <si>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</si>
  <si>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</si>
  <si>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</si>
  <si>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</si>
  <si>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</si>
  <si>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</si>
  <si>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</si>
  <si>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</si>
  <si>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</si>
  <si>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</si>
  <si>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</si>
  <si>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</si>
  <si>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</si>
  <si>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</si>
  <si>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</si>
  <si>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</si>
  <si>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</si>
  <si>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</si>
  <si>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</si>
  <si>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</si>
  <si>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</si>
  <si>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</si>
  <si>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</si>
  <si>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</si>
  <si>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</si>
  <si>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</si>
  <si>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</si>
  <si>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</si>
  <si>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</si>
  <si>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</si>
  <si>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</si>
  <si>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</si>
  <si>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</si>
  <si>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</si>
  <si>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</si>
  <si>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</si>
  <si>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</si>
  <si>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</si>
  <si>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</si>
  <si>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</si>
  <si>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</si>
  <si>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</si>
  <si>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</si>
  <si>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</si>
  <si>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</si>
  <si>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</si>
  <si>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</si>
  <si>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</si>
  <si>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</si>
  <si>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</si>
  <si>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</si>
  <si>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</si>
  <si>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</si>
  <si>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</si>
  <si>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</si>
  <si>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</si>
  <si>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</si>
  <si>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</si>
  <si>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</si>
  <si>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</si>
  <si>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</si>
  <si>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</si>
  <si>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</si>
  <si>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</si>
  <si>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</si>
  <si>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</si>
  <si>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</si>
  <si>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</si>
  <si>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</si>
  <si>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</si>
  <si>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</si>
  <si>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</si>
  <si>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</si>
  <si>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</si>
  <si>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</si>
  <si>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</si>
  <si>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</si>
  <si>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</si>
  <si>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</si>
  <si>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</si>
  <si>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</si>
  <si>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</si>
  <si>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</si>
  <si>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</si>
  <si>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</si>
  <si>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</si>
  <si>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</si>
  <si>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</si>
  <si>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</si>
  <si>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</si>
  <si>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</si>
  <si>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</si>
  <si>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</si>
  <si>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</si>
  <si>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</si>
  <si>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</si>
  <si>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</si>
  <si>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</si>
  <si>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</si>
  <si>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</si>
  <si>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</si>
  <si>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</si>
  <si>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</si>
  <si>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</si>
  <si>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</si>
  <si>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</si>
  <si>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</si>
  <si>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</si>
  <si>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</si>
  <si>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</si>
  <si>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</si>
  <si>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</si>
  <si>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</si>
  <si>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</si>
  <si>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</si>
  <si>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</si>
  <si>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</si>
  <si>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</si>
  <si>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</si>
  <si>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</si>
  <si>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</si>
  <si>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</si>
  <si>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</si>
  <si>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</si>
  <si>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</si>
  <si>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</si>
  <si>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</si>
  <si>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</si>
  <si>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</si>
  <si>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</si>
  <si>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</si>
  <si>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</si>
  <si>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</si>
  <si>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</si>
  <si>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</si>
  <si>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</si>
  <si>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</si>
  <si>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</si>
  <si>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</si>
  <si>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</si>
  <si>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</si>
  <si>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</si>
  <si>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</si>
  <si>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</si>
  <si>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</si>
  <si>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</si>
  <si>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</si>
  <si>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</si>
  <si>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</si>
  <si>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</si>
  <si>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</si>
  <si>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</si>
  <si>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</si>
  <si>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</si>
  <si>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</si>
  <si>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</si>
  <si>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</si>
  <si>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</si>
  <si>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</si>
  <si>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</si>
  <si>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</si>
  <si>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</si>
  <si>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</si>
  <si>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</si>
  <si>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</si>
  <si>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</si>
  <si>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</si>
  <si>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</si>
  <si>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</si>
  <si>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</si>
  <si>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</si>
  <si>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</si>
  <si>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</si>
  <si>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</si>
  <si>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</si>
  <si>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</si>
  <si>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</si>
  <si>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</si>
  <si>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</si>
  <si>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</si>
  <si>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</si>
  <si>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</si>
  <si>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</si>
  <si>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</si>
  <si>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</si>
  <si>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</si>
  <si>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</si>
  <si>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</si>
  <si>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</si>
  <si>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</si>
  <si>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</si>
  <si>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</si>
  <si>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</si>
  <si>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</si>
  <si>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</si>
  <si>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</si>
  <si>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</si>
  <si>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</si>
  <si>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</si>
  <si>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</si>
  <si>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</si>
  <si>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</si>
  <si>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</si>
  <si>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</si>
  <si>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</si>
  <si>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</si>
  <si>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</si>
  <si>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</si>
  <si>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</si>
  <si>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</si>
  <si>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</si>
  <si>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</si>
  <si>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</si>
  <si>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</si>
  <si>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</si>
  <si>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</si>
  <si>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</si>
  <si>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</si>
  <si>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</si>
  <si>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</si>
  <si>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</si>
  <si>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</si>
  <si>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</si>
  <si>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</si>
  <si>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</si>
  <si>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</si>
  <si>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</si>
  <si>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</si>
  <si>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</si>
  <si>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</si>
  <si>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</si>
  <si>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</si>
  <si>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</si>
  <si>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</si>
  <si>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</si>
  <si>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</si>
  <si>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</si>
  <si>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</si>
  <si>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</si>
  <si>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</si>
  <si>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</si>
  <si>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</si>
  <si>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</si>
  <si>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</si>
  <si>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</si>
  <si>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</si>
  <si>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</si>
  <si>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</si>
  <si>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</si>
  <si>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</si>
  <si>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</si>
  <si>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</si>
  <si>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</si>
  <si>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</si>
  <si>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</si>
  <si>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</si>
  <si>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</si>
  <si>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</si>
  <si>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</si>
  <si>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</si>
  <si>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</si>
  <si>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</si>
  <si>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</si>
  <si>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</si>
  <si>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</si>
  <si>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</si>
  <si>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</si>
  <si>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</si>
  <si>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</si>
  <si>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</si>
  <si>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</si>
  <si>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</si>
  <si>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</si>
  <si>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</si>
  <si>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</si>
  <si>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</si>
  <si>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</si>
  <si>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</si>
  <si>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</si>
  <si>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</si>
  <si>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</si>
  <si>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</si>
  <si>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</si>
  <si>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</si>
  <si>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</si>
  <si>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</si>
  <si>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</si>
  <si>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</si>
  <si>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</si>
  <si>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</si>
  <si>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</si>
  <si>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</si>
  <si>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</si>
  <si>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</si>
  <si>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</si>
  <si>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</si>
  <si>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</si>
  <si>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</si>
  <si>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</si>
  <si>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</si>
  <si>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</si>
  <si>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</si>
  <si>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</si>
  <si>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</si>
  <si>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</si>
  <si>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</si>
  <si>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</si>
  <si>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</si>
  <si>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</si>
  <si>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</si>
  <si>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</si>
  <si>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</si>
  <si>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</si>
  <si>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</si>
  <si>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</si>
  <si>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</si>
  <si>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</si>
  <si>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</si>
  <si>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</si>
  <si>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</si>
  <si>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</si>
  <si>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</si>
  <si>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</si>
  <si>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</si>
  <si>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</si>
  <si>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</si>
  <si>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</si>
  <si>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</si>
  <si>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</si>
  <si>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</si>
  <si>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</si>
  <si>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</si>
  <si>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</si>
  <si>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</si>
  <si>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</si>
  <si>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</si>
  <si>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</si>
  <si>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</si>
  <si>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</si>
  <si>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</si>
  <si>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</si>
  <si>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</si>
  <si>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</si>
  <si>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</si>
  <si>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</si>
  <si>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</si>
  <si>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</si>
  <si>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</si>
  <si>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</si>
  <si>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</si>
  <si>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</si>
  <si>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</si>
  <si>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</si>
  <si>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</si>
  <si>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</si>
  <si>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</si>
  <si>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</si>
  <si>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</si>
  <si>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</si>
  <si>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</si>
  <si>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</si>
  <si>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</si>
  <si>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</si>
  <si>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</si>
  <si>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</si>
  <si>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</si>
  <si>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</si>
  <si>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</si>
  <si>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</si>
  <si>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</si>
  <si>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</si>
  <si>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</si>
  <si>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</si>
  <si>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</si>
  <si>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</si>
  <si>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</si>
  <si>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</si>
  <si>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</si>
  <si>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</si>
  <si>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</si>
  <si>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</si>
  <si>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</si>
  <si>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</si>
  <si>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</si>
  <si>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</si>
  <si>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</si>
  <si>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</si>
  <si>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</si>
  <si>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</si>
  <si>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</si>
  <si>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</si>
  <si>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</si>
  <si>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</si>
  <si>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</si>
  <si>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</si>
  <si>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</si>
  <si>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</si>
  <si>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</si>
  <si>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</si>
  <si>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</si>
  <si>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</si>
  <si>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</si>
  <si>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</si>
  <si>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</si>
  <si>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</si>
  <si>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</si>
  <si>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</si>
  <si>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</si>
  <si>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</si>
  <si>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</si>
  <si>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</si>
  <si>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</si>
  <si>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</si>
  <si>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</si>
  <si>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</si>
  <si>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</si>
  <si>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</si>
  <si>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</si>
  <si>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</si>
  <si>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</si>
  <si>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</si>
  <si>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</si>
  <si>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</si>
  <si>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</si>
  <si>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</si>
  <si>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</si>
  <si>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</si>
  <si>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</si>
  <si>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</si>
  <si>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</si>
  <si>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</si>
  <si>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</si>
  <si>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</si>
  <si>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</si>
  <si>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</si>
  <si>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</si>
  <si>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</si>
  <si>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</si>
  <si>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</si>
  <si>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</si>
  <si>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</si>
  <si>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</si>
  <si>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</si>
  <si>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</si>
  <si>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</si>
  <si>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</si>
  <si>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</si>
  <si>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</si>
  <si>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</si>
  <si>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</si>
  <si>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</si>
  <si>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</si>
  <si>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</si>
  <si>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</si>
  <si>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</si>
  <si>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</si>
  <si>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</si>
  <si>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</si>
  <si>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</si>
  <si>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</si>
  <si>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</si>
  <si>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</si>
  <si>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</si>
  <si>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</si>
  <si>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</si>
  <si>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</si>
  <si>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</si>
  <si>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</si>
  <si>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</si>
  <si>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</si>
  <si>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</si>
  <si>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</si>
  <si>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</si>
  <si>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</si>
  <si>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</si>
  <si>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</si>
  <si>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</si>
  <si>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</si>
  <si>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</si>
  <si>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</si>
  <si>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</si>
  <si>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</si>
  <si>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</si>
  <si>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</si>
  <si>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</si>
  <si>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</si>
  <si>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</si>
  <si>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</si>
  <si>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</si>
  <si>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</si>
  <si>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</si>
  <si>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</si>
  <si>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</si>
  <si>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</si>
  <si>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</si>
  <si>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</si>
  <si>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</si>
  <si>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</si>
  <si>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</si>
  <si>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</si>
  <si>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</si>
  <si>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</si>
  <si>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</si>
  <si>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</si>
  <si>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</si>
  <si>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</si>
  <si>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</si>
  <si>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</si>
  <si>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</si>
  <si>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</si>
  <si>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</si>
  <si>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</si>
  <si>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</si>
  <si>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</si>
  <si>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</si>
  <si>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</si>
  <si>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</si>
  <si>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</si>
  <si>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</si>
  <si>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</si>
  <si>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</si>
  <si>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</si>
  <si>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</si>
  <si>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</si>
  <si>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</si>
  <si>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</si>
  <si>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</si>
  <si>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</si>
  <si>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</si>
  <si>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</si>
  <si>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</si>
  <si>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</si>
  <si>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</si>
  <si>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</si>
  <si>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</si>
  <si>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</si>
  <si>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</si>
  <si>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</si>
  <si>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</si>
  <si>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</si>
  <si>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</si>
  <si>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</si>
  <si>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</si>
  <si>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</si>
  <si>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</si>
  <si>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</si>
  <si>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</si>
  <si>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</si>
  <si>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</si>
  <si>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</si>
  <si>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</si>
  <si>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</si>
  <si>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</si>
  <si>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</si>
  <si>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</si>
  <si>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</si>
  <si>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</si>
  <si>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</si>
  <si>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</si>
  <si>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</si>
  <si>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</si>
  <si>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</si>
  <si>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</si>
  <si>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</si>
  <si>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</si>
  <si>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</si>
  <si>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</si>
  <si>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</si>
  <si>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</si>
  <si>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</si>
  <si>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</si>
  <si>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</si>
  <si>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</si>
  <si>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</si>
  <si>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</si>
  <si>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</si>
  <si>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</si>
  <si>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</si>
  <si>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</si>
  <si>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</si>
  <si>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</si>
  <si>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</si>
  <si>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</si>
  <si>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</si>
  <si>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</si>
  <si>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</si>
  <si>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</si>
  <si>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</si>
  <si>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</si>
  <si>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</si>
  <si>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</si>
  <si>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</si>
  <si>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</si>
  <si>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</si>
  <si>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</si>
  <si>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</si>
  <si>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</si>
  <si>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</si>
  <si>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</si>
  <si>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</si>
  <si>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</si>
  <si>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</si>
  <si>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</si>
  <si>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</si>
  <si>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</si>
  <si>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</si>
  <si>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</si>
  <si>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</si>
  <si>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</si>
  <si>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</si>
  <si>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</si>
  <si>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</si>
  <si>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</si>
  <si>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</si>
  <si>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</si>
  <si>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</si>
  <si>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</si>
  <si>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</si>
  <si>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</si>
  <si>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</si>
  <si>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</si>
  <si>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</si>
  <si>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</si>
  <si>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</si>
  <si>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</si>
  <si>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</si>
  <si>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</si>
  <si>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</si>
  <si>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</si>
  <si>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</si>
  <si>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</si>
  <si>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</si>
  <si>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</si>
  <si>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</si>
  <si>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</si>
  <si>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</si>
  <si>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</si>
  <si>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</si>
  <si>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</si>
  <si>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</si>
  <si>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</si>
  <si>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</si>
  <si>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</si>
  <si>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</si>
  <si>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</si>
  <si>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</si>
  <si>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</si>
  <si>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</si>
  <si>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</si>
  <si>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</si>
  <si>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</si>
  <si>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</si>
  <si>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</si>
  <si>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</si>
  <si>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</si>
  <si>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</si>
  <si>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</si>
  <si>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</si>
  <si>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</si>
  <si>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</si>
  <si>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</si>
  <si>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</si>
  <si>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</si>
  <si>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</si>
  <si>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</si>
  <si>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</si>
  <si>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</si>
  <si>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</si>
  <si>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</si>
  <si>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</si>
  <si>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</si>
  <si>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</si>
  <si>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</si>
  <si>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</si>
  <si>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</si>
  <si>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</si>
  <si>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</si>
  <si>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</si>
  <si>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</si>
  <si>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</si>
  <si>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</si>
  <si>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</si>
  <si>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</si>
  <si>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</si>
  <si>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</si>
  <si>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</si>
  <si>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</si>
  <si>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</si>
  <si>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</si>
  <si>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</si>
  <si>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</si>
  <si>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</si>
  <si>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</si>
  <si>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</si>
  <si>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</si>
  <si>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</si>
  <si>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</si>
  <si>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</si>
  <si>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</si>
  <si>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</si>
  <si>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</si>
  <si>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</si>
  <si>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</si>
  <si>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</si>
  <si>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</si>
  <si>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</si>
  <si>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</si>
  <si>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</si>
  <si>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</si>
  <si>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</si>
  <si>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</si>
  <si>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</si>
  <si>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</si>
  <si>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</si>
  <si>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</si>
  <si>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</si>
  <si>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</si>
  <si>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</si>
  <si>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</si>
  <si>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</si>
  <si>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</si>
  <si>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</si>
  <si>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</si>
  <si>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</si>
  <si>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</si>
  <si>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</si>
  <si>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</si>
  <si>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</si>
  <si>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</si>
  <si>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</si>
  <si>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</si>
  <si>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</si>
  <si>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</si>
  <si>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</si>
  <si>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</si>
  <si>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</si>
  <si>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</si>
  <si>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</si>
  <si>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</si>
  <si>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</si>
  <si>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</si>
  <si>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</si>
  <si>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</si>
  <si>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</si>
  <si>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</si>
  <si>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</si>
  <si>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</si>
  <si>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</si>
  <si>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</si>
  <si>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</si>
  <si>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</si>
  <si>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</si>
  <si>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</si>
  <si>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</si>
  <si>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</si>
  <si>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</si>
  <si>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</si>
  <si>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</si>
  <si>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</si>
  <si>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</si>
  <si>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</si>
  <si>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</si>
  <si>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</si>
  <si>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</si>
  <si>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</si>
  <si>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</si>
  <si>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</si>
  <si>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</si>
  <si>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</si>
  <si>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</si>
  <si>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</si>
  <si>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</si>
  <si>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</si>
  <si>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</si>
  <si>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</si>
  <si>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</si>
  <si>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</si>
  <si>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</si>
  <si>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</si>
  <si>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</si>
  <si>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</si>
  <si>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</si>
  <si>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</si>
  <si>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</si>
  <si>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</si>
  <si>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</si>
  <si>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</si>
  <si>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</si>
  <si>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</si>
  <si>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</si>
  <si>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</si>
  <si>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</si>
  <si>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</si>
  <si>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</si>
  <si>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</si>
  <si>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</si>
  <si>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</si>
  <si>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</si>
  <si>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</si>
  <si>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</si>
  <si>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</si>
  <si>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</si>
  <si>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</si>
  <si>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</si>
  <si>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</si>
  <si>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</si>
  <si>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</si>
  <si>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</si>
  <si>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</si>
  <si>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</si>
  <si>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</si>
  <si>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</si>
  <si>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</si>
  <si>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</si>
  <si>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</si>
  <si>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</si>
  <si>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</si>
  <si>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</si>
  <si>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</si>
  <si>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</si>
  <si>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</si>
  <si>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</si>
  <si>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</si>
  <si>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</si>
  <si>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</si>
  <si>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</si>
  <si>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</si>
  <si>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</si>
  <si>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</si>
  <si>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</si>
  <si>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</si>
  <si>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</si>
  <si>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</si>
  <si>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</si>
  <si>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</si>
  <si>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</si>
  <si>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</si>
  <si>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</si>
  <si>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</si>
  <si>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</si>
  <si>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</si>
  <si>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</si>
  <si>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</si>
  <si>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</si>
  <si>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</si>
  <si>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</si>
  <si>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</si>
  <si>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</si>
  <si>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</si>
  <si>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</si>
  <si>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</si>
  <si>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</si>
  <si>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</si>
  <si>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</si>
  <si>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</si>
  <si>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</si>
  <si>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</si>
  <si>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</si>
  <si>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</si>
  <si>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</si>
  <si>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</si>
  <si>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</si>
  <si>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</si>
  <si>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</si>
  <si>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</si>
  <si>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</si>
  <si>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</si>
  <si>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</si>
  <si>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</si>
  <si>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</si>
  <si>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</si>
  <si>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</si>
  <si>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</si>
  <si>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</si>
  <si>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</si>
  <si>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</si>
  <si>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</si>
  <si>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</si>
  <si>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</si>
  <si>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</si>
  <si>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</si>
  <si>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</si>
  <si>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</si>
  <si>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</si>
  <si>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</si>
  <si>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</si>
  <si>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</si>
  <si>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</si>
  <si>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</si>
  <si>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</si>
  <si>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</si>
  <si>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</si>
  <si>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</si>
  <si>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</si>
  <si>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</si>
  <si>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</si>
  <si>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</si>
  <si>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</si>
  <si>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</si>
  <si>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</si>
  <si>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</si>
  <si>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</si>
  <si>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</si>
  <si>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</si>
  <si>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</si>
  <si>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</si>
  <si>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</si>
  <si>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</si>
  <si>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</si>
  <si>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</si>
  <si>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</si>
  <si>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</si>
  <si>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</si>
  <si>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</si>
  <si>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</si>
  <si>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</si>
  <si>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</si>
  <si>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</si>
  <si>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</si>
  <si>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</si>
  <si>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</si>
  <si>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</si>
  <si>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</si>
  <si>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</si>
  <si>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</si>
  <si>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</si>
  <si>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</si>
  <si>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</si>
  <si>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</si>
  <si>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</si>
  <si>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</si>
  <si>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</si>
  <si>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</si>
  <si>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</si>
  <si>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</si>
  <si>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</si>
  <si>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</si>
  <si>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</si>
  <si>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</si>
  <si>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</si>
  <si>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</si>
  <si>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</si>
  <si>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</si>
  <si>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</si>
  <si>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</si>
  <si>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</si>
  <si>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</si>
  <si>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</si>
  <si>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</si>
  <si>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</si>
  <si>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</si>
  <si>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</si>
  <si>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</si>
  <si>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</si>
  <si>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</si>
  <si>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</si>
  <si>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</si>
  <si>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</si>
  <si>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</si>
  <si>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</si>
  <si>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</si>
  <si>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</si>
  <si>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</si>
  <si>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</si>
  <si>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</si>
  <si>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</si>
  <si>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</si>
  <si>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</si>
  <si>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</si>
  <si>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</si>
  <si>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</si>
  <si>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</si>
  <si>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</si>
  <si>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</si>
  <si>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</si>
  <si>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</si>
  <si>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</si>
  <si>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</si>
  <si>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</si>
  <si>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</si>
  <si>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</si>
  <si>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</si>
  <si>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</si>
  <si>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</si>
  <si>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</si>
  <si>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</si>
  <si>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</si>
  <si>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</si>
  <si>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</si>
  <si>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</si>
  <si>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</si>
  <si>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</si>
  <si>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</si>
  <si>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</si>
  <si>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</si>
  <si>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</si>
  <si>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</si>
  <si>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</si>
  <si>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</si>
  <si>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</si>
  <si>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</si>
  <si>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</si>
  <si>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</si>
  <si>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</si>
  <si>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</si>
  <si>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</si>
  <si>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</si>
  <si>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</si>
  <si>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</si>
  <si>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</si>
  <si>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</si>
  <si>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</si>
  <si>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</si>
  <si>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</si>
  <si>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</si>
  <si>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</si>
  <si>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</si>
  <si>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</si>
  <si>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</si>
  <si>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</si>
  <si>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</si>
  <si>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</si>
  <si>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</si>
  <si>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</si>
  <si>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</si>
  <si>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</si>
  <si>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</si>
  <si>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</si>
  <si>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</si>
  <si>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</si>
  <si>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</si>
  <si>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</si>
  <si>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</si>
  <si>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</si>
  <si>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</si>
  <si>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</si>
  <si>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</si>
  <si>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</si>
  <si>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</si>
  <si>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</si>
  <si>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</si>
  <si>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</si>
  <si>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</si>
  <si>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</si>
  <si>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</si>
  <si>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</si>
  <si>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</si>
  <si>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</si>
  <si>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</si>
  <si>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</si>
  <si>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</si>
  <si>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</si>
  <si>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</si>
  <si>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</si>
  <si>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</si>
  <si>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</si>
  <si>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</si>
  <si>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</si>
  <si>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</si>
  <si>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</si>
  <si>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</si>
  <si>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</si>
  <si>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</si>
  <si>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</si>
  <si>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</si>
  <si>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</si>
  <si>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</si>
  <si>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</si>
  <si>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</si>
  <si>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</si>
  <si>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</si>
  <si>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</si>
  <si>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</si>
  <si>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</si>
  <si>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</si>
  <si>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</si>
  <si>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</si>
  <si>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</si>
  <si>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</si>
  <si>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</si>
  <si>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</si>
  <si>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</si>
  <si>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</si>
  <si>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</si>
  <si>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</si>
  <si>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</si>
  <si>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</si>
  <si>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</si>
  <si>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</si>
  <si>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</si>
  <si>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</si>
  <si>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</si>
  <si>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</si>
  <si>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</si>
  <si>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</si>
  <si>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</si>
  <si>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</si>
  <si>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</si>
  <si>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</si>
  <si>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</si>
  <si>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</si>
  <si>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</si>
  <si>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</si>
  <si>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</si>
  <si>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</si>
  <si>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</si>
  <si>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</si>
  <si>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</si>
  <si>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</si>
  <si>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</si>
  <si>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</si>
  <si>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</si>
  <si>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</si>
  <si>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</si>
  <si>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</si>
  <si>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</si>
  <si>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</si>
  <si>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</si>
  <si>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</si>
  <si>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</si>
  <si>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</si>
  <si>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</si>
  <si>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</si>
  <si>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</si>
  <si>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</si>
  <si>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</si>
  <si>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</si>
  <si>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</si>
  <si>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</si>
  <si>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</si>
  <si>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</si>
  <si>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</si>
  <si>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</si>
  <si>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</si>
  <si>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</si>
  <si>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</si>
  <si>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</si>
  <si>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</si>
  <si>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</si>
  <si>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</si>
  <si>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</si>
  <si>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</si>
  <si>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</si>
  <si>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</si>
  <si>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</si>
  <si>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</si>
  <si>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</si>
  <si>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</si>
  <si>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</si>
  <si>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</si>
  <si>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</si>
  <si>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</si>
  <si>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</si>
  <si>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</si>
  <si>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</si>
  <si>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</si>
  <si>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</si>
  <si>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</si>
  <si>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</si>
  <si>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</si>
  <si>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</si>
  <si>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</si>
  <si>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</si>
  <si>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</si>
  <si>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</si>
  <si>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</si>
  <si>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</si>
  <si>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</si>
  <si>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</si>
  <si>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</si>
  <si>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</si>
  <si>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</si>
  <si>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</si>
  <si>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</si>
  <si>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</si>
  <si>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</si>
  <si>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</si>
  <si>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</si>
  <si>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</si>
  <si>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</si>
  <si>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</si>
  <si>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</si>
  <si>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</si>
  <si>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</si>
  <si>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</si>
  <si>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</si>
  <si>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</si>
  <si>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</si>
  <si>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</si>
  <si>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</si>
  <si>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</si>
  <si>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</si>
  <si>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</si>
  <si>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</si>
  <si>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</si>
  <si>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</si>
  <si>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</si>
  <si>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</si>
  <si>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</si>
  <si>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</si>
  <si>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</si>
  <si>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</si>
  <si>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</si>
  <si>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</si>
  <si>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</si>
  <si>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</si>
  <si>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</si>
  <si>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</si>
  <si>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</si>
  <si>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</si>
  <si>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</si>
  <si>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</si>
  <si>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</si>
  <si>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</si>
  <si>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</si>
  <si>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</si>
  <si>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</si>
  <si>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</si>
  <si>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</si>
  <si>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</si>
  <si>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</si>
  <si>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</si>
  <si>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</si>
  <si>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</si>
  <si>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</si>
  <si>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</si>
  <si>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</si>
  <si>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</si>
  <si>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</si>
  <si>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</si>
  <si>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</si>
  <si>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</si>
  <si>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</si>
  <si>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</si>
  <si>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</si>
  <si>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</si>
  <si>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</si>
  <si>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</si>
  <si>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</si>
  <si>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</si>
  <si>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</si>
  <si>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</si>
  <si>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</si>
  <si>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</si>
  <si>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</si>
  <si>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</si>
  <si>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</si>
  <si>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</si>
  <si>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</si>
  <si>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</si>
  <si>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</si>
  <si>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</si>
  <si>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</si>
  <si>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</si>
  <si>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</si>
  <si>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</si>
  <si>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</si>
  <si>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</si>
  <si>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</si>
  <si>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</si>
  <si>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</si>
  <si>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</si>
  <si>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</si>
  <si>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</si>
  <si>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</si>
  <si>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</si>
  <si>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</si>
  <si>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</si>
  <si>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</si>
  <si>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</si>
  <si>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</si>
  <si>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</si>
  <si>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</si>
  <si>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</si>
  <si>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</si>
  <si>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</si>
  <si>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</si>
  <si>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</si>
  <si>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</si>
  <si>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</si>
  <si>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</si>
  <si>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</si>
  <si>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</si>
  <si>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</si>
  <si>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</si>
  <si>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</si>
  <si>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</si>
  <si>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</si>
  <si>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</si>
  <si>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</si>
  <si>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</si>
  <si>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</si>
  <si>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</si>
  <si>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</si>
  <si>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</si>
  <si>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</si>
  <si>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</si>
  <si>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</si>
  <si>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</si>
  <si>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</si>
  <si>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</si>
  <si>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</si>
  <si>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</si>
  <si>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</si>
  <si>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</si>
  <si>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</si>
  <si>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</si>
  <si>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</si>
  <si>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</si>
  <si>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</si>
  <si>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</si>
  <si>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</si>
  <si>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</si>
  <si>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</si>
  <si>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</si>
  <si>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</si>
  <si>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</si>
  <si>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</si>
  <si>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</si>
  <si>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</si>
  <si>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</si>
  <si>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</si>
  <si>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</si>
  <si>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</si>
  <si>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</si>
  <si>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</si>
  <si>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</si>
  <si>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</si>
  <si>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</si>
  <si>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</si>
  <si>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</si>
  <si>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</si>
  <si>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</si>
  <si>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</si>
  <si>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</si>
  <si>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</si>
  <si>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</si>
  <si>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</si>
  <si>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</si>
  <si>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</si>
  <si>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</si>
  <si>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</si>
  <si>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</si>
  <si>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</si>
  <si>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</si>
  <si>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</si>
  <si>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</si>
  <si>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</si>
  <si>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</si>
  <si>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</si>
  <si>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</si>
  <si>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</si>
  <si>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</si>
  <si>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</si>
  <si>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</si>
  <si>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</si>
  <si>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</si>
  <si>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</si>
  <si>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</si>
  <si>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</si>
  <si>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</si>
  <si>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</si>
  <si>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</si>
  <si>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</si>
  <si>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</si>
  <si>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</si>
  <si>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</si>
  <si>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</si>
  <si>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</si>
  <si>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</si>
  <si>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</si>
  <si>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</si>
  <si>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</si>
  <si>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</si>
  <si>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</si>
  <si>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</si>
  <si>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</si>
  <si>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</si>
  <si>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</si>
  <si>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</si>
  <si>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</si>
  <si>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</si>
  <si>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</si>
  <si>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</si>
  <si>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</si>
  <si>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</si>
  <si>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</si>
  <si>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</si>
  <si>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</si>
  <si>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</si>
  <si>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</si>
  <si>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</si>
  <si>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</si>
  <si>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</si>
  <si>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</si>
  <si>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</si>
  <si>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</si>
  <si>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</si>
  <si>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</si>
  <si>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</si>
  <si>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</si>
  <si>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</si>
  <si>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</si>
  <si>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</si>
  <si>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</si>
  <si>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</si>
  <si>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</si>
  <si>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</si>
  <si>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</si>
  <si>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</si>
  <si>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</si>
  <si>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</si>
  <si>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</si>
  <si>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</si>
  <si>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</si>
  <si>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</si>
  <si>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</si>
  <si>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</si>
  <si>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</si>
  <si>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</si>
  <si>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</si>
  <si>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</si>
  <si>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</si>
  <si>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</si>
  <si>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</si>
  <si>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</si>
  <si>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</si>
  <si>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</si>
  <si>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</si>
  <si>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</si>
  <si>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</si>
  <si>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</si>
  <si>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</si>
  <si>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</si>
  <si>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</si>
  <si>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</si>
  <si>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</si>
  <si>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</si>
  <si>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</si>
  <si>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</si>
  <si>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</si>
  <si>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</si>
  <si>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</si>
  <si>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</si>
  <si>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</si>
  <si>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</si>
  <si>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</si>
  <si>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</si>
  <si>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</si>
  <si>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</si>
  <si>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</si>
  <si>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</si>
  <si>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</si>
  <si>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</si>
  <si>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</si>
  <si>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</si>
  <si>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</si>
  <si>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</si>
  <si>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</si>
  <si>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</si>
  <si>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</si>
  <si>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</si>
  <si>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</si>
  <si>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</si>
  <si>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</si>
  <si>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</si>
  <si>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</si>
  <si>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</si>
  <si>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</si>
  <si>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</si>
  <si>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</si>
  <si>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</si>
  <si>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</si>
  <si>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</si>
  <si>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</si>
  <si>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</si>
  <si>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</si>
  <si>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</si>
  <si>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</si>
  <si>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</si>
  <si>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</si>
  <si>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</si>
  <si>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</si>
  <si>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</si>
  <si>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</si>
  <si>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</si>
  <si>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</si>
  <si>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</si>
  <si>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</si>
  <si>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</si>
  <si>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</si>
  <si>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</si>
  <si>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</si>
  <si>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</si>
  <si>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</si>
  <si>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</si>
  <si>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</si>
  <si>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</si>
  <si>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</si>
  <si>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</si>
  <si>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</si>
  <si>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</si>
  <si>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</si>
  <si>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</si>
  <si>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</si>
  <si>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</si>
  <si>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</si>
  <si>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</si>
  <si>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</si>
  <si>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</si>
  <si>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</si>
  <si>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</si>
  <si>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</si>
  <si>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</si>
  <si>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</si>
  <si>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</si>
  <si>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</si>
  <si>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</si>
  <si>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</si>
  <si>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</si>
  <si>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</si>
  <si>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</si>
  <si>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</si>
  <si>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</si>
  <si>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</si>
  <si>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</si>
  <si>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</si>
  <si>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</si>
  <si>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</si>
  <si>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</si>
  <si>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</si>
  <si>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</si>
  <si>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</si>
  <si>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</si>
  <si>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</si>
  <si>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</si>
  <si>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</si>
  <si>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</si>
  <si>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</si>
  <si>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</si>
  <si>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</si>
  <si>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</si>
  <si>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</si>
  <si>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</si>
  <si>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</si>
  <si>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</si>
  <si>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</si>
  <si>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</si>
  <si>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</si>
  <si>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</si>
  <si>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</si>
  <si>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</si>
  <si>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</si>
  <si>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</si>
  <si>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</si>
  <si>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</si>
  <si>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</si>
  <si>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</si>
  <si>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</si>
  <si>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</si>
  <si>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</si>
  <si>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</si>
  <si>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</si>
  <si>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</si>
  <si>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</si>
  <si>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</si>
  <si>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</si>
  <si>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</si>
  <si>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</si>
  <si>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</si>
  <si>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</si>
  <si>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</si>
  <si>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</si>
  <si>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</si>
  <si>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</si>
  <si>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</si>
  <si>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</si>
  <si>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</si>
  <si>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</si>
  <si>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</si>
  <si>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</si>
  <si>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</si>
  <si>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</si>
  <si>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</si>
  <si>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</si>
  <si>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</si>
  <si>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</si>
  <si>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</si>
  <si>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</si>
  <si>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</si>
  <si>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</si>
  <si>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</si>
  <si>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</si>
  <si>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</si>
  <si>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</si>
  <si>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</si>
  <si>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</si>
  <si>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</si>
  <si>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</si>
  <si>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</si>
  <si>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</si>
  <si>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</si>
  <si>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</si>
  <si>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</si>
  <si>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</si>
  <si>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</si>
  <si>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</si>
  <si>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</si>
  <si>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</si>
  <si>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</si>
  <si>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</si>
  <si>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</si>
  <si>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</si>
  <si>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</si>
  <si>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</si>
  <si>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</si>
  <si>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</si>
  <si>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</si>
  <si>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</si>
  <si>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</si>
  <si>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</si>
  <si>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</si>
  <si>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</si>
  <si>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</si>
  <si>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</si>
  <si>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</si>
  <si>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</si>
  <si>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</si>
  <si>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</si>
  <si>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</si>
  <si>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</si>
  <si>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</si>
  <si>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</si>
  <si>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</si>
  <si>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</si>
  <si>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</si>
  <si>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</si>
  <si>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</si>
  <si>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</si>
  <si>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</si>
  <si>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</si>
  <si>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</si>
  <si>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</si>
  <si>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</si>
  <si>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</si>
  <si>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</si>
  <si>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</si>
  <si>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</si>
  <si>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</si>
  <si>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</si>
  <si>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</si>
  <si>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</si>
  <si>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</si>
  <si>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</si>
  <si>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</si>
  <si>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</si>
  <si>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</si>
  <si>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</si>
  <si>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</si>
  <si>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</si>
  <si>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</si>
  <si>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</si>
  <si>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</si>
  <si>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</si>
  <si>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</si>
  <si>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</si>
  <si>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</si>
  <si>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</si>
  <si>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</si>
  <si>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</si>
  <si>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</si>
  <si>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</si>
  <si>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</si>
  <si>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</si>
  <si>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</si>
  <si>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</si>
  <si>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</si>
  <si>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</si>
  <si>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</si>
  <si>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</si>
  <si>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</si>
  <si>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</si>
  <si>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</si>
  <si>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</si>
  <si>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</si>
  <si>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</si>
  <si>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</si>
  <si>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</si>
  <si>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</si>
  <si>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</si>
  <si>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</si>
  <si>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</si>
  <si>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</si>
  <si>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</si>
  <si>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</si>
  <si>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</si>
  <si>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</si>
  <si>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</si>
  <si>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</si>
  <si>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</si>
  <si>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</si>
  <si>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</si>
  <si>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</si>
  <si>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</si>
  <si>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</si>
  <si>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</si>
  <si>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</si>
  <si>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</si>
  <si>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</si>
  <si>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</si>
  <si>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</si>
  <si>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</si>
  <si>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</si>
  <si>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</si>
  <si>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</si>
  <si>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</si>
  <si>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</si>
  <si>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</si>
  <si>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</si>
  <si>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</si>
  <si>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</si>
  <si>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</si>
  <si>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</si>
  <si>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</si>
  <si>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</si>
  <si>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</si>
  <si>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</si>
  <si>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</si>
  <si>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</si>
  <si>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</si>
  <si>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</si>
  <si>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</si>
  <si>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</si>
  <si>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</si>
  <si>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</si>
  <si>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</si>
  <si>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</si>
  <si>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</si>
  <si>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</si>
  <si>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</si>
  <si>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</si>
  <si>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</si>
  <si>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</si>
  <si>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</si>
  <si>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</si>
  <si>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</si>
  <si>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</si>
  <si>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</si>
  <si>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</si>
  <si>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</si>
  <si>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</si>
  <si>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</si>
  <si>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</si>
  <si>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</si>
  <si>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</si>
  <si>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</si>
  <si>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</si>
  <si>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</si>
  <si>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</si>
  <si>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</si>
  <si>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</si>
  <si>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</si>
  <si>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</si>
  <si>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</si>
  <si>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</si>
  <si>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</si>
  <si>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</si>
  <si>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</si>
  <si>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</si>
  <si>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</si>
  <si>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</si>
  <si>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</si>
  <si>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</si>
  <si>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</si>
  <si>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</si>
  <si>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</si>
  <si>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</si>
  <si>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</si>
  <si>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</si>
  <si>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</si>
  <si>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</si>
  <si>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</si>
  <si>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</si>
  <si>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</si>
  <si>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</si>
  <si>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</si>
  <si>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</si>
  <si>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</si>
  <si>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</si>
  <si>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</si>
  <si>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</si>
  <si>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</si>
  <si>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</si>
  <si>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</si>
  <si>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</si>
  <si>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</si>
  <si>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</si>
  <si>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</si>
  <si>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</si>
  <si>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</si>
  <si>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</si>
  <si>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</si>
  <si>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</si>
  <si>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</si>
  <si>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</si>
  <si>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</si>
  <si>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</si>
  <si>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</si>
  <si>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</si>
  <si>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</si>
  <si>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</si>
  <si>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</si>
  <si>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</si>
  <si>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</si>
  <si>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</si>
  <si>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</si>
  <si>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</si>
  <si>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</si>
  <si>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</si>
  <si>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</si>
  <si>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</si>
  <si>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</si>
  <si>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</si>
  <si>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</si>
  <si>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</si>
  <si>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</si>
  <si>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</si>
  <si>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</si>
  <si>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</si>
  <si>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</si>
  <si>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</si>
  <si>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</si>
  <si>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</si>
  <si>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</si>
  <si>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</si>
  <si>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</si>
  <si>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</si>
  <si>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</si>
  <si>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</si>
  <si>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</si>
  <si>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</si>
  <si>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</si>
  <si>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</si>
  <si>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</si>
  <si>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</si>
  <si>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</si>
  <si>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</si>
  <si>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</si>
  <si>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</si>
  <si>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</si>
  <si>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</si>
  <si>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</si>
  <si>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</si>
  <si>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</si>
  <si>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</si>
  <si>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</si>
  <si>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</si>
  <si>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</si>
  <si>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</si>
  <si>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</si>
  <si>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</si>
  <si>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</si>
  <si>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</si>
  <si>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</si>
  <si>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</si>
  <si>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</si>
  <si>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</si>
  <si>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</si>
  <si>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</si>
  <si>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</si>
  <si>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</si>
  <si>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</si>
  <si>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</si>
  <si>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</si>
  <si>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</si>
  <si>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</si>
  <si>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</si>
  <si>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</si>
  <si>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</si>
  <si>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</si>
  <si>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</si>
  <si>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</si>
  <si>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</si>
  <si>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</si>
  <si>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</si>
  <si>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</si>
  <si>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</si>
  <si>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</si>
  <si>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</si>
  <si>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</si>
  <si>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</si>
  <si>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</si>
  <si>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</si>
  <si>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</si>
  <si>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</si>
  <si>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</si>
  <si>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</si>
  <si>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</si>
  <si>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</si>
  <si>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</si>
  <si>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</si>
  <si>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</si>
  <si>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</si>
  <si>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</si>
  <si>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</si>
  <si>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</si>
  <si>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</si>
  <si>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</si>
  <si>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</si>
  <si>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</si>
  <si>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</si>
  <si>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</si>
  <si>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</si>
  <si>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</si>
  <si>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</si>
  <si>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</si>
  <si>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</si>
  <si>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</si>
  <si>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</si>
  <si>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</si>
  <si>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</si>
  <si>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</si>
  <si>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</si>
  <si>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</si>
  <si>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</si>
  <si>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</si>
  <si>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</si>
  <si>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</si>
  <si>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</si>
  <si>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</si>
  <si>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</si>
  <si>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</si>
  <si>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</si>
  <si>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</si>
  <si>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</si>
  <si>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</si>
  <si>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</si>
  <si>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</si>
  <si>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</si>
  <si>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</si>
  <si>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</si>
  <si>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</si>
  <si>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</si>
  <si>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</si>
  <si>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</si>
  <si>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</si>
  <si>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</si>
  <si>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</si>
  <si>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</si>
  <si>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</si>
  <si>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</si>
  <si>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</si>
  <si>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</si>
  <si>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</si>
  <si>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</si>
  <si>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</si>
  <si>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</si>
  <si>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</si>
  <si>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</si>
  <si>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</si>
  <si>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</si>
  <si>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</si>
  <si>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</si>
  <si>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</si>
  <si>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</si>
  <si>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</si>
  <si>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</si>
  <si>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</si>
  <si>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</si>
  <si>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</si>
  <si>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</si>
  <si>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</si>
  <si>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</si>
  <si>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</si>
  <si>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</si>
  <si>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</si>
  <si>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</si>
  <si>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</si>
  <si>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</si>
  <si>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</si>
  <si>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</si>
  <si>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</si>
  <si>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</si>
  <si>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</si>
  <si>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</si>
  <si>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</si>
  <si>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</si>
  <si>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</si>
  <si>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</si>
  <si>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</si>
  <si>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</si>
  <si>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</si>
  <si>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</si>
  <si>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</si>
  <si>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</si>
  <si>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</si>
  <si>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</si>
  <si>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</si>
  <si>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</si>
  <si>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</si>
  <si>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</si>
  <si>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</si>
  <si>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</si>
  <si>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</si>
  <si>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</si>
  <si>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</si>
  <si>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</si>
  <si>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</si>
  <si>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</si>
  <si>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</si>
  <si>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</si>
  <si>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</si>
  <si>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</si>
  <si>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</si>
  <si>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</si>
  <si>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</si>
  <si>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</si>
  <si>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</si>
  <si>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</si>
  <si>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</si>
  <si>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</si>
  <si>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</si>
  <si>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</si>
  <si>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</si>
  <si>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</si>
  <si>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</si>
  <si>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</si>
  <si>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</si>
  <si>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</si>
  <si>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</si>
  <si>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</si>
  <si>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</si>
  <si>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</si>
  <si>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</si>
  <si>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</si>
  <si>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</si>
  <si>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</si>
  <si>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</si>
  <si>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</si>
  <si>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</si>
  <si>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</si>
  <si>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</si>
  <si>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</si>
  <si>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</si>
  <si>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</si>
  <si>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</si>
  <si>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</si>
  <si>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</si>
  <si>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</si>
  <si>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</si>
  <si>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</si>
  <si>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</si>
  <si>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</si>
  <si>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</si>
  <si>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</si>
  <si>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</si>
  <si>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</si>
  <si>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</si>
  <si>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</si>
  <si>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</si>
  <si>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</si>
  <si>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</si>
  <si>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</si>
  <si>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</si>
  <si>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</si>
  <si>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</si>
  <si>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</si>
  <si>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</si>
  <si>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</si>
  <si>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</si>
  <si>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</si>
  <si>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</si>
  <si>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</si>
  <si>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</si>
  <si>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</si>
  <si>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</si>
  <si>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</si>
  <si>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</si>
  <si>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</si>
  <si>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</si>
  <si>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</si>
  <si>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</si>
  <si>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</si>
  <si>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</si>
  <si>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</si>
  <si>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</si>
  <si>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</si>
  <si>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</si>
  <si>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</si>
  <si>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</si>
  <si>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</si>
  <si>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</si>
  <si>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</si>
  <si>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</si>
  <si>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</si>
  <si>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</si>
  <si>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</si>
  <si>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</si>
  <si>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</si>
  <si>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</si>
  <si>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</si>
  <si>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</si>
  <si>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</si>
  <si>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</si>
  <si>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</si>
  <si>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</si>
  <si>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</si>
  <si>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</si>
  <si>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</si>
  <si>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</si>
  <si>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</si>
  <si>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</si>
  <si>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</si>
  <si>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</si>
  <si>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</si>
  <si>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</si>
  <si>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</si>
  <si>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</si>
  <si>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</si>
  <si>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</si>
  <si>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</si>
  <si>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</si>
  <si>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</si>
  <si>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</si>
  <si>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</si>
  <si>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</si>
  <si>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</si>
  <si>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</si>
  <si>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</si>
  <si>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</si>
  <si>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</si>
  <si>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</si>
  <si>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</si>
  <si>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</si>
  <si>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</si>
  <si>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</si>
  <si>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</si>
  <si>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</si>
  <si>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</si>
  <si>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</si>
  <si>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</si>
  <si>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</si>
  <si>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</si>
  <si>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</si>
  <si>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</si>
  <si>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</si>
  <si>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</si>
  <si>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</si>
  <si>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</si>
  <si>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</si>
  <si>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</si>
  <si>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</si>
  <si>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</si>
  <si>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</si>
  <si>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</si>
  <si>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</si>
  <si>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</si>
  <si>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</si>
  <si>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</si>
  <si>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</si>
  <si>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</si>
  <si>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</si>
  <si>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</si>
  <si>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</si>
  <si>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</si>
  <si>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</si>
  <si>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</si>
  <si>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</si>
  <si>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</si>
  <si>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</si>
  <si>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</si>
  <si>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</si>
  <si>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</si>
  <si>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</si>
  <si>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</si>
  <si>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</si>
  <si>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</si>
  <si>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</si>
  <si>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</si>
  <si>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</si>
  <si>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</si>
  <si>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</si>
  <si>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</si>
  <si>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</si>
  <si>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</si>
  <si>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</si>
  <si>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</si>
  <si>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</si>
  <si>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</si>
  <si>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</si>
  <si>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</si>
  <si>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</si>
  <si>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</si>
  <si>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</si>
  <si>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</si>
  <si>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</si>
  <si>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</si>
  <si>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</si>
  <si>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</si>
  <si>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</si>
  <si>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</si>
  <si>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</si>
  <si>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</si>
  <si>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</si>
  <si>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</si>
  <si>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</si>
  <si>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</si>
  <si>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</si>
  <si>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</si>
  <si>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</si>
  <si>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</si>
  <si>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</si>
  <si>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</si>
  <si>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</si>
  <si>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</si>
  <si>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</si>
  <si>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</si>
  <si>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</si>
  <si>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</si>
  <si>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</si>
  <si>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</si>
  <si>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</si>
  <si>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</si>
  <si>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</si>
  <si>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</si>
  <si>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</si>
  <si>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</si>
  <si>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</si>
  <si>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</si>
  <si>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</si>
  <si>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</si>
  <si>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</si>
  <si>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</si>
  <si>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</si>
  <si>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</si>
  <si>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</si>
  <si>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</si>
  <si>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</si>
  <si>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</si>
  <si>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</si>
  <si>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</si>
  <si>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</si>
  <si>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</si>
  <si>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</si>
  <si>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</si>
  <si>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</si>
  <si>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</si>
  <si>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</si>
  <si>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</si>
  <si>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</si>
  <si>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</si>
  <si>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</si>
  <si>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</si>
  <si>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</si>
  <si>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</si>
  <si>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</si>
  <si>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</si>
  <si>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</si>
  <si>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</si>
  <si>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</si>
  <si>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</si>
  <si>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</si>
  <si>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</si>
  <si>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</si>
  <si>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</si>
  <si>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</si>
  <si>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</si>
  <si>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</si>
  <si>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</si>
  <si>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</si>
  <si>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</si>
  <si>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</si>
  <si>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</si>
  <si>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</si>
  <si>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</si>
  <si>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</si>
  <si>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</si>
  <si>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</si>
  <si>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</si>
  <si>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</si>
  <si>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</si>
  <si>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</si>
  <si>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</si>
  <si>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</si>
  <si>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</si>
  <si>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</si>
  <si>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</si>
  <si>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</si>
  <si>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</si>
  <si>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</si>
  <si>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</si>
  <si>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</si>
  <si>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</si>
  <si>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</si>
  <si>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</si>
  <si>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</si>
  <si>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</si>
  <si>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</si>
  <si>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</si>
  <si>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</si>
  <si>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</si>
  <si>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</si>
  <si>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</si>
  <si>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</si>
  <si>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</si>
  <si>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</si>
  <si>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</si>
  <si>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</si>
  <si>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</si>
  <si>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</si>
  <si>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</si>
  <si>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</si>
  <si>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</si>
  <si>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</si>
  <si>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</si>
  <si>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</si>
  <si>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</si>
  <si>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</si>
  <si>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</si>
  <si>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</si>
  <si>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</si>
  <si>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</si>
  <si>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</si>
  <si>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</si>
  <si>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</si>
  <si>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</si>
  <si>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</si>
  <si>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</si>
  <si>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</si>
  <si>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</si>
  <si>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</si>
  <si>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</si>
  <si>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</si>
  <si>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</si>
  <si>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</si>
  <si>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</si>
  <si>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</si>
  <si>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</si>
  <si>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</si>
  <si>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</si>
  <si>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</si>
  <si>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</si>
  <si>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</si>
  <si>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</si>
  <si>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</si>
  <si>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</si>
  <si>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</si>
  <si>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</si>
  <si>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</si>
  <si>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</si>
  <si>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</si>
  <si>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</si>
  <si>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</si>
  <si>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</si>
  <si>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</si>
  <si>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</si>
  <si>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</si>
  <si>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</si>
  <si>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</si>
  <si>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</si>
  <si>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</si>
  <si>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</si>
  <si>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</si>
  <si>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</si>
  <si>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</si>
  <si>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</si>
  <si>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</si>
  <si>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</si>
  <si>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</si>
  <si>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</si>
  <si>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</si>
  <si>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</si>
  <si>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</si>
  <si>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</si>
  <si>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</si>
  <si>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</si>
  <si>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</si>
  <si>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</si>
  <si>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</si>
  <si>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</si>
  <si>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</si>
  <si>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</si>
  <si>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</si>
  <si>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</si>
  <si>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</si>
  <si>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</si>
  <si>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</si>
  <si>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</si>
  <si>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</si>
  <si>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</si>
  <si>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</si>
  <si>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</si>
  <si>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</si>
  <si>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</si>
  <si>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</si>
  <si>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</si>
  <si>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</si>
  <si>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</si>
  <si>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</si>
  <si>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</si>
  <si>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</si>
  <si>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</si>
  <si>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</si>
  <si>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</si>
  <si>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</si>
  <si>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</si>
  <si>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</si>
  <si>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</si>
  <si>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</si>
  <si>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</si>
  <si>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</si>
  <si>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</si>
  <si>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</si>
  <si>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</si>
  <si>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</si>
  <si>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</si>
  <si>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</si>
  <si>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</si>
  <si>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</si>
  <si>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</si>
  <si>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</si>
  <si>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</si>
  <si>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</si>
  <si>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</si>
  <si>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</si>
  <si>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</si>
  <si>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</si>
  <si>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</si>
  <si>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</si>
  <si>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</si>
  <si>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</si>
  <si>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</si>
  <si>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</si>
  <si>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</si>
  <si>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</si>
  <si>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</si>
  <si>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</si>
  <si>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</si>
  <si>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</si>
  <si>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</si>
  <si>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</si>
  <si>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</si>
  <si>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</si>
  <si>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</si>
  <si>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</si>
  <si>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</si>
  <si>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</si>
  <si>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</si>
  <si>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</si>
  <si>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</si>
  <si>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</si>
  <si>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</si>
  <si>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</si>
  <si>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</si>
  <si>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</si>
  <si>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</si>
  <si>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</si>
  <si>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</si>
  <si>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</si>
  <si>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</si>
  <si>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</si>
  <si>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</si>
  <si>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</si>
  <si>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</si>
  <si>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</si>
  <si>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</si>
  <si>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</si>
  <si>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</si>
  <si>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</si>
  <si>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</si>
  <si>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</si>
  <si>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</si>
  <si>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</si>
  <si>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</si>
  <si>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</si>
  <si>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</si>
  <si>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</si>
  <si>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</si>
  <si>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</si>
  <si>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</si>
  <si>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</si>
  <si>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</si>
  <si>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</si>
  <si>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</si>
  <si>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</si>
  <si>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</si>
  <si>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</si>
  <si>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</si>
  <si>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</si>
  <si>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</si>
  <si>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</si>
  <si>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</si>
  <si>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</si>
  <si>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</si>
  <si>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</si>
  <si>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</si>
  <si>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</si>
  <si>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</si>
  <si>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</si>
  <si>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</si>
  <si>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</si>
  <si>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</si>
  <si>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</si>
  <si>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</si>
  <si>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</si>
  <si>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</si>
  <si>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</si>
  <si>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</si>
  <si>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</si>
  <si>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</si>
  <si>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</si>
  <si>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</si>
  <si>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</si>
  <si>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</si>
  <si>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</si>
  <si>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</si>
  <si>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</si>
  <si>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</si>
  <si>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</si>
  <si>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</si>
  <si>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</si>
  <si>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</si>
  <si>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</si>
  <si>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</si>
  <si>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</si>
  <si>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</si>
  <si>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</si>
  <si>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</si>
  <si>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</si>
  <si>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</si>
  <si>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</si>
  <si>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</si>
  <si>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</si>
  <si>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</si>
  <si>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</si>
  <si>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</si>
  <si>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</si>
  <si>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</si>
  <si>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</si>
  <si>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</si>
  <si>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</si>
  <si>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</si>
  <si>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</si>
  <si>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</si>
  <si>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</si>
  <si>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</si>
  <si>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</si>
  <si>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</si>
  <si>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</si>
  <si>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</si>
  <si>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</si>
  <si>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</si>
  <si>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</si>
  <si>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</si>
  <si>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</si>
  <si>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</si>
  <si>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</si>
  <si>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</si>
  <si>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</si>
  <si>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</si>
  <si>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</si>
  <si>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</si>
  <si>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</si>
  <si>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</si>
  <si>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</si>
  <si>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</si>
  <si>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</si>
  <si>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</si>
  <si>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</si>
  <si>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</si>
  <si>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</si>
  <si>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</si>
  <si>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</si>
  <si>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</si>
  <si>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</si>
  <si>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</si>
  <si>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</si>
  <si>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</si>
  <si>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</si>
  <si>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</si>
  <si>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</si>
  <si>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</si>
  <si>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</si>
  <si>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</si>
  <si>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</si>
  <si>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</si>
  <si>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</si>
  <si>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</si>
  <si>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</si>
  <si>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</si>
  <si>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</si>
  <si>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</si>
  <si>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</si>
  <si>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</si>
  <si>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</si>
  <si>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</si>
  <si>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</si>
  <si>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</si>
  <si>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</si>
  <si>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</si>
  <si>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</si>
  <si>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</si>
  <si>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</si>
  <si>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</si>
  <si>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</si>
  <si>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</si>
  <si>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</si>
  <si>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</si>
  <si>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</si>
  <si>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</si>
  <si>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</si>
  <si>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</si>
  <si>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</si>
  <si>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</si>
  <si>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</si>
  <si>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</si>
  <si>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</si>
  <si>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</si>
  <si>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</si>
  <si>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</si>
  <si>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</si>
  <si>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</si>
  <si>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</si>
  <si>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</si>
  <si>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</si>
  <si>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</si>
  <si>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</si>
  <si>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</si>
  <si>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</si>
  <si>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</si>
  <si>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</si>
  <si>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</si>
  <si>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</si>
  <si>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</si>
  <si>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</si>
  <si>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</si>
  <si>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</si>
  <si>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</si>
  <si>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</si>
  <si>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</si>
  <si>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</si>
  <si>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</si>
  <si>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</si>
  <si>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</si>
  <si>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</si>
  <si>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</si>
  <si>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</si>
  <si>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</si>
  <si>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</si>
  <si>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</si>
  <si>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</si>
  <si>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</si>
  <si>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</si>
  <si>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</si>
  <si>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</si>
  <si>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</si>
  <si>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</si>
  <si>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</si>
  <si>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</si>
  <si>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</si>
  <si>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</si>
  <si>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</si>
  <si>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</si>
  <si>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</si>
  <si>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</si>
  <si>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</si>
  <si>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</si>
  <si>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</si>
  <si>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</si>
  <si>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</si>
  <si>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</si>
  <si>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</si>
  <si>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</si>
  <si>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</si>
  <si>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</si>
  <si>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</si>
  <si>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</si>
  <si>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</si>
  <si>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</si>
  <si>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</si>
  <si>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</si>
  <si>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</si>
  <si>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</si>
  <si>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</si>
  <si>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</si>
  <si>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</si>
  <si>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</si>
  <si>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</si>
  <si>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</si>
  <si>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</si>
  <si>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</si>
  <si>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</si>
  <si>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</si>
  <si>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</si>
  <si>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</si>
  <si>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</si>
  <si>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</si>
  <si>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</si>
  <si>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</si>
  <si>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</si>
  <si>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</si>
  <si>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</si>
  <si>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</si>
  <si>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</si>
  <si>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</si>
  <si>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</si>
  <si>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</si>
  <si>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</si>
  <si>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</si>
  <si>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</si>
  <si>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</si>
  <si>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</si>
  <si>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</si>
  <si>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</si>
  <si>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</si>
  <si>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</si>
  <si>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</si>
  <si>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</si>
  <si>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</si>
  <si>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</si>
  <si>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</si>
  <si>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</si>
  <si>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</si>
  <si>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</si>
  <si>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</si>
  <si>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</si>
  <si>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</si>
  <si>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</si>
  <si>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</si>
  <si>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</si>
  <si>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</si>
  <si>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</si>
  <si>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</si>
  <si>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</si>
  <si>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</si>
  <si>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</si>
  <si>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</si>
  <si>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</si>
  <si>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</si>
  <si>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</si>
  <si>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</si>
  <si>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</si>
  <si>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</si>
  <si>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</si>
  <si>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</si>
  <si>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</si>
  <si>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</si>
  <si>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</si>
  <si>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</si>
  <si>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</si>
  <si>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</si>
  <si>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</si>
  <si>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</si>
  <si>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</si>
  <si>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</si>
  <si>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</si>
  <si>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</si>
  <si>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</si>
  <si>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</si>
  <si>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</si>
  <si>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</si>
  <si>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</si>
  <si>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</si>
  <si>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</si>
  <si>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</si>
  <si>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</si>
  <si>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</si>
  <si>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</si>
  <si>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</si>
  <si>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</si>
  <si>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</si>
  <si>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</si>
  <si>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</si>
  <si>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</si>
  <si>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</si>
  <si>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</si>
  <si>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</si>
  <si>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</si>
  <si>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</si>
  <si>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</si>
  <si>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</si>
  <si>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</si>
  <si>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</si>
  <si>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</si>
  <si>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</si>
  <si>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</si>
  <si>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</si>
  <si>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</si>
  <si>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</si>
  <si>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</si>
  <si>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</si>
  <si>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</si>
  <si>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</si>
  <si>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</si>
  <si>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</si>
  <si>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</si>
  <si>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</si>
  <si>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</si>
  <si>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</si>
  <si>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</si>
  <si>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</si>
  <si>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</si>
  <si>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</si>
  <si>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</si>
  <si>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</si>
  <si>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</si>
  <si>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</si>
  <si>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</si>
  <si>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</si>
  <si>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</si>
  <si>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</si>
  <si>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</si>
  <si>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</si>
  <si>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</si>
  <si>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</si>
  <si>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</si>
  <si>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</si>
  <si>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</si>
  <si>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</si>
  <si>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</si>
  <si>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</si>
  <si>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</si>
  <si>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</si>
  <si>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</si>
  <si>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</si>
  <si>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</si>
  <si>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</si>
  <si>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</si>
  <si>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</si>
  <si>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</si>
  <si>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</si>
  <si>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</si>
  <si>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</si>
  <si>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</si>
  <si>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</si>
  <si>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</si>
  <si>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</si>
  <si>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</si>
  <si>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</si>
  <si>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</si>
  <si>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</si>
  <si>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</si>
  <si>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</si>
  <si>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</si>
  <si>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</si>
  <si>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</si>
  <si>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</si>
  <si>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</si>
  <si>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</si>
  <si>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</si>
  <si>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</si>
  <si>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</si>
  <si>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</si>
  <si>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</si>
  <si>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</si>
  <si>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</si>
  <si>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</si>
  <si>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</si>
  <si>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</si>
  <si>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</si>
  <si>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</si>
  <si>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</si>
  <si>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</si>
  <si>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</si>
  <si>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</si>
  <si>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</si>
  <si>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</si>
  <si>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</si>
  <si>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</si>
  <si>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</si>
  <si>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</si>
  <si>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</si>
  <si>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</si>
  <si>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</si>
  <si>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</si>
  <si>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</si>
  <si>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</si>
  <si>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</si>
  <si>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</si>
  <si>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</si>
  <si>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</si>
  <si>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</si>
  <si>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</si>
  <si>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</si>
  <si>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</si>
  <si>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</si>
  <si>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</si>
  <si>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</si>
  <si>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</si>
  <si>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</si>
  <si>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</si>
  <si>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</si>
  <si>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</si>
  <si>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</si>
  <si>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</si>
  <si>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</si>
  <si>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</si>
  <si>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</si>
  <si>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</si>
  <si>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</si>
  <si>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</si>
  <si>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</si>
  <si>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</si>
  <si>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</si>
  <si>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</si>
  <si>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</si>
  <si>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</si>
  <si>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</si>
  <si>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</si>
  <si>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</si>
  <si>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</si>
  <si>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</si>
  <si>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</si>
  <si>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</si>
  <si>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</si>
  <si>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</si>
  <si>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</si>
  <si>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</si>
  <si>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</si>
  <si>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</si>
  <si>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</si>
  <si>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</si>
  <si>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</si>
  <si>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</si>
  <si>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</si>
  <si>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</si>
  <si>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</si>
  <si>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</si>
  <si>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</si>
  <si>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</si>
  <si>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</si>
  <si>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</si>
  <si>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</si>
  <si>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</si>
  <si>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</si>
  <si>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</si>
  <si>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</si>
  <si>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</si>
  <si>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</si>
  <si>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</si>
  <si>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</si>
  <si>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</si>
  <si>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</si>
  <si>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</si>
  <si>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</si>
  <si>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</si>
  <si>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</si>
  <si>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</si>
  <si>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</si>
  <si>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</si>
  <si>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</si>
  <si>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</si>
  <si>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</si>
  <si>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</si>
  <si>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</si>
  <si>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</si>
  <si>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</si>
  <si>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</si>
  <si>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</si>
  <si>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</si>
  <si>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</si>
  <si>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</si>
  <si>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</si>
  <si>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</si>
  <si>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</si>
  <si>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</si>
  <si>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</si>
  <si>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</si>
  <si>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</si>
  <si>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</si>
  <si>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</si>
  <si>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</si>
  <si>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</si>
  <si>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</si>
  <si>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</si>
  <si>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</si>
  <si>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</si>
  <si>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</si>
  <si>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</si>
  <si>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</si>
  <si>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</si>
  <si>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</si>
  <si>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</si>
  <si>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</si>
  <si>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</si>
  <si>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</si>
  <si>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</si>
  <si>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</si>
  <si>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</si>
  <si>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</si>
  <si>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</si>
  <si>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</si>
  <si>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</si>
  <si>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</si>
  <si>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</si>
  <si>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</si>
  <si>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</si>
  <si>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</si>
  <si>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</si>
  <si>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</si>
  <si>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</si>
  <si>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</si>
  <si>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</si>
  <si>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</si>
  <si>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</si>
  <si>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</si>
  <si>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</si>
  <si>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</si>
  <si>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</si>
  <si>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</si>
  <si>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</si>
  <si>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</si>
  <si>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</si>
  <si>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</si>
  <si>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</si>
  <si>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</si>
  <si>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</si>
  <si>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</si>
  <si>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</si>
  <si>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</si>
  <si>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</si>
  <si>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</si>
  <si>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</si>
  <si>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</si>
  <si>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</si>
  <si>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</si>
  <si>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</si>
  <si>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</si>
  <si>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</si>
  <si>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</si>
  <si>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</si>
  <si>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</si>
  <si>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</si>
  <si>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</si>
  <si>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</si>
  <si>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</si>
  <si>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</si>
  <si>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</si>
  <si>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</si>
  <si>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</si>
  <si>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</si>
  <si>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</si>
  <si>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</si>
  <si>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</si>
  <si>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</si>
  <si>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</si>
  <si>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</si>
  <si>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</si>
  <si>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</si>
  <si>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</si>
  <si>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</si>
  <si>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</si>
  <si>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</si>
  <si>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</si>
  <si>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</si>
  <si>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</si>
  <si>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</si>
  <si>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</si>
  <si>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</si>
  <si>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</si>
  <si>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</si>
  <si>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</si>
  <si>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</si>
  <si>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</si>
  <si>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</si>
  <si>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</si>
  <si>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</si>
  <si>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</si>
  <si>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</si>
  <si>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</si>
  <si>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</si>
  <si>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</si>
  <si>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</si>
  <si>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</si>
  <si>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</si>
  <si>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</si>
  <si>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</si>
  <si>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</si>
  <si>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</si>
  <si>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</si>
  <si>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</si>
  <si>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</si>
  <si>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</si>
  <si>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</si>
  <si>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</si>
  <si>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</si>
  <si>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</si>
  <si>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</si>
  <si>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</si>
  <si>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</si>
  <si>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</si>
  <si>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</si>
  <si>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</si>
  <si>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</si>
  <si>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</si>
  <si>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</si>
  <si>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</si>
  <si>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</si>
  <si>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</si>
  <si>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</si>
  <si>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</si>
  <si>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</si>
  <si>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</si>
  <si>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</si>
  <si>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</si>
  <si>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</si>
  <si>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</si>
  <si>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</si>
  <si>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</si>
  <si>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</si>
  <si>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</si>
  <si>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</si>
  <si>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</si>
  <si>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</si>
  <si>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</si>
  <si>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</si>
  <si>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</si>
  <si>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</si>
  <si>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</si>
  <si>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</si>
  <si>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</si>
  <si>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</si>
  <si>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</si>
  <si>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</si>
  <si>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</si>
  <si>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</si>
  <si>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</si>
  <si>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</si>
  <si>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</si>
  <si>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</si>
  <si>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</si>
  <si>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</si>
  <si>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</si>
  <si>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</si>
  <si>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</si>
  <si>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</si>
  <si>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</si>
  <si>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</si>
  <si>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</si>
  <si>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</si>
  <si>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</si>
  <si>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</si>
  <si>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</si>
  <si>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</si>
  <si>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</si>
  <si>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</si>
  <si>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</si>
  <si>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</si>
  <si>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</si>
  <si>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</si>
  <si>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</si>
  <si>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</si>
  <si>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</si>
  <si>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</si>
  <si>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</si>
  <si>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</si>
  <si>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</si>
  <si>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</si>
  <si>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</si>
  <si>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</si>
  <si>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</si>
  <si>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</si>
  <si>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</si>
  <si>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</si>
  <si>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</si>
  <si>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</si>
  <si>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</si>
  <si>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</si>
  <si>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</si>
  <si>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</si>
  <si>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</si>
  <si>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</si>
  <si>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</si>
  <si>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</si>
  <si>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</si>
  <si>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</si>
  <si>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</si>
  <si>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</si>
  <si>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</si>
  <si>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</si>
  <si>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</si>
  <si>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</si>
  <si>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</si>
  <si>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</si>
  <si>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</si>
  <si>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</si>
  <si>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</si>
  <si>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</si>
  <si>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</si>
  <si>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</si>
  <si>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</si>
  <si>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</si>
  <si>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</si>
  <si>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</si>
  <si>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</si>
  <si>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</si>
  <si>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</si>
  <si>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</si>
  <si>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</si>
  <si>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</si>
  <si>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</si>
  <si>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</si>
  <si>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</si>
  <si>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</si>
  <si>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</si>
  <si>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</si>
  <si>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</si>
  <si>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</si>
  <si>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</si>
  <si>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</si>
  <si>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</si>
  <si>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</si>
  <si>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</si>
  <si>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</si>
  <si>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</si>
  <si>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</si>
  <si>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</si>
  <si>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</si>
  <si>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</si>
  <si>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</si>
  <si>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</si>
  <si>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</si>
  <si>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</si>
  <si>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</si>
  <si>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</si>
  <si>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</si>
  <si>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</si>
  <si>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</si>
  <si>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</si>
  <si>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</si>
  <si>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</si>
  <si>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</si>
  <si>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</si>
  <si>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</si>
  <si>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</si>
  <si>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</si>
  <si>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</si>
  <si>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</si>
  <si>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</si>
  <si>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</si>
  <si>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</si>
  <si>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</si>
  <si>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</si>
  <si>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</si>
  <si>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</si>
  <si>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</si>
  <si>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</si>
  <si>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</si>
  <si>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</si>
  <si>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</si>
  <si>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</si>
  <si>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</si>
  <si>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</si>
  <si>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</si>
  <si>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</si>
  <si>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</si>
  <si>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</si>
  <si>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</si>
  <si>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</si>
  <si>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</si>
  <si>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</si>
  <si>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</si>
  <si>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</si>
  <si>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</si>
  <si>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</si>
  <si>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</si>
  <si>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</si>
  <si>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</si>
  <si>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</si>
  <si>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</si>
  <si>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</si>
  <si>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</si>
  <si>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</si>
  <si>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</si>
  <si>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</si>
  <si>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</si>
  <si>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</si>
  <si>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</si>
  <si>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</si>
  <si>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</si>
  <si>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</si>
  <si>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</si>
  <si>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</si>
  <si>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</si>
  <si>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</si>
  <si>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</si>
  <si>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</si>
  <si>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</si>
  <si>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</si>
  <si>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</si>
  <si>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</si>
  <si>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</si>
  <si>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</si>
  <si>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</si>
  <si>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</si>
  <si>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</si>
  <si>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</si>
  <si>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</si>
  <si>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</si>
  <si>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</si>
  <si>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</si>
  <si>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</si>
  <si>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</si>
  <si>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</si>
  <si>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</si>
  <si>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</si>
  <si>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</si>
  <si>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</si>
  <si>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</si>
  <si>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</si>
  <si>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</si>
  <si>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</si>
  <si>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</si>
  <si>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</si>
  <si>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</si>
  <si>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</si>
  <si>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</si>
  <si>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</si>
  <si>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</si>
  <si>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</si>
  <si>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</si>
  <si>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</si>
  <si>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</si>
  <si>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</si>
  <si>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</si>
  <si>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</si>
  <si>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</si>
  <si>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</si>
  <si>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</si>
  <si>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</si>
  <si>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</si>
  <si>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</si>
  <si>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</si>
  <si>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</si>
  <si>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</si>
  <si>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</si>
  <si>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</si>
  <si>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</si>
  <si>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</si>
  <si>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</si>
  <si>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</si>
  <si>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</si>
  <si>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</si>
  <si>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</si>
  <si>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</si>
  <si>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</si>
  <si>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</si>
  <si>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</si>
  <si>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</si>
  <si>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</si>
  <si>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</si>
  <si>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</si>
  <si>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</si>
  <si>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</si>
  <si>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</si>
  <si>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</si>
  <si>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</si>
  <si>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</si>
  <si>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</si>
  <si>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</si>
  <si>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</si>
  <si>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</si>
  <si>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</si>
  <si>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</si>
  <si>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</si>
  <si>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</si>
  <si>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</si>
  <si>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</si>
  <si>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</si>
  <si>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</si>
  <si>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</si>
  <si>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</si>
  <si>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</si>
  <si>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</si>
  <si>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</si>
  <si>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</si>
  <si>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</si>
  <si>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</si>
  <si>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</si>
  <si>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</si>
  <si>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</si>
  <si>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</si>
  <si>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</si>
  <si>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</si>
  <si>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</si>
  <si>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</si>
  <si>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</si>
  <si>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</si>
  <si>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</si>
  <si>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</si>
  <si>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</si>
  <si>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</si>
  <si>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</si>
  <si>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</si>
  <si>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</si>
  <si>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</si>
  <si>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</si>
  <si>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</si>
  <si>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</si>
  <si>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</si>
  <si>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</si>
  <si>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</si>
  <si>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</si>
  <si>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</si>
  <si>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</si>
  <si>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</si>
  <si>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</si>
  <si>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</si>
  <si>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</si>
  <si>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</si>
  <si>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</si>
  <si>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</si>
  <si>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</si>
  <si>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</si>
  <si>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</si>
  <si>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</si>
  <si>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</si>
  <si>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</si>
  <si>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</si>
  <si>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</si>
  <si>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</si>
  <si>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</si>
  <si>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</si>
  <si>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</si>
  <si>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</si>
  <si>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</si>
  <si>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</si>
  <si>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</si>
  <si>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</si>
  <si>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</si>
  <si>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</si>
  <si>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</si>
  <si>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</si>
  <si>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</si>
  <si>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</si>
  <si>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</si>
  <si>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</si>
  <si>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</si>
  <si>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</si>
  <si>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</si>
  <si>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</si>
  <si>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</si>
  <si>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</si>
  <si>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</si>
  <si>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</si>
  <si>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</si>
  <si>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</si>
  <si>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</si>
  <si>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</si>
  <si>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</si>
  <si>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</si>
  <si>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</si>
  <si>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</si>
  <si>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</si>
  <si>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</si>
  <si>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</si>
  <si>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</si>
  <si>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</si>
  <si>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</si>
  <si>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</si>
  <si>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</si>
  <si>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</si>
  <si>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</si>
  <si>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</si>
  <si>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</si>
  <si>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</si>
  <si>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</si>
  <si>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</si>
  <si>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</si>
  <si>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</si>
  <si>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</si>
  <si>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</si>
  <si>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</si>
  <si>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</si>
  <si>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</si>
  <si>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</si>
  <si>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</si>
  <si>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</si>
  <si>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</si>
  <si>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</si>
  <si>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</si>
  <si>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</si>
  <si>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</si>
  <si>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</si>
  <si>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</si>
  <si>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</si>
  <si>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</si>
  <si>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</si>
  <si>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</si>
  <si>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</si>
  <si>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</si>
  <si>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</si>
  <si>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</si>
  <si>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</si>
  <si>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</si>
  <si>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</si>
  <si>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</si>
  <si>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</si>
  <si>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</si>
  <si>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</si>
  <si>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</si>
  <si>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</si>
  <si>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</si>
  <si>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</si>
  <si>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</si>
  <si>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</si>
  <si>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</si>
  <si>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</si>
  <si>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</si>
  <si>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</si>
  <si>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</si>
  <si>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</si>
  <si>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</si>
  <si>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</si>
  <si>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</si>
  <si>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</si>
  <si>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</si>
  <si>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</si>
  <si>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</si>
  <si>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</si>
  <si>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</si>
  <si>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</si>
  <si>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</si>
  <si>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</si>
  <si>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</si>
  <si>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</si>
  <si>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</si>
  <si>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</si>
  <si>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</si>
  <si>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</si>
  <si>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</si>
  <si>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</si>
  <si>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</si>
  <si>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</si>
  <si>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</si>
  <si>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</si>
  <si>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</si>
  <si>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</si>
  <si>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</si>
  <si>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</si>
  <si>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</si>
  <si>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</si>
  <si>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</si>
  <si>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</si>
  <si>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</si>
  <si>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</si>
  <si>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</si>
  <si>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</si>
  <si>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</si>
  <si>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</si>
  <si>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</si>
  <si>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</si>
  <si>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</si>
  <si>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</si>
  <si>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</si>
  <si>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</si>
  <si>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</si>
  <si>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</si>
  <si>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</si>
  <si>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</si>
  <si>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</si>
  <si>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</si>
  <si>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</si>
  <si>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</si>
  <si>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</si>
  <si>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</si>
  <si>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</si>
  <si>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</si>
  <si>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</si>
  <si>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</si>
  <si>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</si>
  <si>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</si>
  <si>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</si>
  <si>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</si>
  <si>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</si>
  <si>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</si>
  <si>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</si>
  <si>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</si>
  <si>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</si>
  <si>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</si>
  <si>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</si>
  <si>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</si>
  <si>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</si>
  <si>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</si>
  <si>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</si>
  <si>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</si>
  <si>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</si>
  <si>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</si>
  <si>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</si>
  <si>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</si>
  <si>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</si>
  <si>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</si>
  <si>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</si>
  <si>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</si>
  <si>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</si>
  <si>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</si>
  <si>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</si>
  <si>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</si>
  <si>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</si>
  <si>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</si>
  <si>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</si>
  <si>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</si>
  <si>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</si>
  <si>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</si>
  <si>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</si>
  <si>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</si>
  <si>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</si>
  <si>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</si>
  <si>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</si>
  <si>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</si>
  <si>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</si>
  <si>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</si>
  <si>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</si>
  <si>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</si>
  <si>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</si>
  <si>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</si>
  <si>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</si>
  <si>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</si>
  <si>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</si>
  <si>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</si>
  <si>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</si>
  <si>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</si>
  <si>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</si>
  <si>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</si>
  <si>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</si>
  <si>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</si>
  <si>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</si>
  <si>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</si>
  <si>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</si>
  <si>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</si>
  <si>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</si>
  <si>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</si>
  <si>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</si>
  <si>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</si>
  <si>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</si>
  <si>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</si>
  <si>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</si>
  <si>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</si>
  <si>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</si>
  <si>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</si>
  <si>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</si>
  <si>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</si>
  <si>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</si>
  <si>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</si>
  <si>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</si>
  <si>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</si>
  <si>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</si>
  <si>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</si>
  <si>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</si>
  <si>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</si>
  <si>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</si>
  <si>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</si>
  <si>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</si>
  <si>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</si>
  <si>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</si>
  <si>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</si>
  <si>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</si>
  <si>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</si>
  <si>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</si>
  <si>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</si>
  <si>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</si>
  <si>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</si>
  <si>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</si>
  <si>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</si>
  <si>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</si>
  <si>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</si>
  <si>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</si>
  <si>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</si>
  <si>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</si>
  <si>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</si>
  <si>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</si>
  <si>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</si>
  <si>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</si>
  <si>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</si>
  <si>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</si>
  <si>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</si>
  <si>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</si>
  <si>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</si>
  <si>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</si>
  <si>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</si>
  <si>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</si>
  <si>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</si>
  <si>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</si>
  <si>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</si>
  <si>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</si>
  <si>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</si>
  <si>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</si>
  <si>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</si>
  <si>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</si>
  <si>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</si>
  <si>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</si>
  <si>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</si>
  <si>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</si>
  <si>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</si>
  <si>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</si>
  <si>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</si>
  <si>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</si>
  <si>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</si>
  <si>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</si>
  <si>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</si>
  <si>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</si>
  <si>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</si>
  <si>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</si>
  <si>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</si>
  <si>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</si>
  <si>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</si>
  <si>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</si>
  <si>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</si>
  <si>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</si>
  <si>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</si>
  <si>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</si>
  <si>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</si>
  <si>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</si>
  <si>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</si>
  <si>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</si>
  <si>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</si>
  <si>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</si>
  <si>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</si>
  <si>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</si>
  <si>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</si>
  <si>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</si>
  <si>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</si>
  <si>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</si>
  <si>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</si>
  <si>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</si>
  <si>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</si>
  <si>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</si>
  <si>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</si>
  <si>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</si>
  <si>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</si>
  <si>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</si>
  <si>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</si>
  <si>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</si>
  <si>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</si>
  <si>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</si>
  <si>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</si>
  <si>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</si>
  <si>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</si>
  <si>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</si>
  <si>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</si>
  <si>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</si>
  <si>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</si>
  <si>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</si>
  <si>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</si>
  <si>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</si>
  <si>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</si>
  <si>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</si>
  <si>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</si>
  <si>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</si>
  <si>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</si>
  <si>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</si>
  <si>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</si>
  <si>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</si>
  <si>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</si>
  <si>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</si>
  <si>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</si>
  <si>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</si>
  <si>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</si>
  <si>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</si>
  <si>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</si>
  <si>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</si>
  <si>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</si>
  <si>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</si>
  <si>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</si>
  <si>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</si>
  <si>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</si>
  <si>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</si>
  <si>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</si>
  <si>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</si>
  <si>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</si>
  <si>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</si>
  <si>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</si>
  <si>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</si>
  <si>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</si>
  <si>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</si>
  <si>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</si>
  <si>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</si>
  <si>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</si>
  <si>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</si>
  <si>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</si>
  <si>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</si>
  <si>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</si>
  <si>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</si>
  <si>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</si>
  <si>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</si>
  <si>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</si>
  <si>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</si>
  <si>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</si>
  <si>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</si>
  <si>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</si>
  <si>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</si>
  <si>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</si>
  <si>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</si>
  <si>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</si>
  <si>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</si>
  <si>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</si>
  <si>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</si>
  <si>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</si>
  <si>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</si>
  <si>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</si>
  <si>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</si>
  <si>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</si>
  <si>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</si>
  <si>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</si>
  <si>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</si>
  <si>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</si>
  <si>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</si>
  <si>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</si>
  <si>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</si>
  <si>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</si>
  <si>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</si>
  <si>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</si>
  <si>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</si>
  <si>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</si>
  <si>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</si>
  <si>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</si>
  <si>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</si>
  <si>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</si>
  <si>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</si>
  <si>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</si>
  <si>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</si>
  <si>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</si>
  <si>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</si>
  <si>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</si>
  <si>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</si>
  <si>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</si>
  <si>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</si>
  <si>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</si>
  <si>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</si>
  <si>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</si>
  <si>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</si>
  <si>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</si>
  <si>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</si>
  <si>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</si>
  <si>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</si>
  <si>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</si>
  <si>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</si>
  <si>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</si>
  <si>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</si>
  <si>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</si>
  <si>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</si>
  <si>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</si>
  <si>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</si>
  <si>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</si>
  <si>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</si>
  <si>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</si>
  <si>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</si>
  <si>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</si>
  <si>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</si>
  <si>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</si>
  <si>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</si>
  <si>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</si>
  <si>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</si>
  <si>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</si>
  <si>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</si>
  <si>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</si>
  <si>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</si>
  <si>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</si>
  <si>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</si>
  <si>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</si>
  <si>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</si>
  <si>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</si>
  <si>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</si>
  <si>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</si>
  <si>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</si>
  <si>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</si>
  <si>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</si>
  <si>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</si>
  <si>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</si>
  <si>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</si>
  <si>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</si>
  <si>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</si>
  <si>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</si>
  <si>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</si>
  <si>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</si>
  <si>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</si>
  <si>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</si>
  <si>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</si>
  <si>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</si>
  <si>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</si>
  <si>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</si>
  <si>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</si>
  <si>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</si>
  <si>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</si>
  <si>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</si>
  <si>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</si>
  <si>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</si>
  <si>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</si>
  <si>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</si>
  <si>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</si>
  <si>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</si>
  <si>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</si>
  <si>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</si>
  <si>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</si>
  <si>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</si>
  <si>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</si>
  <si>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</si>
  <si>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</si>
  <si>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</si>
  <si>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</si>
  <si>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</si>
  <si>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</si>
  <si>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</si>
  <si>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</si>
  <si>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</si>
  <si>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</si>
  <si>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</si>
  <si>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</si>
  <si>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</si>
  <si>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</si>
  <si>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</si>
  <si>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</si>
  <si>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</si>
  <si>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</si>
  <si>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</si>
  <si>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</si>
  <si>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</si>
  <si>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</si>
  <si>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</si>
  <si>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</si>
  <si>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</si>
  <si>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</si>
  <si>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</si>
  <si>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</si>
  <si>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</si>
  <si>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</si>
  <si>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</si>
  <si>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</si>
  <si>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</si>
  <si>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</si>
  <si>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</si>
  <si>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</si>
  <si>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</si>
  <si>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</si>
  <si>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</si>
  <si>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</si>
  <si>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</si>
  <si>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</si>
  <si>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</si>
  <si>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</si>
  <si>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</si>
  <si>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</si>
  <si>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</si>
  <si>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</si>
  <si>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</si>
  <si>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</si>
  <si>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</si>
  <si>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</si>
  <si>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</si>
  <si>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</si>
  <si>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</si>
  <si>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</si>
  <si>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</si>
  <si>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</si>
  <si>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</si>
  <si>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</si>
  <si>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</si>
  <si>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</si>
  <si>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</si>
  <si>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</si>
  <si>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</si>
  <si>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</si>
  <si>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</si>
  <si>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</si>
  <si>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</si>
  <si>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</si>
  <si>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</si>
  <si>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</si>
  <si>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</si>
  <si>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</si>
  <si>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</si>
  <si>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</si>
  <si>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</si>
  <si>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</si>
  <si>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</si>
  <si>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</si>
  <si>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</si>
  <si>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</si>
  <si>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</si>
  <si>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</si>
  <si>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</si>
  <si>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</si>
  <si>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</si>
  <si>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</si>
  <si>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</si>
  <si>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</si>
  <si>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</si>
  <si>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</si>
  <si>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</si>
  <si>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</si>
  <si>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</si>
  <si>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</si>
  <si>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</si>
  <si>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</si>
  <si>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</si>
  <si>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</si>
  <si>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</si>
  <si>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</si>
  <si>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</si>
  <si>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</si>
  <si>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</si>
  <si>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</si>
  <si>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</si>
  <si>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</si>
  <si>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</si>
  <si>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</si>
  <si>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</si>
  <si>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</si>
  <si>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</si>
  <si>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</si>
  <si>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</si>
  <si>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</si>
  <si>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</si>
  <si>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</si>
  <si>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</si>
  <si>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</si>
  <si>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</si>
  <si>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</si>
  <si>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</si>
  <si>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</si>
  <si>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</si>
  <si>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</si>
  <si>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</si>
  <si>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</si>
  <si>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</si>
  <si>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</si>
  <si>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</si>
  <si>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</si>
  <si>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</si>
  <si>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</si>
  <si>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</si>
  <si>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</si>
  <si>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</si>
  <si>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</si>
  <si>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</si>
  <si>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</si>
  <si>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</si>
  <si>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</si>
  <si>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</si>
  <si>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</si>
  <si>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</si>
  <si>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</si>
  <si>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</si>
  <si>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</si>
  <si>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</si>
  <si>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</si>
  <si>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</si>
  <si>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</si>
  <si>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</si>
  <si>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</si>
  <si>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</si>
  <si>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</si>
  <si>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</si>
  <si>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</si>
  <si>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</si>
  <si>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</si>
  <si>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</si>
  <si>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</si>
  <si>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</si>
  <si>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</si>
  <si>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</si>
  <si>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</si>
  <si>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</si>
  <si>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</si>
  <si>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</si>
  <si>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</si>
  <si>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</si>
  <si>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</si>
  <si>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</si>
  <si>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</si>
  <si>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</si>
  <si>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</si>
  <si>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</si>
  <si>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</si>
  <si>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</si>
  <si>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</si>
  <si>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</si>
  <si>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</si>
  <si>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</si>
  <si>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</si>
  <si>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</si>
  <si>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</si>
  <si>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</si>
  <si>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</si>
  <si>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</si>
  <si>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</si>
  <si>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</si>
  <si>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</si>
  <si>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</si>
  <si>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</si>
  <si>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</si>
  <si>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</si>
  <si>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</si>
  <si>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</si>
  <si>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</si>
  <si>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</si>
  <si>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</si>
  <si>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</si>
  <si>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</si>
  <si>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</si>
  <si>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</si>
  <si>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</si>
  <si>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</si>
  <si>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</si>
  <si>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</si>
  <si>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</si>
  <si>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</si>
  <si>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</si>
  <si>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</si>
  <si>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</si>
  <si>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</si>
  <si>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</si>
  <si>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</si>
  <si>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</si>
  <si>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</si>
  <si>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</si>
  <si>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</si>
  <si>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</si>
  <si>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</si>
  <si>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</si>
  <si>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</si>
  <si>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</si>
  <si>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</si>
  <si>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</si>
  <si>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</si>
  <si>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</si>
  <si>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</si>
  <si>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</si>
  <si>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</si>
  <si>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</si>
  <si>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</si>
  <si>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</si>
  <si>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</si>
  <si>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</si>
  <si>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</si>
  <si>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</si>
  <si>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</si>
  <si>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</si>
  <si>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</si>
  <si>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</si>
  <si>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</si>
  <si>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</si>
  <si>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</si>
  <si>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</si>
  <si>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</si>
  <si>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</si>
  <si>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</si>
  <si>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</si>
  <si>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</si>
  <si>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</si>
  <si>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</si>
  <si>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</si>
  <si>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</si>
  <si>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</si>
  <si>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</si>
  <si>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</si>
  <si>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</si>
  <si>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</si>
  <si>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</si>
  <si>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</si>
  <si>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</si>
  <si>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</si>
  <si>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</si>
  <si>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</si>
  <si>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</si>
  <si>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</si>
  <si>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</si>
  <si>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</si>
  <si>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</si>
  <si>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</si>
  <si>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</si>
  <si>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</si>
  <si>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</si>
  <si>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</si>
  <si>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</si>
  <si>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</si>
  <si>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</si>
  <si>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</si>
  <si>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</si>
  <si>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</si>
  <si>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</si>
  <si>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</si>
  <si>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</si>
  <si>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</si>
  <si>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</si>
  <si>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</si>
  <si>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</si>
  <si>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</si>
  <si>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</si>
  <si>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</si>
  <si>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</si>
  <si>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</si>
  <si>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</si>
  <si>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</si>
  <si>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</si>
  <si>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</si>
  <si>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</si>
  <si>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</si>
  <si>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</si>
  <si>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</si>
  <si>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</si>
  <si>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</si>
  <si>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</si>
  <si>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</si>
  <si>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</si>
  <si>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</si>
  <si>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</si>
  <si>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</si>
  <si>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</si>
  <si>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</si>
  <si>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</si>
  <si>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</si>
  <si>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</si>
  <si>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</si>
  <si>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</si>
  <si>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</si>
  <si>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</si>
  <si>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</si>
  <si>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</si>
  <si>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</si>
  <si>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</si>
  <si>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</si>
  <si>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</si>
  <si>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</si>
  <si>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</si>
  <si>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</si>
  <si>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</si>
  <si>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</si>
  <si>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</si>
  <si>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</si>
  <si>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</si>
  <si>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</si>
  <si>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</si>
  <si>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</si>
  <si>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</si>
  <si>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</si>
  <si>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</si>
  <si>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</si>
  <si>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</si>
  <si>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</si>
  <si>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</si>
  <si>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</si>
  <si>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</si>
  <si>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</si>
  <si>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</si>
  <si>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</si>
  <si>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</si>
  <si>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</si>
  <si>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</si>
  <si>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</si>
  <si>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</si>
  <si>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</si>
  <si>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</si>
  <si>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</si>
  <si>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</si>
  <si>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</si>
  <si>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</si>
  <si>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</si>
  <si>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</si>
  <si>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</si>
  <si>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</si>
  <si>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</si>
  <si>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</si>
  <si>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</si>
  <si>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</si>
  <si>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</si>
  <si>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</si>
  <si>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</si>
  <si>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</si>
  <si>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</si>
  <si>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</si>
  <si>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</si>
  <si>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</si>
  <si>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</si>
  <si>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</si>
  <si>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</si>
  <si>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</si>
  <si>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</si>
  <si>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</si>
  <si>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</si>
  <si>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</si>
  <si>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</si>
  <si>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</si>
  <si>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</si>
  <si>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</si>
  <si>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</si>
  <si>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</si>
  <si>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</si>
  <si>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</si>
  <si>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</si>
  <si>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</si>
  <si>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</si>
  <si>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</si>
  <si>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</si>
  <si>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</si>
  <si>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</si>
  <si>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</si>
  <si>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</si>
  <si>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</si>
  <si>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</si>
  <si>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</si>
  <si>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</si>
  <si>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</si>
  <si>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</si>
  <si>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</si>
  <si>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</si>
  <si>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</si>
  <si>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</si>
  <si>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</si>
  <si>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</si>
  <si>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</si>
  <si>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</si>
  <si>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</si>
  <si>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</si>
  <si>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</si>
  <si>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</si>
  <si>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</si>
  <si>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</si>
  <si>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</si>
  <si>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</si>
  <si>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</si>
  <si>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</si>
  <si>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</si>
  <si>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</si>
  <si>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</si>
  <si>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</si>
  <si>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</si>
  <si>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</si>
  <si>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</si>
  <si>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</si>
  <si>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</si>
  <si>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</si>
  <si>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</si>
  <si>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</si>
  <si>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</si>
  <si>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</si>
  <si>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</si>
  <si>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</si>
  <si>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</si>
  <si>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</si>
  <si>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</si>
  <si>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</si>
  <si>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</si>
  <si>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</si>
  <si>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</si>
  <si>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</si>
  <si>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</si>
  <si>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</si>
  <si>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</si>
  <si>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</si>
  <si>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</si>
  <si>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</si>
  <si>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</si>
  <si>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</si>
  <si>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</si>
  <si>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</si>
  <si>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</si>
  <si>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</si>
  <si>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</si>
  <si>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</si>
  <si>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</si>
  <si>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</si>
  <si>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</si>
  <si>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</si>
  <si>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</si>
  <si>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</si>
  <si>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</si>
  <si>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</si>
  <si>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</si>
  <si>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</si>
  <si>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</si>
  <si>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</si>
  <si>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</si>
  <si>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</si>
  <si>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</si>
  <si>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</si>
  <si>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</si>
  <si>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</si>
  <si>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</si>
  <si>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</si>
  <si>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</si>
  <si>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</si>
  <si>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</si>
  <si>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</si>
  <si>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</si>
  <si>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</si>
  <si>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</si>
  <si>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</si>
  <si>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</si>
  <si>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</si>
  <si>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</si>
  <si>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</si>
  <si>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</si>
  <si>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</si>
  <si>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</si>
  <si>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</si>
  <si>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</si>
  <si>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</si>
  <si>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</si>
  <si>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</si>
  <si>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</si>
  <si>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</si>
  <si>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</si>
  <si>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</si>
  <si>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</si>
  <si>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</si>
  <si>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</si>
  <si>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</si>
  <si>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</si>
  <si>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</si>
  <si>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</si>
  <si>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</si>
  <si>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</si>
  <si>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</si>
  <si>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</si>
  <si>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</si>
  <si>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</si>
  <si>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</si>
  <si>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</si>
  <si>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</si>
  <si>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</si>
  <si>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</si>
  <si>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</si>
  <si>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</si>
  <si>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</si>
  <si>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</si>
  <si>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</si>
  <si>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</si>
  <si>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</si>
  <si>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</si>
  <si>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</si>
  <si>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</si>
  <si>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</si>
  <si>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</si>
  <si>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</si>
  <si>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</si>
  <si>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</si>
  <si>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</si>
  <si>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</si>
  <si>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</si>
  <si>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</si>
  <si>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</si>
  <si>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</si>
  <si>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</si>
  <si>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</si>
  <si>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</si>
  <si>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</si>
  <si>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</si>
  <si>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</si>
  <si>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</si>
  <si>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</si>
  <si>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</si>
  <si>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</si>
  <si>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</si>
  <si>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</si>
  <si>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</si>
  <si>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</si>
  <si>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</si>
  <si>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</si>
  <si>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</si>
  <si>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</si>
  <si>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</si>
  <si>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</si>
  <si>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</si>
  <si>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</si>
  <si>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</si>
  <si>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</si>
  <si>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</si>
  <si>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</si>
  <si>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</si>
  <si>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</si>
  <si>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</si>
  <si>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</si>
  <si>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</si>
  <si>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</si>
  <si>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</si>
  <si>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</si>
  <si>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</si>
  <si>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</si>
  <si>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</si>
  <si>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</si>
  <si>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</si>
  <si>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</si>
  <si>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</si>
  <si>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</si>
  <si>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</si>
  <si>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</si>
  <si>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</si>
  <si>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</si>
  <si>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</si>
  <si>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</si>
  <si>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</si>
  <si>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</si>
  <si>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</si>
  <si>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</si>
  <si>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</si>
  <si>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</si>
  <si>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</si>
  <si>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</si>
  <si>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</si>
  <si>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</si>
  <si>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</si>
  <si>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</si>
  <si>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</si>
  <si>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</si>
  <si>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</si>
  <si>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</si>
  <si>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</si>
  <si>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</si>
  <si>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</si>
  <si>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</si>
  <si>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</si>
  <si>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</si>
  <si>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</si>
  <si>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</si>
  <si>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</si>
  <si>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</si>
  <si>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</si>
  <si>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</si>
  <si>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</si>
  <si>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</si>
  <si>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</si>
  <si>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</si>
  <si>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</si>
  <si>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</si>
  <si>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</si>
  <si>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</si>
  <si>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</si>
  <si>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</si>
  <si>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</si>
  <si>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</si>
  <si>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</si>
  <si>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</si>
  <si>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</si>
  <si>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</si>
  <si>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</si>
  <si>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</si>
  <si>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</si>
  <si>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</si>
  <si>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</si>
  <si>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</si>
  <si>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</si>
  <si>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</si>
  <si>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</si>
  <si>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</si>
  <si>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</si>
  <si>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</si>
  <si>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</si>
  <si>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</si>
  <si>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</si>
  <si>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</si>
  <si>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</si>
  <si>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</si>
  <si>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</si>
  <si>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</si>
  <si>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</si>
  <si>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</si>
  <si>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</si>
  <si>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</si>
  <si>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</si>
  <si>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</si>
  <si>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</si>
  <si>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</si>
  <si>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</si>
  <si>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</si>
  <si>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</si>
  <si>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</si>
  <si>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</si>
  <si>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</si>
  <si>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</si>
  <si>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</si>
  <si>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</si>
  <si>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</si>
  <si>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</si>
  <si>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</si>
  <si>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</si>
  <si>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</si>
  <si>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</si>
  <si>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</si>
  <si>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</si>
  <si>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</si>
  <si>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</si>
  <si>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</si>
  <si>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</si>
  <si>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</si>
  <si>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</si>
  <si>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</si>
  <si>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</si>
  <si>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</si>
  <si>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</si>
  <si>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</si>
  <si>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</si>
  <si>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</si>
  <si>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</si>
  <si>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</si>
  <si>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</si>
  <si>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</si>
  <si>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</si>
  <si>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</si>
  <si>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</si>
  <si>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</si>
  <si>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</si>
  <si>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</si>
  <si>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</si>
  <si>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</si>
  <si>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</si>
  <si>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</si>
  <si>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</si>
  <si>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</si>
  <si>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</si>
  <si>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</si>
  <si>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</si>
  <si>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</si>
  <si>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</si>
  <si>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</si>
  <si>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</si>
  <si>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</si>
  <si>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</si>
  <si>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</si>
  <si>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</si>
  <si>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</si>
  <si>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</si>
  <si>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</si>
  <si>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</si>
  <si>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</si>
  <si>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</si>
  <si>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</si>
  <si>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</si>
  <si>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</si>
  <si>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</si>
  <si>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</si>
  <si>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</si>
  <si>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</si>
  <si>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</si>
  <si>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</si>
  <si>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</si>
  <si>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</si>
  <si>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</si>
  <si>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</si>
  <si>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</si>
  <si>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</si>
  <si>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</si>
  <si>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</si>
  <si>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</si>
  <si>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</si>
  <si>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</si>
  <si>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</si>
  <si>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</si>
  <si>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</si>
  <si>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</si>
  <si>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</si>
  <si>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</si>
  <si>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</si>
  <si>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</si>
  <si>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</si>
  <si>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</si>
  <si>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</si>
  <si>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</si>
  <si>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</si>
  <si>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</si>
  <si>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</si>
  <si>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</si>
  <si>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</si>
  <si>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</si>
  <si>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</si>
  <si>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</si>
  <si>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</si>
  <si>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</si>
  <si>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</si>
  <si>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</si>
  <si>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</si>
  <si>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</si>
  <si>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</si>
  <si>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</si>
  <si>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</si>
  <si>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</si>
  <si>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</si>
  <si>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</si>
  <si>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</si>
  <si>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</si>
  <si>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</si>
  <si>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</si>
  <si>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</si>
  <si>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</si>
  <si>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</si>
  <si>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</si>
  <si>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</si>
  <si>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</si>
  <si>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</si>
  <si>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</si>
  <si>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</si>
  <si>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</si>
  <si>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</si>
  <si>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</si>
  <si>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</si>
  <si>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</si>
  <si>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</si>
  <si>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</si>
  <si>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</si>
  <si>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</si>
  <si>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</si>
  <si>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</si>
  <si>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</si>
  <si>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</si>
  <si>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</si>
  <si>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</si>
  <si>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</si>
  <si>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</si>
  <si>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</si>
  <si>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</si>
  <si>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</si>
  <si>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</si>
  <si>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</si>
  <si>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</si>
  <si>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</si>
  <si>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</si>
  <si>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</si>
  <si>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</si>
  <si>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</si>
  <si>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</si>
  <si>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</si>
  <si>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</si>
  <si>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</si>
  <si>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</si>
  <si>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</si>
  <si>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</si>
  <si>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</si>
  <si>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</si>
  <si>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</si>
  <si>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</si>
  <si>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</si>
  <si>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</si>
  <si>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</si>
  <si>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</si>
  <si>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</si>
  <si>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</si>
  <si>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</si>
  <si>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</si>
  <si>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</si>
  <si>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</si>
  <si>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</si>
  <si>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</si>
  <si>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</si>
  <si>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</si>
  <si>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</si>
  <si>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</si>
  <si>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</si>
  <si>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</si>
  <si>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</si>
  <si>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</si>
  <si>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</si>
  <si>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</si>
  <si>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</si>
  <si>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</si>
  <si>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</si>
  <si>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</si>
  <si>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</si>
  <si>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</si>
  <si>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</si>
  <si>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</si>
  <si>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</si>
  <si>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</si>
  <si>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</si>
  <si>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</si>
  <si>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</si>
  <si>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</si>
  <si>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</si>
  <si>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</si>
  <si>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</si>
  <si>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</si>
  <si>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</si>
  <si>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</si>
  <si>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</si>
  <si>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</si>
  <si>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</si>
  <si>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</si>
  <si>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</si>
  <si>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</si>
  <si>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</si>
  <si>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</si>
  <si>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</si>
  <si>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</si>
  <si>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</si>
  <si>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</si>
  <si>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</si>
  <si>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</si>
  <si>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</si>
  <si>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</si>
  <si>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</si>
  <si>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</si>
  <si>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</si>
  <si>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</si>
  <si>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</si>
  <si>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</si>
  <si>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</si>
  <si>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</si>
  <si>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</si>
  <si>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</si>
  <si>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</si>
  <si>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</si>
  <si>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</si>
  <si>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</si>
  <si>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</si>
  <si>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</si>
  <si>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</si>
  <si>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</si>
  <si>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</si>
  <si>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</si>
  <si>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</si>
  <si>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</si>
  <si>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</si>
  <si>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</si>
  <si>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</si>
  <si>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</si>
  <si>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</si>
  <si>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</si>
  <si>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</si>
  <si>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</si>
  <si>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</si>
  <si>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</si>
  <si>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</si>
  <si>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</si>
  <si>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</si>
  <si>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</si>
  <si>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</si>
  <si>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</si>
  <si>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</si>
  <si>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</si>
  <si>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</si>
  <si>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</si>
  <si>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</si>
  <si>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</si>
  <si>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</si>
  <si>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</si>
  <si>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</si>
  <si>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</si>
  <si>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</si>
  <si>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</si>
  <si>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</si>
  <si>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</si>
  <si>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</si>
  <si>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</si>
  <si>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</si>
  <si>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</si>
  <si>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</si>
  <si>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</si>
  <si>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</si>
  <si>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</si>
  <si>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</si>
  <si>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</si>
  <si>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</si>
  <si>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</si>
  <si>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</si>
  <si>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</si>
  <si>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</si>
  <si>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</si>
  <si>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</si>
  <si>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</si>
  <si>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</si>
  <si>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</si>
  <si>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</si>
  <si>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</si>
  <si>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</si>
  <si>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</si>
  <si>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</si>
  <si>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</si>
  <si>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</si>
  <si>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</si>
  <si>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</si>
  <si>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</si>
  <si>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</si>
  <si>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</si>
  <si>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</si>
  <si>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</si>
  <si>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</si>
  <si>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</si>
  <si>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</si>
  <si>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</si>
  <si>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</si>
  <si>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</si>
  <si>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</si>
  <si>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</si>
  <si>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</si>
  <si>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</si>
  <si>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</si>
  <si>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</si>
  <si>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</si>
  <si>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</si>
  <si>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</si>
  <si>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</si>
  <si>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</si>
  <si>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</si>
  <si>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</si>
  <si>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</si>
  <si>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</si>
  <si>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</si>
  <si>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</si>
  <si>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</si>
  <si>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</si>
  <si>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</si>
  <si>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</si>
  <si>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</si>
  <si>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</si>
  <si>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</si>
  <si>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</si>
  <si>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</si>
  <si>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</si>
  <si>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</si>
  <si>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</si>
  <si>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</si>
  <si>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</si>
  <si>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</si>
  <si>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</si>
  <si>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</si>
  <si>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</si>
  <si>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</si>
  <si>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</si>
  <si>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</si>
  <si>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</si>
  <si>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</si>
  <si>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</si>
  <si>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</si>
  <si>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</si>
  <si>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</si>
  <si>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</si>
  <si>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</si>
  <si>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</si>
  <si>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</si>
  <si>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</si>
  <si>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</si>
  <si>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</si>
  <si>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</si>
  <si>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</si>
  <si>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</si>
  <si>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</si>
  <si>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</si>
  <si>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</si>
  <si>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</si>
  <si>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</si>
  <si>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</si>
  <si>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</si>
  <si>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</si>
  <si>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</si>
  <si>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</si>
  <si>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</si>
  <si>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</si>
  <si>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</si>
  <si>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</si>
  <si>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</si>
  <si>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</si>
  <si>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</si>
  <si>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</si>
  <si>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</si>
  <si>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</si>
  <si>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</si>
  <si>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</si>
  <si>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</si>
  <si>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</si>
  <si>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</si>
  <si>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</si>
  <si>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</si>
  <si>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</si>
  <si>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</si>
  <si>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</si>
  <si>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</si>
  <si>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</si>
  <si>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</si>
  <si>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</si>
  <si>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</si>
  <si>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</si>
  <si>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</si>
  <si>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</si>
  <si>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</si>
  <si>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</si>
  <si>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</si>
  <si>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</si>
  <si>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</si>
  <si>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</si>
  <si>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</si>
  <si>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</si>
  <si>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</si>
  <si>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</si>
  <si>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</si>
  <si>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</si>
  <si>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</si>
  <si>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</si>
  <si>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</si>
  <si>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</si>
  <si>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</si>
  <si>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</si>
  <si>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</si>
  <si>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</si>
  <si>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</si>
  <si>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</si>
  <si>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</si>
  <si>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</si>
  <si>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</si>
  <si>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</si>
  <si>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</si>
  <si>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</si>
  <si>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</si>
  <si>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</si>
  <si>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</si>
  <si>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</si>
  <si>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</si>
  <si>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</si>
  <si>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</si>
  <si>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</si>
  <si>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</si>
  <si>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</si>
  <si>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</si>
  <si>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</si>
  <si>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</si>
  <si>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</si>
  <si>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</si>
  <si>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</si>
  <si>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</si>
  <si>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</si>
  <si>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</si>
  <si>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</si>
  <si>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</si>
  <si>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</si>
  <si>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</si>
  <si>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</si>
  <si>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</si>
  <si>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</si>
  <si>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</si>
  <si>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</si>
  <si>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</si>
  <si>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</si>
  <si>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</si>
  <si>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</si>
  <si>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</si>
  <si>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</si>
  <si>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</si>
  <si>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</si>
  <si>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</si>
  <si>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</si>
  <si>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</si>
  <si>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</si>
  <si>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</si>
  <si>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</si>
  <si>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</si>
  <si>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</si>
  <si>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</si>
  <si>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</si>
  <si>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</si>
  <si>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</si>
  <si>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</si>
  <si>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</si>
  <si>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</si>
  <si>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</si>
  <si>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</si>
  <si>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</si>
  <si>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</si>
  <si>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</si>
  <si>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</si>
  <si>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</si>
  <si>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</si>
  <si>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</si>
  <si>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</si>
  <si>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</si>
  <si>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</si>
  <si>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</si>
  <si>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</si>
  <si>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</si>
  <si>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</si>
  <si>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</si>
  <si>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</si>
  <si>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</si>
  <si>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</si>
  <si>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</si>
  <si>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</si>
  <si>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</si>
  <si>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</si>
  <si>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</si>
  <si>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</si>
  <si>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</si>
  <si>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</si>
  <si>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</si>
  <si>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</si>
  <si>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</si>
  <si>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</si>
  <si>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</si>
  <si>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</si>
  <si>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</si>
  <si>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</si>
  <si>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</si>
  <si>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</si>
  <si>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</si>
  <si>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</si>
  <si>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</si>
  <si>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</si>
  <si>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</si>
  <si>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</si>
  <si>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</si>
  <si>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</si>
  <si>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</si>
  <si>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</si>
  <si>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</si>
  <si>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</si>
  <si>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</si>
  <si>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</si>
  <si>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</si>
  <si>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</si>
  <si>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</si>
  <si>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</si>
  <si>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</si>
  <si>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</si>
  <si>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</si>
  <si>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</si>
  <si>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</si>
  <si>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</si>
  <si>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</si>
  <si>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</si>
  <si>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</si>
  <si>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</si>
  <si>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</si>
  <si>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</si>
  <si>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</si>
  <si>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</si>
  <si>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</si>
  <si>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</si>
  <si>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</si>
  <si>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</si>
  <si>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</si>
  <si>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</si>
  <si>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</si>
  <si>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</si>
  <si>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</si>
  <si>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</si>
  <si>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</si>
  <si>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</si>
  <si>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</si>
  <si>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</si>
  <si>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</si>
  <si>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</si>
  <si>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</si>
  <si>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</si>
  <si>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</si>
  <si>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</si>
  <si>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</si>
  <si>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</si>
  <si>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</si>
  <si>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</si>
  <si>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</si>
  <si>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</si>
  <si>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</si>
  <si>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</si>
  <si>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</si>
  <si>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</si>
  <si>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</si>
  <si>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</si>
  <si>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</si>
  <si>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</si>
  <si>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</si>
  <si>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</si>
  <si>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</si>
  <si>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</si>
  <si>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</si>
  <si>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</si>
  <si>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</si>
  <si>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</si>
  <si>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</si>
  <si>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</si>
  <si>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</si>
  <si>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</si>
  <si>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</si>
  <si>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</si>
  <si>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</si>
  <si>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</si>
  <si>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</si>
  <si>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</si>
  <si>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</si>
  <si>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</si>
  <si>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</si>
  <si>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</si>
  <si>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</si>
  <si>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</si>
  <si>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</si>
  <si>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</si>
  <si>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</si>
  <si>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</si>
  <si>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</si>
  <si>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</si>
  <si>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</si>
  <si>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</si>
  <si>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</si>
  <si>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</si>
  <si>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</si>
  <si>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</si>
  <si>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</si>
  <si>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</si>
  <si>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</si>
  <si>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</si>
  <si>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</si>
  <si>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</si>
  <si>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</si>
  <si>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</si>
  <si>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</si>
  <si>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</si>
  <si>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</si>
  <si>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</si>
  <si>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</si>
  <si>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</si>
  <si>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</si>
  <si>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</si>
  <si>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</si>
  <si>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</si>
  <si>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</si>
  <si>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</si>
  <si>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</si>
  <si>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</si>
  <si>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</si>
  <si>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</si>
  <si>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</si>
  <si>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</si>
  <si>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</si>
  <si>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</si>
  <si>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</si>
  <si>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</si>
  <si>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</si>
  <si>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</si>
  <si>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</si>
  <si>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</si>
  <si>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</si>
  <si>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</si>
  <si>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</si>
  <si>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</si>
  <si>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</si>
  <si>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</si>
  <si>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</si>
  <si>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</si>
  <si>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</si>
  <si>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</si>
  <si>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</si>
  <si>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</si>
  <si>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</si>
  <si>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</si>
  <si>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</si>
  <si>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</si>
  <si>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</si>
  <si>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</si>
  <si>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</si>
  <si>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</si>
  <si>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</si>
  <si>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</si>
  <si>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</si>
  <si>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</si>
  <si>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</si>
  <si>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</si>
  <si>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</si>
  <si>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</si>
  <si>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</si>
  <si>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</si>
  <si>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</si>
  <si>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</si>
  <si>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</si>
  <si>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</si>
  <si>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</si>
  <si>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</si>
  <si>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</si>
  <si>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</si>
  <si>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</si>
  <si>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</si>
  <si>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</si>
  <si>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</si>
  <si>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</si>
  <si>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</si>
  <si>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</si>
  <si>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</si>
  <si>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</si>
  <si>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</si>
  <si>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</si>
  <si>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</si>
  <si>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</si>
  <si>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</si>
  <si>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</si>
  <si>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</si>
  <si>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</si>
  <si>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</si>
  <si>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</si>
  <si>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</si>
  <si>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</si>
  <si>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</si>
  <si>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</si>
  <si>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</si>
  <si>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</si>
  <si>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</si>
  <si>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</si>
  <si>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</si>
  <si>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</si>
  <si>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</si>
  <si>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</si>
  <si>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</si>
  <si>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</si>
  <si>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</si>
  <si>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</si>
  <si>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</si>
  <si>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</si>
  <si>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</si>
  <si>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</si>
  <si>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</si>
  <si>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</si>
  <si>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</si>
  <si>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</si>
  <si>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</si>
  <si>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</si>
  <si>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</si>
  <si>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</si>
  <si>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</si>
  <si>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</si>
  <si>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</si>
  <si>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</si>
  <si>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</si>
  <si>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</si>
  <si>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</si>
  <si>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</si>
  <si>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</si>
  <si>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</si>
  <si>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</si>
  <si>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</si>
  <si>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</si>
  <si>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</si>
  <si>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</si>
  <si>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</si>
  <si>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</si>
  <si>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</si>
  <si>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</si>
  <si>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</si>
  <si>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</si>
  <si>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</si>
  <si>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</si>
  <si>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</si>
  <si>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</si>
  <si>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</si>
  <si>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</si>
  <si>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</si>
  <si>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</si>
  <si>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</si>
  <si>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</si>
  <si>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</si>
  <si>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</si>
  <si>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</si>
  <si>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</si>
  <si>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</si>
  <si>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</si>
  <si>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</si>
  <si>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</si>
  <si>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</si>
  <si>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</si>
  <si>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</si>
  <si>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</si>
  <si>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</si>
  <si>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</si>
  <si>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</si>
  <si>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</si>
  <si>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</si>
  <si>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</si>
  <si>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</si>
  <si>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</si>
  <si>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</si>
  <si>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</si>
  <si>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</si>
  <si>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</si>
  <si>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</si>
  <si>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</si>
  <si>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</si>
  <si>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</si>
  <si>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</si>
  <si>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</si>
  <si>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</si>
  <si>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</si>
  <si>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</si>
  <si>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</si>
  <si>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</si>
  <si>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</si>
  <si>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</si>
  <si>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</si>
  <si>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</si>
  <si>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</si>
  <si>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</si>
  <si>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</si>
  <si>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</si>
  <si>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</si>
  <si>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</si>
  <si>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</si>
  <si>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</si>
  <si>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</si>
  <si>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</si>
  <si>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</si>
  <si>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</si>
  <si>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</si>
  <si>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</si>
  <si>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</si>
  <si>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</si>
  <si>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</si>
  <si>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</si>
  <si>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</si>
  <si>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</si>
  <si>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</si>
  <si>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</si>
  <si>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</si>
  <si>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</si>
  <si>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</si>
  <si>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</si>
  <si>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</si>
  <si>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</si>
  <si>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</si>
  <si>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</si>
  <si>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</si>
  <si>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</si>
  <si>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</si>
  <si>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</si>
  <si>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</si>
  <si>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</si>
  <si>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</si>
  <si>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</si>
  <si>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</si>
  <si>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</si>
  <si>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</si>
  <si>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</si>
  <si>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</si>
  <si>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</si>
  <si>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</si>
  <si>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</si>
  <si>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</si>
  <si>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</si>
  <si>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</si>
  <si>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</si>
  <si>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</si>
  <si>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</si>
  <si>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</si>
  <si>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</si>
  <si>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</si>
  <si>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</si>
  <si>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</si>
  <si>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</si>
  <si>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</si>
  <si>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</si>
  <si>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</si>
  <si>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</si>
  <si>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</si>
  <si>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</si>
  <si>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</si>
  <si>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</si>
  <si>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</si>
  <si>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</si>
  <si>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</si>
  <si>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</si>
  <si>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</si>
  <si>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</si>
  <si>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</si>
  <si>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</si>
  <si>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</si>
  <si>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</si>
  <si>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</si>
  <si>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</si>
  <si>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</si>
  <si>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</si>
  <si>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</si>
  <si>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</si>
  <si>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</si>
  <si>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</si>
  <si>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</si>
  <si>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</si>
  <si>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</si>
  <si>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</si>
  <si>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</si>
  <si>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</si>
  <si>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</si>
  <si>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</si>
  <si>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</si>
  <si>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</si>
  <si>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</si>
  <si>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</si>
  <si>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</si>
  <si>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</si>
  <si>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</si>
  <si>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</si>
  <si>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</si>
  <si>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</si>
  <si>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</si>
  <si>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</si>
  <si>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</si>
  <si>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</si>
  <si>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</si>
  <si>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</si>
  <si>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</si>
  <si>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</si>
  <si>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</si>
  <si>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</si>
  <si>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</si>
  <si>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</si>
  <si>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</si>
  <si>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</si>
  <si>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</si>
  <si>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</si>
  <si>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</si>
  <si>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</si>
  <si>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</si>
  <si>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</si>
  <si>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</si>
  <si>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</si>
  <si>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</si>
  <si>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</si>
  <si>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</si>
  <si>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</si>
  <si>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</si>
  <si>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</si>
  <si>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</si>
  <si>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</si>
  <si>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</si>
  <si>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</si>
  <si>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</si>
  <si>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</si>
  <si>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</si>
  <si>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</si>
  <si>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</si>
  <si>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</si>
  <si>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</si>
  <si>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</si>
  <si>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</si>
  <si>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</si>
  <si>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</si>
  <si>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</si>
  <si>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</si>
  <si>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</si>
  <si>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</si>
  <si>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</si>
  <si>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</si>
  <si>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</si>
  <si>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</si>
  <si>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</si>
  <si>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</si>
  <si>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</si>
  <si>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</si>
  <si>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</si>
  <si>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</si>
  <si>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</si>
  <si>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</si>
  <si>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</si>
  <si>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</si>
  <si>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</si>
  <si>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</si>
  <si>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</si>
  <si>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</si>
  <si>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</si>
  <si>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</si>
  <si>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</si>
  <si>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</si>
  <si>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</si>
  <si>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</si>
  <si>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</si>
  <si>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</si>
  <si>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</si>
  <si>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</si>
  <si>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</si>
  <si>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</si>
  <si>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</si>
  <si>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</si>
  <si>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</si>
  <si>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</si>
  <si>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</si>
  <si>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</si>
  <si>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</si>
  <si>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</si>
  <si>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</si>
  <si>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</si>
  <si>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</si>
  <si>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</si>
  <si>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</si>
  <si>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</si>
  <si>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</si>
  <si>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</si>
  <si>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</si>
  <si>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</si>
  <si>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</si>
  <si>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</si>
  <si>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</si>
  <si>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</si>
  <si>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</si>
  <si>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</si>
  <si>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</si>
  <si>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</si>
  <si>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</si>
  <si>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</si>
  <si>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</si>
  <si>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</si>
  <si>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</si>
  <si>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</si>
  <si>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</si>
  <si>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</si>
  <si>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</si>
  <si>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</si>
  <si>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</si>
  <si>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</si>
  <si>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</si>
  <si>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</si>
  <si>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</si>
  <si>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</si>
  <si>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</si>
  <si>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</si>
  <si>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</si>
  <si>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</si>
  <si>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</si>
  <si>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</si>
  <si>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</si>
  <si>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</si>
  <si>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</si>
  <si>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</si>
  <si>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</si>
  <si>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</si>
  <si>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</si>
  <si>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</si>
  <si>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</si>
  <si>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</si>
  <si>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</si>
  <si>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</si>
  <si>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</si>
  <si>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</si>
  <si>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</si>
  <si>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</si>
  <si>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</si>
  <si>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</si>
  <si>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</si>
  <si>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</si>
  <si>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</si>
  <si>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</si>
  <si>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</si>
  <si>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</si>
  <si>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</si>
  <si>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</si>
  <si>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</si>
  <si>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</si>
  <si>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</si>
  <si>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</si>
  <si>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</si>
  <si>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</si>
  <si>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</si>
  <si>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</si>
  <si>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</si>
  <si>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</si>
  <si>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</si>
  <si>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</si>
  <si>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</si>
  <si>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</si>
  <si>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</si>
  <si>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</si>
  <si>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</si>
  <si>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</si>
  <si>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</si>
  <si>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</si>
  <si>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</si>
  <si>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</si>
  <si>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</si>
  <si>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</si>
  <si>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</si>
  <si>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</si>
  <si>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</si>
  <si>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</si>
  <si>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</si>
  <si>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</si>
  <si>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</si>
  <si>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</si>
  <si>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</si>
  <si>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</si>
  <si>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</si>
  <si>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</si>
  <si>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</si>
  <si>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</si>
  <si>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</si>
  <si>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</si>
  <si>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</si>
  <si>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</si>
  <si>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</si>
  <si>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</si>
  <si>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</si>
  <si>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</si>
  <si>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</si>
  <si>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</si>
  <si>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</si>
  <si>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</si>
  <si>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</si>
  <si>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</si>
  <si>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</si>
  <si>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</si>
  <si>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</si>
  <si>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</si>
  <si>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</si>
  <si>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</si>
  <si>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</si>
  <si>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</si>
  <si>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</si>
  <si>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</si>
  <si>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</si>
  <si>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</si>
  <si>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</si>
  <si>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</si>
  <si>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</si>
  <si>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</si>
  <si>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</si>
  <si>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</si>
  <si>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</si>
  <si>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</si>
  <si>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</si>
  <si>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</si>
  <si>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</si>
  <si>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</si>
  <si>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</si>
  <si>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</si>
  <si>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</si>
  <si>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</si>
  <si>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</si>
  <si>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</si>
  <si>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</si>
  <si>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</si>
  <si>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</si>
  <si>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</si>
  <si>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</si>
  <si>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</si>
  <si>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</si>
  <si>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</si>
  <si>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</si>
  <si>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</si>
  <si>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</si>
  <si>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</si>
  <si>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</si>
  <si>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</si>
  <si>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</si>
  <si>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</si>
  <si>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</si>
  <si>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</si>
  <si>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</si>
  <si>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</si>
  <si>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</si>
  <si>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</si>
  <si>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</si>
  <si>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</si>
  <si>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</si>
  <si>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</si>
  <si>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</si>
  <si>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</si>
  <si>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</si>
  <si>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</si>
  <si>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</si>
  <si>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</si>
  <si>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</si>
  <si>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</si>
  <si>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</si>
  <si>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</si>
  <si>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</si>
  <si>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</si>
  <si>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</si>
  <si>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</si>
  <si>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</si>
  <si>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</si>
  <si>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</si>
  <si>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</si>
  <si>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</si>
  <si>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</si>
  <si>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</si>
  <si>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</si>
  <si>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</si>
  <si>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</si>
  <si>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</si>
  <si>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</si>
  <si>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</si>
  <si>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</si>
  <si>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</si>
  <si>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</si>
  <si>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</si>
  <si>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</si>
  <si>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</si>
  <si>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</si>
  <si>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</si>
  <si>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</si>
  <si>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</si>
  <si>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</si>
  <si>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</si>
  <si>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</si>
  <si>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</si>
  <si>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</si>
  <si>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</si>
  <si>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</si>
  <si>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</si>
  <si>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</si>
  <si>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</si>
  <si>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</si>
  <si>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</si>
  <si>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</si>
  <si>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</si>
  <si>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</si>
  <si>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</si>
  <si>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</si>
  <si>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</si>
  <si>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</si>
  <si>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</si>
  <si>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</si>
  <si>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</si>
  <si>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</si>
  <si>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</si>
  <si>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</si>
  <si>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</si>
  <si>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</si>
  <si>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</si>
  <si>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</si>
  <si>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</si>
  <si>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</si>
  <si>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</si>
  <si>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</si>
  <si>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</si>
  <si>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</si>
  <si>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</si>
  <si>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</si>
  <si>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</si>
  <si>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</si>
  <si>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</si>
  <si>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</si>
  <si>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</si>
  <si>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</si>
  <si>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</si>
  <si>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</si>
  <si>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</si>
  <si>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</si>
  <si>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</si>
  <si>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</si>
  <si>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</si>
  <si>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</si>
  <si>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</si>
  <si>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</si>
  <si>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</si>
  <si>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</si>
  <si>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</si>
  <si>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</si>
  <si>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</si>
  <si>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</si>
  <si>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</si>
  <si>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</si>
  <si>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</si>
  <si>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</si>
  <si>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</si>
  <si>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</si>
  <si>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</si>
  <si>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</si>
  <si>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</si>
  <si>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</si>
  <si>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</si>
  <si>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</si>
  <si>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</si>
  <si>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</si>
  <si>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</si>
  <si>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</si>
  <si>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</si>
  <si>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</si>
  <si>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</si>
  <si>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</si>
  <si>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</si>
  <si>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</si>
  <si>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</si>
  <si>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</si>
  <si>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</si>
  <si>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</si>
  <si>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</si>
  <si>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</si>
  <si>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</si>
  <si>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</si>
  <si>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</si>
  <si>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</si>
  <si>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</si>
  <si>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</si>
  <si>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</si>
  <si>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</si>
  <si>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</si>
  <si>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</si>
  <si>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</si>
  <si>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</si>
  <si>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</si>
  <si>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</si>
  <si>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</si>
  <si>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</si>
  <si>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</si>
  <si>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</si>
  <si>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</si>
  <si>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</si>
  <si>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</si>
  <si>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</si>
  <si>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</si>
  <si>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</si>
  <si>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</si>
  <si>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</si>
  <si>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</si>
  <si>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</si>
  <si>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</si>
  <si>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</si>
  <si>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</si>
  <si>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</si>
  <si>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</si>
  <si>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</si>
  <si>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</si>
  <si>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</si>
  <si>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</si>
  <si>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</si>
  <si>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</si>
  <si>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</si>
  <si>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</si>
  <si>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</si>
  <si>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</si>
  <si>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</si>
  <si>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</si>
  <si>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</si>
  <si>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</si>
  <si>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</si>
  <si>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</si>
  <si>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</si>
  <si>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</si>
  <si>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</si>
  <si>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</si>
  <si>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</si>
  <si>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</si>
  <si>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</si>
  <si>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</si>
  <si>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</si>
  <si>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</si>
  <si>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</si>
  <si>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</si>
  <si>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</si>
  <si>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</si>
  <si>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</si>
  <si>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</si>
  <si>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</si>
  <si>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</si>
  <si>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</si>
  <si>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</si>
  <si>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</si>
  <si>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</si>
  <si>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</si>
  <si>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</si>
  <si>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</si>
  <si>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</si>
  <si>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</si>
  <si>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</si>
  <si>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</si>
  <si>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</si>
  <si>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</si>
  <si>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</si>
  <si>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</si>
  <si>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</si>
  <si>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</si>
  <si>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</si>
  <si>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</si>
  <si>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</si>
  <si>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</si>
  <si>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</si>
  <si>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</si>
  <si>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</si>
  <si>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</si>
  <si>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</si>
  <si>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</si>
  <si>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</si>
  <si>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</si>
  <si>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</si>
  <si>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</si>
  <si>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</si>
  <si>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</si>
  <si>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</si>
  <si>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</si>
  <si>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</si>
  <si>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</si>
  <si>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</si>
  <si>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</si>
  <si>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</si>
  <si>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</si>
  <si>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</si>
  <si>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</si>
  <si>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</si>
  <si>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</si>
  <si>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</si>
  <si>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</si>
  <si>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</si>
  <si>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</si>
  <si>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</si>
  <si>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</si>
  <si>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</si>
  <si>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</si>
  <si>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</si>
  <si>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</si>
  <si>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</si>
  <si>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</si>
  <si>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</si>
  <si>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</si>
  <si>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</si>
  <si>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</si>
  <si>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</si>
  <si>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</si>
  <si>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</si>
  <si>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</si>
  <si>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</si>
  <si>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</si>
  <si>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</si>
  <si>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</si>
  <si>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</si>
  <si>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</si>
  <si>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</si>
  <si>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</si>
  <si>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</si>
  <si>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</si>
  <si>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</si>
  <si>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</si>
  <si>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</si>
  <si>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</si>
  <si>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</si>
  <si>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</si>
  <si>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</si>
  <si>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</si>
  <si>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</si>
  <si>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</si>
  <si>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</si>
  <si>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</si>
  <si>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</si>
  <si>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</si>
  <si>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</si>
  <si>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</si>
  <si>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</si>
  <si>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</si>
  <si>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</si>
  <si>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</si>
  <si>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</si>
  <si>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</si>
  <si>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</si>
  <si>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</si>
  <si>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</si>
  <si>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</si>
  <si>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</si>
  <si>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</si>
  <si>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</si>
  <si>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</si>
  <si>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</si>
  <si>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</si>
  <si>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</si>
  <si>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</si>
  <si>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</si>
  <si>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</si>
  <si>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</si>
  <si>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</si>
  <si>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</si>
  <si>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</si>
  <si>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</si>
  <si>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</si>
  <si>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</si>
  <si>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</si>
  <si>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</si>
  <si>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</si>
  <si>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</si>
  <si>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</si>
  <si>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</si>
  <si>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</si>
  <si>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</si>
  <si>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</si>
  <si>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</si>
  <si>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</si>
  <si>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</si>
  <si>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</si>
  <si>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</si>
  <si>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</si>
  <si>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</si>
  <si>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</si>
  <si>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</si>
  <si>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</si>
  <si>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</si>
  <si>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</si>
  <si>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</si>
  <si>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</si>
  <si>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</si>
  <si>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</si>
  <si>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</si>
  <si>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</si>
  <si>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</si>
  <si>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</si>
  <si>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</si>
  <si>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</si>
  <si>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</si>
  <si>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</si>
  <si>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</si>
  <si>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</si>
  <si>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</si>
  <si>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</si>
  <si>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</si>
  <si>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</si>
  <si>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</si>
  <si>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</si>
  <si>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</si>
  <si>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</si>
  <si>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</si>
  <si>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</si>
  <si>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</si>
  <si>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</si>
  <si>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</si>
  <si>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</si>
  <si>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</si>
  <si>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</si>
  <si>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</si>
  <si>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</si>
  <si>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</si>
  <si>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</si>
  <si>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</si>
  <si>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</si>
  <si>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</si>
  <si>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</si>
  <si>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</si>
  <si>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</si>
  <si>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</si>
  <si>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</si>
  <si>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</si>
  <si>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</si>
  <si>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</si>
  <si>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</si>
  <si>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</si>
  <si>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</si>
  <si>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</si>
  <si>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</si>
  <si>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</si>
  <si>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</si>
  <si>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</si>
  <si>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</si>
  <si>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</si>
  <si>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</si>
  <si>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</si>
  <si>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</si>
  <si>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</si>
  <si>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</si>
  <si>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</si>
  <si>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</si>
  <si>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</si>
  <si>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</si>
  <si>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</si>
  <si>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</si>
  <si>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</si>
  <si>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</si>
  <si>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</si>
  <si>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</si>
  <si>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</si>
  <si>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</si>
  <si>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</si>
  <si>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</si>
  <si>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</si>
  <si>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</si>
  <si>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</si>
  <si>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</si>
  <si>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</si>
  <si>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</si>
  <si>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</si>
  <si>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</si>
  <si>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</si>
  <si>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</si>
  <si>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</si>
  <si>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</si>
  <si>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</si>
  <si>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</si>
  <si>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</si>
  <si>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</si>
  <si>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</si>
  <si>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</si>
  <si>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</si>
  <si>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</si>
  <si>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</si>
  <si>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</si>
  <si>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</si>
  <si>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</si>
  <si>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</si>
  <si>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</si>
  <si>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</si>
  <si>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</si>
  <si>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</si>
  <si>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</si>
  <si>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</si>
  <si>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</si>
  <si>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</si>
  <si>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</si>
  <si>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</si>
  <si>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</si>
  <si>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</si>
  <si>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</si>
  <si>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</si>
  <si>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</si>
  <si>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</si>
  <si>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</si>
  <si>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</si>
  <si>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</si>
  <si>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</si>
  <si>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</si>
  <si>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</si>
  <si>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</si>
  <si>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</si>
  <si>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</si>
  <si>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</si>
  <si>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</si>
  <si>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</si>
  <si>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</si>
  <si>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</si>
  <si>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</si>
  <si>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</si>
  <si>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</si>
  <si>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</si>
  <si>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</si>
  <si>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</si>
  <si>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</si>
  <si>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</si>
  <si>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</si>
  <si>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</si>
  <si>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</si>
  <si>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</si>
  <si>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</si>
  <si>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</si>
  <si>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</si>
  <si>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</si>
  <si>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</si>
  <si>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</si>
  <si>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</si>
  <si>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</si>
  <si>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</si>
  <si>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</si>
  <si>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</si>
  <si>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</si>
  <si>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</si>
  <si>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</si>
  <si>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</si>
  <si>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</si>
  <si>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</si>
  <si>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</si>
  <si>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</si>
  <si>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</si>
  <si>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</si>
  <si>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</si>
  <si>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</si>
  <si>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</si>
  <si>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</si>
  <si>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</si>
  <si>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</si>
  <si>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</si>
  <si>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</si>
  <si>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</si>
  <si>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</si>
  <si>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</si>
  <si>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</si>
  <si>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</si>
  <si>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</si>
  <si>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</si>
  <si>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</si>
  <si>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</si>
  <si>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</si>
  <si>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</si>
  <si>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</si>
  <si>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</si>
  <si>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</si>
  <si>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</si>
  <si>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</si>
  <si>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</si>
  <si>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</si>
  <si>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</si>
  <si>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</si>
  <si>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</si>
  <si>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</si>
  <si>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</si>
  <si>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</si>
  <si>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</si>
  <si>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</si>
  <si>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</si>
  <si>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</si>
  <si>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</si>
  <si>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</si>
  <si>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</si>
  <si>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</si>
  <si>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</si>
  <si>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</si>
  <si>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</si>
  <si>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</si>
  <si>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</si>
  <si>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</si>
  <si>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</si>
  <si>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</si>
  <si>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</si>
  <si>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</si>
  <si>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</si>
  <si>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</si>
  <si>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</si>
  <si>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</si>
  <si>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</si>
  <si>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</si>
  <si>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</si>
  <si>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</si>
  <si>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</si>
  <si>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</si>
  <si>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</si>
  <si>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</si>
  <si>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</si>
  <si>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</si>
  <si>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</si>
  <si>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</si>
  <si>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</si>
  <si>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</si>
  <si>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</si>
  <si>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</si>
  <si>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</si>
  <si>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</si>
  <si>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</si>
  <si>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</si>
  <si>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</si>
  <si>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</si>
  <si>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</si>
  <si>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</si>
  <si>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</si>
  <si>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</si>
  <si>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</si>
  <si>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</si>
  <si>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</si>
  <si>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</si>
  <si>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</si>
  <si>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</si>
  <si>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</si>
  <si>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</si>
  <si>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</si>
  <si>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</si>
  <si>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</si>
  <si>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</si>
  <si>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</si>
  <si>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</si>
  <si>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</si>
  <si>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</si>
  <si>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</si>
  <si>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</si>
  <si>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</si>
  <si>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</si>
  <si>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</si>
  <si>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</si>
  <si>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</si>
  <si>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</si>
  <si>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</si>
  <si>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</si>
  <si>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</si>
  <si>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</si>
  <si>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</si>
  <si>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</si>
  <si>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</si>
  <si>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</si>
  <si>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</si>
  <si>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</si>
  <si>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</si>
  <si>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</si>
  <si>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</si>
  <si>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</si>
  <si>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</si>
  <si>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</si>
  <si>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</si>
  <si>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</si>
  <si>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</si>
  <si>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</si>
  <si>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</si>
  <si>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</si>
  <si>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</si>
  <si>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</si>
  <si>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</si>
  <si>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</si>
  <si>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</si>
  <si>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</si>
  <si>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</si>
  <si>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</si>
  <si>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</si>
  <si>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</si>
  <si>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</si>
  <si>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</si>
  <si>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</si>
  <si>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</si>
  <si>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</si>
  <si>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</si>
  <si>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</si>
  <si>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</si>
  <si>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</si>
  <si>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</si>
  <si>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</si>
  <si>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</si>
  <si>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</si>
  <si>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</si>
  <si>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</si>
  <si>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</si>
  <si>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</si>
  <si>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</si>
  <si>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</si>
  <si>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</si>
  <si>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</si>
  <si>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</si>
  <si>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</si>
  <si>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</si>
  <si>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</si>
  <si>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</si>
  <si>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</si>
  <si>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</si>
  <si>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</si>
  <si>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</si>
  <si>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</si>
  <si>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</si>
  <si>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</si>
  <si>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</si>
  <si>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</si>
  <si>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</si>
  <si>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</si>
  <si>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</si>
  <si>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</si>
  <si>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</si>
  <si>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</si>
  <si>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</si>
  <si>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</si>
  <si>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</si>
  <si>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</si>
  <si>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</si>
  <si>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</si>
  <si>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</si>
  <si>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</si>
  <si>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</si>
  <si>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</si>
  <si>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</si>
  <si>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</si>
  <si>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</si>
  <si>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</si>
  <si>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</si>
  <si>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</si>
  <si>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</si>
  <si>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</si>
  <si>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</si>
  <si>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</si>
  <si>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</si>
  <si>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</si>
  <si>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</si>
  <si>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</si>
  <si>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</si>
  <si>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</si>
  <si>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</si>
  <si>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</si>
  <si>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</si>
  <si>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</si>
  <si>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</si>
  <si>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</si>
  <si>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</si>
  <si>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</si>
  <si>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</si>
  <si>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</si>
  <si>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</si>
  <si>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</si>
  <si>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</si>
  <si>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</si>
  <si>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</si>
  <si>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</si>
  <si>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</si>
  <si>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</si>
  <si>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</si>
  <si>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</si>
  <si>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</si>
  <si>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</si>
  <si>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</si>
  <si>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</si>
  <si>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</si>
  <si>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</si>
  <si>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</si>
  <si>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</si>
  <si>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</si>
  <si>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</si>
  <si>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</si>
  <si>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</si>
  <si>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</si>
  <si>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</si>
  <si>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</si>
  <si>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</si>
  <si>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</si>
  <si>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</si>
  <si>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</si>
  <si>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</si>
  <si>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</si>
  <si>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</si>
  <si>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</si>
  <si>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</si>
  <si>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</si>
  <si>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</si>
  <si>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</si>
  <si>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</si>
  <si>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</si>
  <si>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</si>
  <si>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</si>
  <si>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</si>
  <si>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</si>
  <si>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</si>
  <si>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</si>
  <si>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</si>
  <si>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</si>
  <si>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</si>
  <si>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</si>
  <si>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</si>
  <si>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</si>
  <si>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</si>
  <si>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</si>
  <si>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</si>
  <si>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</si>
  <si>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</si>
  <si>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</si>
  <si>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</si>
  <si>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</si>
  <si>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</si>
  <si>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</si>
  <si>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</si>
  <si>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</si>
  <si>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</si>
  <si>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</si>
  <si>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</si>
  <si>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</si>
  <si>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</si>
  <si>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</si>
  <si>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</si>
  <si>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</si>
  <si>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</si>
  <si>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</si>
  <si>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</si>
  <si>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</si>
  <si>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</si>
  <si>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</si>
  <si>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</si>
  <si>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</si>
  <si>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</si>
  <si>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</si>
  <si>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</si>
  <si>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</si>
  <si>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</si>
  <si>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</si>
  <si>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</si>
  <si>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</si>
  <si>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</si>
  <si>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</si>
  <si>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</si>
  <si>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</si>
  <si>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</si>
  <si>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</si>
  <si>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</si>
  <si>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</si>
  <si>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</si>
  <si>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</si>
  <si>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</si>
  <si>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</si>
  <si>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</si>
  <si>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</si>
  <si>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</si>
  <si>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</si>
  <si>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</si>
  <si>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</si>
  <si>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</si>
  <si>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</si>
  <si>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</si>
  <si>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</si>
  <si>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</si>
  <si>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</si>
  <si>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</si>
  <si>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</si>
  <si>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</si>
  <si>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</si>
  <si>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</si>
  <si>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</si>
  <si>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</si>
  <si>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</si>
  <si>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</si>
  <si>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</si>
  <si>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</si>
  <si>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</si>
  <si>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</si>
  <si>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</si>
  <si>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</si>
  <si>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</si>
  <si>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</si>
  <si>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</si>
  <si>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</si>
  <si>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</si>
  <si>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</si>
  <si>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</si>
  <si>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</si>
  <si>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</si>
  <si>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</si>
  <si>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</si>
  <si>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</si>
  <si>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</si>
  <si>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</si>
  <si>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</si>
  <si>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</si>
  <si>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</si>
  <si>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</si>
  <si>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</si>
  <si>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</si>
  <si>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</si>
  <si>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</si>
  <si>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</si>
  <si>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</si>
  <si>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</si>
  <si>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</si>
  <si>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</si>
  <si>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</si>
  <si>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</si>
  <si>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</si>
  <si>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</si>
  <si>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</si>
  <si>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</si>
  <si>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</si>
  <si>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</si>
  <si>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</si>
  <si>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</si>
  <si>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</si>
  <si>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</si>
  <si>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</si>
  <si>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</si>
  <si>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</si>
  <si>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</si>
  <si>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</si>
  <si>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</si>
  <si>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</si>
  <si>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</si>
  <si>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</si>
  <si>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</si>
  <si>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</si>
  <si>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</si>
  <si>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</si>
  <si>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</si>
  <si>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</si>
  <si>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</si>
  <si>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</si>
  <si>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</si>
  <si>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</si>
  <si>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</si>
  <si>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</si>
  <si>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</si>
  <si>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</si>
  <si>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</si>
  <si>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</si>
  <si>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</si>
  <si>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</si>
  <si>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</si>
  <si>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</si>
  <si>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</si>
  <si>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</si>
  <si>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</si>
  <si>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</si>
  <si>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</si>
  <si>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</si>
  <si>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</si>
  <si>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</si>
  <si>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</si>
  <si>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</si>
  <si>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</si>
  <si>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</si>
  <si>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</si>
  <si>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</si>
  <si>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</si>
  <si>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</si>
  <si>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</si>
  <si>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</si>
  <si>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</si>
  <si>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</si>
  <si>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</si>
  <si>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</si>
  <si>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</si>
  <si>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</si>
  <si>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</si>
  <si>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</si>
  <si>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</si>
  <si>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</si>
  <si>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</si>
  <si>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</si>
  <si>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</si>
  <si>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</si>
  <si>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</si>
  <si>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</si>
  <si>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</si>
  <si>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</si>
  <si>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</si>
  <si>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</si>
  <si>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</si>
  <si>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</si>
  <si>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</si>
  <si>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</si>
  <si>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</si>
  <si>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</si>
  <si>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</si>
  <si>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</si>
  <si>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</si>
  <si>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</si>
  <si>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</si>
  <si>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</si>
  <si>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</si>
  <si>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</si>
  <si>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</si>
  <si>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</si>
  <si>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</si>
  <si>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</si>
  <si>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</si>
  <si>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</si>
  <si>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</si>
  <si>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</si>
  <si>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</si>
  <si>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</si>
  <si>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</si>
  <si>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</si>
  <si>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</si>
  <si>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</si>
  <si>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</si>
  <si>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</si>
  <si>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</si>
  <si>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</si>
  <si>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</si>
  <si>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</si>
  <si>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</si>
  <si>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</si>
  <si>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</si>
  <si>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</si>
  <si>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</si>
  <si>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</si>
  <si>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</si>
  <si>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</si>
  <si>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</si>
  <si>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</si>
  <si>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</si>
  <si>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</si>
  <si>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</si>
  <si>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</si>
  <si>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</si>
  <si>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</si>
  <si>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</si>
  <si>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</si>
  <si>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</si>
  <si>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</si>
  <si>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</si>
  <si>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</si>
  <si>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</si>
  <si>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</si>
  <si>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</si>
  <si>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</si>
  <si>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</si>
  <si>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</si>
  <si>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</si>
  <si>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</si>
  <si>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</si>
  <si>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</si>
  <si>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</si>
  <si>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</si>
  <si>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</si>
  <si>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</si>
  <si>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</si>
  <si>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</si>
  <si>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</si>
  <si>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</si>
  <si>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</si>
  <si>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</si>
  <si>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</si>
  <si>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</si>
  <si>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</si>
  <si>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</si>
  <si>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</si>
  <si>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</si>
  <si>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</si>
  <si>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</si>
  <si>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</si>
  <si>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</si>
  <si>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</si>
  <si>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</si>
  <si>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</si>
  <si>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</si>
  <si>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</si>
  <si>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</si>
  <si>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</si>
  <si>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</si>
  <si>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</si>
  <si>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</si>
  <si>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</si>
  <si>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</si>
  <si>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</si>
  <si>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</si>
  <si>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</si>
  <si>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</si>
  <si>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</si>
  <si>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</si>
  <si>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</si>
  <si>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</si>
  <si>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</si>
  <si>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</si>
  <si>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</si>
  <si>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</si>
  <si>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</si>
  <si>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</si>
  <si>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</si>
  <si>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</si>
  <si>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</si>
  <si>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</si>
  <si>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</si>
  <si>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</si>
  <si>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</si>
  <si>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</si>
  <si>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</si>
  <si>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</si>
  <si>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</si>
  <si>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</si>
  <si>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</si>
  <si>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</si>
  <si>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</si>
  <si>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</si>
  <si>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</si>
  <si>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</si>
  <si>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</si>
  <si>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</si>
  <si>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</si>
  <si>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</si>
  <si>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</si>
  <si>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</si>
  <si>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</si>
  <si>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</si>
  <si>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</si>
  <si>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</si>
  <si>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</si>
  <si>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</si>
  <si>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</si>
  <si>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</si>
  <si>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</si>
  <si>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</si>
  <si>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</si>
  <si>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</si>
  <si>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</si>
  <si>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</si>
  <si>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</si>
  <si>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</si>
  <si>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</si>
  <si>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</si>
  <si>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</si>
  <si>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</si>
  <si>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</si>
  <si>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</si>
  <si>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</si>
  <si>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</si>
  <si>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</si>
  <si>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</si>
  <si>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</si>
  <si>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</si>
  <si>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</si>
  <si>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</si>
  <si>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</si>
  <si>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</si>
  <si>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</si>
  <si>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</si>
  <si>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</si>
  <si>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</si>
  <si>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</si>
  <si>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</si>
  <si>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</si>
  <si>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</si>
  <si>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</si>
  <si>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</si>
  <si>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</si>
  <si>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</si>
  <si>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</si>
  <si>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</si>
  <si>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</si>
  <si>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</si>
  <si>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</si>
  <si>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</si>
  <si>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</si>
  <si>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</si>
  <si>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</si>
  <si>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</si>
  <si>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</si>
  <si>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</si>
  <si>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</si>
  <si>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</si>
  <si>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</si>
  <si>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</si>
  <si>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</si>
  <si>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</si>
  <si>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</si>
  <si>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</si>
  <si>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</si>
  <si>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</si>
  <si>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</si>
  <si>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</si>
  <si>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</si>
  <si>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</si>
  <si>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</si>
  <si>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</si>
  <si>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</si>
  <si>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</si>
  <si>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</si>
  <si>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</si>
  <si>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</si>
  <si>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</si>
  <si>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</si>
  <si>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</si>
  <si>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</si>
  <si>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</si>
  <si>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</si>
  <si>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</si>
  <si>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</si>
  <si>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</si>
  <si>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</si>
  <si>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</si>
  <si>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</si>
  <si>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</si>
  <si>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</si>
  <si>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</si>
  <si>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</si>
  <si>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</si>
  <si>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</si>
  <si>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</si>
  <si>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</si>
  <si>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</si>
  <si>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</si>
  <si>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</si>
  <si>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</si>
  <si>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</si>
  <si>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</si>
  <si>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</si>
  <si>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</si>
  <si>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</si>
  <si>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</si>
  <si>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</si>
  <si>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</si>
  <si>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</si>
  <si>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</si>
  <si>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</si>
  <si>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</si>
  <si>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</si>
  <si>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</si>
  <si>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</si>
  <si>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</si>
  <si>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</si>
  <si>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</si>
  <si>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</si>
  <si>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</si>
  <si>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</si>
  <si>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</si>
  <si>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</si>
  <si>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</si>
  <si>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</si>
  <si>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</si>
  <si>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</si>
  <si>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</si>
  <si>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</si>
  <si>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</si>
  <si>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</si>
  <si>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</si>
  <si>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</si>
  <si>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</si>
  <si>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</si>
  <si>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</si>
  <si>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</si>
  <si>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</si>
  <si>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</si>
  <si>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</si>
  <si>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</si>
  <si>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</si>
  <si>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</si>
  <si>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</si>
  <si>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</si>
  <si>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</si>
  <si>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</si>
  <si>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</si>
  <si>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</si>
  <si>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</si>
  <si>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</si>
  <si>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</si>
  <si>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</si>
  <si>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</si>
  <si>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</si>
  <si>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</si>
  <si>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</si>
  <si>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</si>
  <si>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</si>
  <si>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</si>
  <si>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</si>
  <si>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</si>
  <si>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</si>
  <si>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</si>
  <si>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</si>
  <si>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</si>
  <si>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</si>
  <si>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</si>
  <si>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</si>
  <si>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</si>
  <si>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</si>
  <si>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</si>
  <si>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</si>
  <si>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</si>
  <si>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</si>
  <si>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</si>
  <si>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</si>
  <si>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</si>
  <si>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</si>
  <si>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</si>
  <si>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</si>
  <si>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</si>
  <si>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</si>
  <si>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</si>
  <si>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</si>
  <si>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</si>
  <si>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</si>
  <si>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</si>
  <si>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</si>
  <si>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</si>
  <si>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</si>
  <si>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</si>
  <si>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</si>
  <si>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</si>
  <si>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</si>
  <si>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</si>
  <si>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</si>
  <si>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</si>
  <si>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</si>
  <si>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</si>
  <si>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</si>
  <si>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</si>
  <si>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</si>
  <si>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</si>
  <si>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</si>
  <si>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</si>
  <si>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</si>
  <si>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</si>
  <si>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</si>
  <si>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</si>
  <si>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</si>
  <si>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</si>
  <si>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</si>
  <si>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</si>
  <si>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</si>
  <si>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</si>
  <si>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</si>
  <si>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</si>
  <si>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</si>
  <si>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</si>
  <si>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</si>
  <si>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</si>
  <si>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</si>
  <si>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</si>
  <si>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</si>
  <si>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</si>
  <si>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</si>
  <si>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</si>
  <si>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</si>
  <si>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</si>
  <si>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</si>
  <si>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</si>
  <si>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</si>
  <si>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</si>
  <si>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</si>
  <si>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</si>
  <si>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</si>
  <si>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</si>
  <si>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</si>
  <si>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</si>
  <si>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</si>
  <si>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</si>
  <si>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</si>
  <si>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</si>
  <si>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</si>
  <si>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</si>
  <si>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</si>
  <si>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</si>
  <si>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</si>
  <si>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</si>
  <si>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</si>
  <si>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</si>
  <si>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</si>
  <si>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</si>
  <si>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</si>
  <si>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</si>
  <si>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</si>
  <si>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</si>
  <si>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</si>
  <si>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</si>
  <si>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</si>
  <si>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</si>
  <si>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</si>
  <si>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</si>
  <si>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</si>
  <si>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</si>
  <si>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</si>
  <si>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</si>
  <si>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</si>
  <si>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</si>
  <si>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</si>
  <si>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</si>
  <si>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</si>
  <si>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</si>
  <si>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</si>
  <si>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</si>
  <si>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</si>
  <si>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</si>
  <si>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</si>
  <si>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</si>
  <si>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</si>
  <si>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</si>
  <si>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</si>
  <si>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</si>
  <si>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</si>
  <si>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</si>
  <si>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</si>
  <si>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</si>
  <si>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</si>
  <si>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</si>
  <si>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</si>
  <si>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</si>
  <si>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</si>
  <si>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</si>
  <si>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</si>
  <si>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</si>
  <si>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</si>
  <si>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</si>
  <si>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</si>
  <si>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</si>
  <si>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</si>
  <si>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</si>
  <si>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</si>
  <si>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</si>
  <si>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</si>
  <si>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</si>
  <si>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</si>
  <si>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</si>
  <si>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</si>
  <si>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</si>
  <si>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</si>
  <si>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</si>
  <si>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</si>
  <si>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</si>
  <si>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</si>
  <si>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</si>
  <si>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</si>
  <si>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</si>
  <si>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</si>
  <si>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</si>
  <si>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</si>
  <si>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</si>
  <si>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</si>
  <si>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</si>
  <si>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</si>
  <si>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</si>
  <si>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</si>
  <si>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</si>
  <si>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</si>
  <si>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</si>
  <si>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</si>
  <si>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</si>
  <si>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</si>
  <si>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</si>
  <si>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</si>
  <si>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</si>
  <si>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</si>
  <si>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</si>
  <si>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</si>
  <si>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</si>
  <si>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</si>
  <si>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</si>
  <si>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</si>
  <si>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</si>
  <si>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</si>
  <si>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</si>
  <si>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</si>
  <si>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</si>
  <si>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</si>
  <si>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</si>
  <si>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</si>
  <si>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</si>
  <si>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</si>
  <si>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</si>
  <si>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</si>
  <si>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</si>
  <si>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</si>
  <si>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</si>
  <si>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</si>
  <si>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</si>
  <si>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</si>
  <si>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</si>
  <si>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</si>
  <si>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</si>
  <si>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</si>
  <si>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</si>
  <si>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</si>
  <si>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</si>
  <si>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</si>
  <si>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</si>
  <si>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</si>
  <si>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</si>
  <si>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</si>
  <si>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</si>
  <si>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</si>
  <si>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</si>
  <si>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</si>
  <si>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</si>
  <si>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</si>
  <si>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</si>
  <si>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</si>
  <si>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</si>
  <si>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</si>
  <si>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</si>
  <si>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</si>
  <si>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</si>
  <si>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</si>
  <si>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</si>
  <si>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</si>
  <si>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</si>
  <si>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</si>
  <si>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</si>
  <si>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</si>
  <si>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</si>
  <si>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</si>
  <si>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</si>
  <si>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</si>
  <si>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</si>
  <si>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</si>
  <si>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</si>
  <si>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</si>
  <si>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</si>
  <si>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</si>
  <si>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</si>
  <si>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</si>
  <si>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</si>
  <si>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</si>
  <si>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</si>
  <si>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</si>
  <si>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</si>
  <si>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</si>
  <si>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</si>
  <si>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</si>
  <si>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</si>
  <si>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</si>
  <si>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</si>
  <si>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</si>
  <si>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</si>
  <si>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</si>
  <si>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</si>
  <si>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</si>
  <si>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</si>
  <si>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</si>
  <si>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</si>
  <si>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</si>
  <si>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</si>
  <si>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</si>
  <si>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</si>
  <si>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</si>
  <si>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</si>
  <si>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</si>
  <si>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</si>
  <si>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</si>
  <si>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</si>
  <si>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</si>
  <si>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</si>
  <si>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</si>
  <si>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</si>
  <si>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</si>
  <si>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</si>
  <si>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</si>
  <si>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</si>
  <si>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</si>
  <si>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</si>
  <si>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</si>
  <si>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</si>
  <si>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</si>
  <si>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</si>
  <si>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</si>
  <si>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</si>
  <si>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</si>
  <si>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</si>
  <si>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</si>
  <si>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</si>
  <si>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</si>
  <si>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</si>
  <si>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</si>
  <si>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</si>
  <si>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</si>
  <si>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</si>
  <si>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</si>
  <si>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</si>
  <si>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</si>
  <si>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</si>
  <si>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</si>
  <si>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</si>
  <si>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</si>
  <si>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</si>
  <si>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</si>
  <si>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</si>
  <si>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</si>
  <si>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</si>
  <si>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</si>
  <si>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</si>
  <si>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</si>
  <si>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</si>
  <si>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</si>
  <si>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</si>
  <si>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</si>
  <si>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</si>
  <si>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</si>
  <si>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</si>
  <si>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</si>
  <si>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</si>
  <si>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</si>
  <si>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</si>
  <si>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</si>
  <si>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</si>
  <si>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</si>
  <si>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</si>
  <si>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</si>
  <si>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</si>
  <si>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</si>
  <si>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</si>
  <si>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</si>
  <si>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</si>
  <si>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</si>
  <si>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</si>
  <si>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</si>
  <si>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</si>
  <si>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</si>
  <si>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</si>
  <si>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</si>
  <si>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</si>
  <si>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</si>
  <si>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</si>
  <si>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</si>
  <si>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</si>
  <si>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</si>
  <si>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</si>
  <si>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</si>
  <si>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</si>
  <si>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</si>
  <si>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</si>
  <si>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</si>
  <si>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</si>
  <si>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</si>
  <si>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</si>
  <si>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</si>
  <si>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</si>
  <si>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</si>
  <si>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</si>
  <si>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</si>
  <si>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</si>
  <si>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</si>
  <si>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</si>
  <si>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</si>
  <si>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</si>
  <si>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</si>
  <si>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</si>
  <si>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</si>
  <si>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</si>
  <si>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</si>
  <si>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</si>
  <si>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</si>
  <si>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</si>
  <si>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</si>
  <si>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</si>
  <si>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</si>
  <si>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</si>
  <si>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</si>
  <si>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</si>
  <si>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</si>
  <si>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</si>
  <si>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</si>
  <si>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</si>
  <si>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</si>
  <si>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</si>
  <si>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</si>
  <si>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</si>
  <si>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</si>
  <si>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</si>
  <si>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</si>
  <si>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</si>
  <si>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</si>
  <si>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</si>
  <si>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</si>
  <si>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</si>
  <si>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</si>
  <si>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</si>
  <si>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</si>
  <si>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</si>
  <si>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</si>
  <si>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</si>
  <si>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</si>
  <si>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</si>
  <si>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</si>
  <si>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</si>
  <si>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</si>
  <si>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</si>
  <si>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</si>
  <si>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</si>
  <si>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</si>
  <si>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</si>
  <si>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</si>
  <si>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</si>
  <si>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</si>
  <si>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</si>
  <si>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</si>
  <si>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</si>
  <si>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</si>
  <si>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</si>
  <si>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</si>
  <si>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</si>
  <si>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</si>
  <si>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</si>
  <si>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</si>
  <si>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</si>
  <si>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</si>
  <si>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</si>
  <si>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</si>
  <si>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</si>
  <si>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</si>
  <si>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</si>
  <si>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</si>
  <si>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</si>
  <si>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</si>
  <si>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</si>
  <si>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</si>
  <si>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</si>
  <si>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</si>
  <si>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</si>
  <si>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</si>
  <si>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</si>
  <si>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</si>
  <si>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</si>
  <si>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</si>
  <si>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</si>
  <si>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</si>
  <si>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</si>
  <si>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</si>
  <si>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</si>
  <si>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</si>
  <si>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</si>
  <si>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</si>
  <si>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</si>
  <si>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</si>
  <si>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</si>
  <si>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</si>
  <si>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</si>
  <si>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</si>
  <si>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</si>
  <si>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</si>
  <si>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</si>
  <si>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</si>
  <si>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</si>
  <si>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</si>
  <si>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</si>
  <si>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</si>
  <si>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</si>
  <si>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</si>
  <si>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</si>
  <si>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</si>
  <si>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</si>
  <si>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</si>
  <si>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</si>
  <si>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</si>
  <si>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</si>
  <si>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</si>
  <si>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</si>
  <si>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</si>
  <si>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</si>
  <si>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</si>
  <si>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</si>
  <si>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</si>
  <si>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</si>
  <si>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</si>
  <si>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</si>
  <si>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</si>
  <si>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</si>
  <si>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</si>
  <si>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</si>
  <si>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</si>
  <si>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</si>
  <si>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</si>
  <si>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</si>
  <si>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</si>
  <si>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</si>
  <si>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</si>
  <si>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</si>
  <si>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</si>
  <si>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</si>
  <si>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</si>
  <si>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</si>
  <si>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</si>
  <si>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</si>
  <si>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</si>
  <si>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</si>
  <si>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</si>
  <si>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</si>
  <si>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</si>
  <si>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</si>
  <si>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</si>
  <si>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</si>
  <si>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</si>
  <si>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</si>
  <si>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</si>
  <si>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</si>
  <si>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</si>
  <si>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</si>
  <si>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</si>
  <si>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</si>
  <si>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</si>
  <si>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</si>
  <si>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</si>
  <si>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</si>
  <si>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</si>
  <si>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</si>
  <si>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</si>
  <si>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</si>
  <si>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</si>
  <si>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</si>
  <si>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</si>
  <si>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</si>
  <si>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</si>
  <si>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</si>
  <si>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</si>
  <si>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</si>
  <si>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</si>
  <si>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</si>
  <si>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</si>
  <si>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</si>
  <si>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</si>
  <si>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</si>
  <si>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</si>
  <si>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</si>
  <si>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</si>
  <si>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</si>
  <si>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</si>
  <si>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</si>
  <si>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</si>
  <si>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</si>
  <si>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</si>
  <si>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</si>
  <si>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</si>
  <si>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</si>
  <si>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</si>
  <si>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</si>
  <si>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</si>
  <si>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</si>
  <si>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</si>
  <si>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</si>
  <si>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</si>
  <si>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</si>
  <si>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</si>
  <si>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</si>
  <si>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</si>
  <si>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</si>
  <si>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</si>
  <si>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</si>
  <si>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</si>
  <si>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</si>
  <si>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</si>
  <si>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</si>
  <si>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</si>
  <si>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</si>
  <si>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</si>
  <si>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</si>
  <si>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</si>
  <si>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</si>
  <si>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</si>
  <si>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</si>
  <si>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</si>
  <si>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</si>
  <si>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</si>
  <si>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</si>
  <si>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</si>
  <si>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</si>
  <si>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</si>
  <si>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</si>
  <si>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</si>
  <si>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</si>
  <si>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</si>
  <si>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</si>
  <si>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</si>
  <si>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</si>
  <si>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</si>
  <si>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</si>
  <si>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</si>
  <si>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</si>
  <si>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</si>
  <si>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</si>
  <si>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</si>
  <si>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</si>
  <si>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</si>
  <si>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</si>
  <si>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</si>
  <si>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</si>
  <si>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</si>
  <si>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</si>
  <si>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</si>
  <si>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</si>
  <si>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</si>
  <si>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</si>
  <si>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</si>
  <si>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</si>
  <si>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</si>
  <si>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</si>
  <si>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</si>
  <si>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</si>
  <si>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</si>
  <si>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</si>
  <si>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</si>
  <si>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</si>
  <si>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</si>
  <si>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</si>
  <si>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</si>
  <si>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</si>
  <si>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</si>
  <si>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</si>
  <si>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</si>
  <si>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</si>
  <si>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</si>
  <si>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</si>
  <si>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</si>
  <si>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</si>
  <si>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</si>
  <si>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</si>
  <si>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</si>
  <si>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</si>
  <si>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</si>
  <si>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</si>
  <si>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</si>
  <si>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</si>
  <si>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</si>
  <si>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</si>
  <si>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</si>
  <si>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</si>
  <si>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</si>
  <si>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</si>
  <si>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</si>
  <si>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</si>
  <si>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</si>
  <si>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</si>
  <si>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</si>
  <si>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</si>
  <si>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</si>
  <si>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</si>
  <si>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</si>
  <si>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</si>
  <si>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</si>
  <si>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</si>
  <si>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</si>
  <si>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</si>
  <si>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</si>
  <si>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</si>
  <si>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</si>
  <si>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</si>
  <si>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</si>
  <si>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</si>
  <si>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</si>
  <si>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</si>
  <si>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</si>
  <si>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</si>
  <si>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</si>
  <si>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</si>
  <si>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</si>
  <si>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</si>
  <si>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</si>
  <si>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</si>
  <si>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</si>
  <si>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</si>
  <si>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</si>
  <si>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</si>
  <si>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</si>
  <si>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</si>
  <si>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</si>
  <si>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</si>
  <si>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</si>
  <si>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</si>
  <si>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</si>
  <si>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</si>
  <si>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</si>
  <si>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</si>
  <si>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</si>
  <si>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</si>
  <si>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</si>
  <si>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</si>
  <si>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</si>
  <si>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</si>
  <si>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</si>
  <si>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</si>
  <si>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</si>
  <si>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</si>
  <si>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</si>
  <si>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</si>
  <si>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</si>
  <si>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</si>
  <si>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</si>
  <si>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</si>
  <si>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</si>
  <si>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</si>
  <si>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</si>
  <si>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</si>
  <si>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</si>
  <si>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</si>
  <si>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</si>
  <si>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</si>
  <si>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</si>
  <si>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</si>
  <si>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</si>
  <si>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</si>
  <si>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</si>
  <si>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</si>
  <si>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</si>
  <si>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</si>
  <si>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</si>
  <si>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</si>
  <si>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</si>
  <si>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</si>
  <si>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</si>
  <si>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</si>
  <si>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</si>
  <si>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</si>
  <si>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</si>
  <si>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</si>
  <si>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</si>
  <si>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</si>
  <si>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</si>
  <si>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</si>
  <si>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</si>
  <si>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</si>
  <si>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</si>
  <si>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</si>
  <si>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</si>
  <si>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</si>
  <si>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</si>
  <si>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</si>
  <si>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</si>
  <si>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</si>
  <si>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</si>
  <si>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</si>
  <si>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</si>
  <si>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</si>
  <si>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</si>
  <si>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</si>
  <si>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</si>
  <si>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</si>
  <si>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</si>
  <si>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</si>
  <si>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</si>
  <si>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</si>
  <si>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</si>
  <si>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</si>
  <si>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</si>
  <si>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</si>
  <si>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</si>
  <si>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</si>
  <si>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</si>
  <si>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</si>
  <si>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</si>
  <si>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</si>
  <si>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</si>
  <si>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</si>
  <si>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</si>
  <si>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</si>
  <si>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</si>
  <si>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</si>
  <si>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</si>
  <si>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</si>
  <si>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</si>
  <si>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</si>
  <si>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</si>
  <si>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</si>
  <si>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</si>
  <si>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</si>
  <si>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</si>
  <si>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</si>
  <si>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</si>
  <si>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</si>
  <si>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</si>
  <si>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</si>
  <si>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</si>
  <si>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</si>
  <si>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</si>
  <si>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</si>
  <si>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</si>
  <si>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</si>
  <si>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</si>
  <si>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</si>
  <si>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</si>
  <si>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</si>
  <si>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</si>
  <si>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</si>
  <si>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</si>
  <si>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</si>
  <si>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</si>
  <si>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</si>
  <si>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</si>
  <si>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</si>
  <si>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</si>
  <si>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</si>
  <si>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</si>
  <si>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</si>
  <si>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</si>
  <si>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</si>
  <si>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</si>
  <si>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</si>
  <si>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</si>
  <si>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</si>
  <si>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</si>
  <si>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</si>
  <si>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</si>
  <si>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</si>
  <si>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</si>
  <si>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</si>
  <si>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</si>
  <si>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</si>
  <si>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</si>
  <si>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</si>
  <si>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</si>
  <si>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</si>
  <si>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</si>
  <si>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</si>
  <si>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</si>
  <si>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</si>
  <si>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</si>
  <si>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</si>
  <si>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</si>
  <si>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</si>
  <si>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</si>
  <si>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</si>
  <si>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</si>
  <si>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</si>
  <si>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</si>
  <si>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</si>
  <si>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</si>
  <si>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</si>
  <si>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</si>
  <si>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</si>
  <si>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</si>
  <si>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</si>
  <si>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</si>
  <si>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</si>
  <si>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</si>
  <si>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</si>
  <si>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</si>
  <si>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</si>
  <si>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</si>
  <si>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</si>
  <si>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</si>
  <si>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</si>
  <si>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</si>
  <si>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</si>
  <si>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</si>
  <si>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</si>
  <si>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</si>
  <si>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</si>
  <si>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</si>
  <si>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</si>
  <si>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</si>
  <si>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</si>
  <si>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</si>
  <si>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</si>
  <si>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</si>
  <si>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</si>
  <si>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</si>
  <si>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</si>
  <si>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</si>
  <si>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</si>
  <si>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</si>
  <si>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</si>
  <si>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</si>
  <si>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</si>
  <si>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</si>
  <si>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</si>
  <si>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</si>
  <si>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</si>
  <si>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</si>
  <si>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</si>
  <si>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</si>
  <si>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</si>
  <si>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</si>
  <si>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</si>
  <si>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</si>
  <si>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</si>
  <si>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</si>
  <si>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</si>
  <si>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</si>
  <si>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</si>
  <si>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</si>
  <si>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</si>
  <si>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</si>
  <si>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</si>
  <si>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</si>
  <si>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</si>
  <si>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</si>
  <si>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</si>
  <si>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</si>
  <si>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</si>
  <si>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</si>
  <si>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</si>
  <si>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</si>
  <si>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</si>
  <si>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</si>
  <si>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</si>
  <si>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</si>
  <si>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</si>
  <si>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</si>
  <si>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</si>
  <si>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</si>
  <si>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</si>
  <si>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</si>
  <si>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</si>
  <si>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</si>
  <si>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</si>
  <si>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</si>
  <si>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</si>
  <si>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</si>
  <si>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</si>
  <si>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</si>
  <si>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</si>
  <si>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</si>
  <si>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</si>
  <si>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</si>
  <si>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</si>
  <si>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</si>
  <si>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</si>
  <si>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</si>
  <si>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</si>
  <si>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</si>
  <si>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</si>
  <si>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</si>
  <si>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</si>
  <si>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</si>
  <si>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</si>
  <si>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</si>
  <si>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</si>
  <si>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</si>
  <si>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</si>
  <si>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</si>
  <si>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</si>
  <si>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</si>
  <si>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</si>
  <si>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</si>
  <si>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</si>
  <si>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</si>
  <si>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</si>
  <si>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</si>
  <si>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</si>
  <si>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</si>
  <si>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</si>
  <si>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</si>
  <si>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</si>
  <si>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</si>
  <si>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</si>
  <si>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</si>
  <si>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</si>
  <si>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</si>
  <si>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</si>
  <si>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</si>
  <si>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</si>
  <si>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</si>
  <si>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</si>
  <si>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</si>
  <si>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</si>
  <si>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</si>
  <si>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</si>
  <si>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</si>
  <si>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</si>
  <si>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</si>
  <si>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</si>
  <si>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</si>
  <si>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</si>
  <si>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</si>
  <si>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</si>
  <si>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</si>
  <si>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</si>
  <si>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</si>
  <si>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</si>
  <si>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</si>
  <si>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</si>
  <si>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</si>
  <si>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</si>
  <si>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</si>
  <si>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</si>
  <si>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</si>
  <si>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</si>
  <si>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</si>
  <si>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</si>
  <si>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</si>
  <si>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</si>
  <si>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</si>
  <si>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</si>
  <si>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</si>
  <si>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</si>
  <si>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</si>
  <si>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</si>
  <si>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</si>
  <si>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</si>
  <si>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</si>
  <si>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</si>
  <si>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</si>
  <si>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</si>
  <si>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</si>
  <si>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</si>
  <si>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</si>
  <si>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</si>
  <si>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</si>
  <si>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</si>
  <si>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</si>
  <si>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</si>
  <si>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</si>
  <si>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</si>
  <si>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</si>
  <si>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</si>
  <si>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</si>
  <si>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</si>
  <si>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</si>
  <si>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</si>
  <si>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</si>
  <si>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</si>
  <si>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</si>
  <si>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</si>
  <si>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</si>
  <si>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</si>
  <si>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</si>
  <si>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</si>
  <si>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</si>
  <si>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</si>
  <si>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</si>
  <si>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</si>
  <si>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</si>
  <si>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</si>
  <si>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</si>
  <si>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</si>
  <si>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</si>
  <si>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</si>
  <si>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</si>
  <si>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</si>
  <si>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</si>
  <si>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</si>
  <si>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</si>
  <si>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</si>
  <si>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</si>
  <si>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</si>
  <si>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</si>
  <si>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</si>
  <si>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</si>
  <si>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</si>
  <si>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</si>
  <si>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</si>
  <si>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</si>
  <si>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</si>
  <si>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</si>
  <si>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</si>
  <si>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</si>
  <si>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</si>
  <si>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</si>
  <si>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</si>
  <si>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</si>
  <si>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</si>
  <si>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</si>
  <si>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</si>
  <si>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</si>
  <si>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</si>
  <si>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</si>
  <si>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</si>
  <si>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</si>
  <si>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</si>
  <si>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</si>
  <si>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</si>
  <si>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</si>
  <si>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</si>
  <si>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</si>
  <si>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</si>
  <si>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</si>
  <si>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</si>
  <si>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</si>
  <si>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</si>
  <si>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</si>
  <si>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</si>
  <si>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</si>
  <si>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</si>
  <si>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</si>
  <si>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</si>
  <si>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</si>
  <si>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</si>
  <si>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</si>
  <si>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</si>
  <si>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</si>
  <si>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</si>
  <si>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</si>
  <si>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</si>
  <si>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</si>
  <si>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</si>
  <si>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</si>
  <si>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</si>
  <si>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</si>
  <si>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</si>
  <si>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</si>
  <si>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</si>
  <si>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</si>
  <si>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</si>
  <si>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</si>
  <si>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</si>
  <si>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</si>
  <si>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</si>
  <si>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</si>
  <si>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</si>
  <si>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</si>
  <si>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</si>
  <si>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</si>
  <si>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</si>
  <si>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</si>
  <si>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</si>
  <si>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</si>
  <si>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</si>
  <si>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</si>
  <si>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</si>
  <si>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</si>
  <si>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</si>
  <si>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</si>
  <si>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</si>
  <si>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</si>
  <si>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</si>
  <si>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</si>
  <si>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</si>
  <si>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</si>
  <si>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</si>
  <si>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</si>
  <si>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</si>
  <si>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</si>
  <si>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</si>
  <si>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</si>
  <si>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</si>
  <si>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</si>
  <si>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</si>
  <si>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</si>
  <si>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</si>
  <si>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</si>
  <si>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</si>
  <si>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</si>
  <si>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</si>
  <si>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</si>
  <si>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</si>
  <si>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</si>
  <si>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</si>
  <si>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</si>
  <si>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</si>
  <si>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</si>
  <si>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</si>
  <si>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</si>
  <si>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</si>
  <si>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</si>
  <si>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</si>
  <si>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</si>
  <si>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</si>
  <si>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</si>
  <si>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</si>
  <si>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</si>
  <si>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</si>
  <si>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</si>
  <si>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</si>
  <si>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</si>
  <si>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</si>
  <si>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</si>
  <si>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</si>
  <si>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</si>
  <si>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</si>
  <si>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</si>
  <si>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</si>
  <si>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</si>
  <si>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</si>
  <si>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</si>
  <si>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</si>
  <si>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</si>
  <si>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</si>
  <si>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</si>
  <si>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</si>
  <si>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</si>
  <si>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</si>
  <si>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</si>
  <si>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</si>
  <si>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</si>
  <si>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</si>
  <si>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</si>
  <si>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</si>
  <si>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</si>
  <si>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</si>
  <si>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</si>
  <si>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</si>
  <si>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</si>
  <si>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</si>
  <si>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</si>
  <si>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</si>
  <si>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</si>
  <si>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</si>
  <si>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</si>
  <si>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</si>
  <si>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</si>
  <si>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</si>
  <si>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</si>
  <si>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</si>
  <si>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</si>
  <si>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</si>
  <si>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</si>
  <si>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</si>
  <si>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</si>
  <si>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</si>
  <si>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</si>
  <si>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</si>
  <si>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</si>
  <si>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</si>
  <si>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</si>
  <si>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</si>
  <si>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</si>
  <si>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</si>
  <si>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</si>
  <si>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</si>
  <si>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</si>
  <si>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</si>
  <si>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</si>
  <si>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</si>
  <si>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</si>
  <si>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</si>
  <si>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</si>
  <si>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</si>
  <si>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</si>
  <si>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</si>
  <si>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</si>
  <si>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</si>
  <si>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</si>
  <si>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</si>
  <si>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</si>
  <si>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</si>
  <si>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</si>
  <si>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</si>
  <si>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</si>
  <si>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</si>
  <si>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</si>
  <si>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</si>
  <si>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</si>
  <si>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</si>
  <si>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</si>
  <si>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</si>
  <si>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</si>
  <si>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</si>
  <si>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</si>
  <si>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</si>
  <si>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</si>
  <si>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</si>
  <si>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</si>
  <si>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</si>
  <si>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</si>
  <si>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</si>
  <si>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</si>
  <si>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</si>
  <si>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</si>
  <si>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</si>
  <si>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</si>
  <si>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</si>
  <si>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</si>
  <si>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</si>
  <si>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</si>
  <si>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</si>
  <si>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</si>
  <si>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</si>
  <si>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</si>
  <si>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</si>
  <si>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</si>
  <si>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</si>
  <si>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</si>
  <si>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</si>
  <si>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</si>
  <si>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</si>
  <si>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</si>
  <si>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</si>
  <si>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</si>
  <si>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</si>
  <si>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</si>
  <si>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</si>
  <si>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</si>
  <si>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</si>
  <si>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</si>
  <si>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</si>
  <si>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</si>
  <si>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</si>
  <si>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</si>
  <si>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</si>
  <si>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</si>
  <si>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</si>
  <si>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</si>
  <si>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</si>
  <si>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</si>
  <si>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</si>
  <si>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</si>
  <si>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</si>
  <si>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</si>
  <si>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</si>
  <si>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</si>
  <si>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</si>
  <si>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</si>
  <si>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</si>
  <si>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</si>
  <si>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</si>
  <si>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</si>
  <si>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</si>
  <si>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</si>
  <si>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</si>
  <si>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</si>
  <si>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</si>
  <si>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</si>
  <si>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</si>
  <si>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</si>
  <si>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</si>
  <si>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</si>
  <si>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</si>
  <si>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</si>
  <si>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</si>
  <si>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</si>
  <si>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</si>
  <si>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</si>
  <si>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</si>
  <si>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</si>
  <si>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</si>
  <si>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</si>
  <si>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</si>
  <si>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</si>
  <si>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</si>
  <si>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</si>
  <si>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</si>
  <si>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</si>
  <si>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</si>
  <si>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</si>
  <si>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</si>
  <si>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</si>
  <si>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</si>
  <si>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</si>
  <si>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</si>
  <si>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</si>
  <si>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</si>
  <si>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</si>
  <si>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</si>
  <si>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</si>
  <si>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</si>
  <si>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</si>
  <si>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</si>
  <si>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</si>
  <si>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</si>
  <si>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</si>
  <si>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</si>
  <si>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</si>
  <si>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</si>
  <si>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</si>
  <si>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</si>
  <si>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</si>
  <si>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</si>
  <si>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</si>
  <si>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</si>
  <si>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</si>
  <si>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</si>
  <si>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</si>
  <si>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</si>
  <si>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</si>
  <si>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</si>
  <si>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</si>
  <si>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</si>
  <si>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</si>
  <si>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</si>
  <si>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</si>
  <si>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</si>
  <si>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</si>
  <si>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</si>
  <si>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</si>
  <si>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</si>
  <si>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</si>
  <si>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</si>
  <si>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</si>
  <si>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</si>
  <si>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</si>
  <si>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</si>
  <si>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</si>
  <si>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</si>
  <si>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</si>
  <si>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</si>
  <si>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</si>
  <si>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</si>
  <si>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</si>
  <si>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</si>
  <si>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</si>
  <si>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</si>
  <si>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</si>
  <si>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</si>
  <si>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</si>
  <si>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</si>
  <si>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</si>
  <si>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</si>
  <si>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</si>
  <si>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</si>
  <si>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</si>
  <si>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</si>
  <si>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</si>
  <si>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</si>
  <si>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</si>
  <si>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</si>
  <si>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</si>
  <si>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</si>
  <si>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</si>
  <si>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</si>
  <si>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</si>
  <si>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</si>
  <si>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</si>
  <si>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</si>
  <si>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</si>
  <si>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</si>
  <si>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</si>
  <si>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</si>
  <si>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</si>
  <si>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</si>
  <si>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</si>
  <si>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</si>
  <si>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</si>
  <si>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</si>
  <si>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</si>
  <si>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</si>
  <si>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</si>
  <si>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</si>
  <si>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</si>
  <si>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</si>
  <si>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</si>
  <si>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</si>
  <si>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</si>
  <si>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</si>
  <si>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</si>
  <si>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</si>
  <si>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</si>
  <si>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</si>
  <si>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</si>
  <si>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</si>
  <si>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</si>
  <si>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</si>
  <si>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</si>
  <si>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</si>
  <si>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</si>
  <si>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</si>
  <si>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</si>
  <si>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</si>
  <si>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</si>
  <si>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</si>
  <si>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</si>
  <si>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</si>
  <si>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</si>
  <si>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</si>
  <si>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</si>
  <si>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</si>
  <si>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</si>
  <si>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</si>
  <si>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</si>
  <si>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</si>
  <si>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</si>
  <si>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</si>
  <si>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</si>
  <si>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</si>
  <si>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</si>
  <si>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</si>
  <si>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</si>
  <si>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</si>
  <si>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</si>
  <si>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</si>
  <si>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</si>
  <si>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</si>
  <si>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</si>
  <si>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</si>
  <si>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</si>
  <si>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</si>
  <si>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</si>
  <si>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</si>
  <si>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</si>
  <si>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</si>
  <si>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</si>
  <si>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</si>
  <si>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</si>
  <si>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</si>
  <si>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</si>
  <si>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</si>
  <si>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</si>
  <si>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</si>
  <si>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</si>
  <si>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</si>
  <si>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</si>
  <si>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</si>
  <si>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</si>
  <si>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</si>
  <si>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</si>
  <si>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</si>
  <si>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</si>
  <si>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</si>
  <si>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</si>
  <si>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</si>
  <si>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</si>
  <si>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</si>
  <si>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</si>
  <si>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</si>
  <si>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</si>
  <si>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</si>
  <si>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</si>
  <si>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</si>
  <si>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</si>
  <si>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</si>
  <si>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</si>
  <si>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</si>
  <si>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</si>
  <si>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</si>
  <si>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</si>
  <si>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</si>
  <si>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</si>
  <si>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</si>
  <si>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</si>
  <si>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</si>
  <si>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</si>
  <si>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</si>
  <si>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</si>
  <si>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</si>
  <si>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</si>
  <si>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</si>
  <si>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</si>
  <si>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</si>
  <si>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</si>
  <si>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</si>
  <si>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</si>
  <si>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</si>
  <si>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</si>
  <si>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</si>
  <si>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</si>
  <si>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</si>
  <si>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</si>
  <si>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</si>
  <si>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</si>
  <si>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</si>
  <si>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</si>
  <si>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</si>
  <si>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</si>
  <si>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</si>
  <si>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</si>
  <si>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</si>
  <si>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</si>
  <si>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</si>
  <si>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</si>
  <si>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</si>
  <si>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</si>
  <si>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</si>
  <si>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</si>
  <si>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</si>
  <si>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</si>
  <si>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</si>
  <si>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</si>
  <si>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</si>
  <si>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</si>
  <si>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</si>
  <si>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</si>
  <si>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</si>
  <si>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</si>
  <si>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</si>
  <si>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</si>
  <si>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</si>
  <si>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</si>
  <si>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</si>
  <si>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</si>
  <si>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</si>
  <si>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</si>
  <si>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</si>
  <si>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</si>
  <si>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</si>
  <si>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</si>
  <si>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</si>
  <si>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</si>
  <si>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</si>
  <si>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</si>
  <si>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</si>
  <si>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</si>
  <si>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</si>
  <si>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</si>
  <si>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</si>
  <si>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</si>
  <si>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</si>
  <si>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</si>
  <si>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</si>
  <si>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</si>
  <si>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</si>
  <si>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</si>
  <si>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</si>
  <si>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</si>
  <si>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</si>
  <si>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</si>
  <si>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</si>
  <si>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</si>
  <si>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</si>
  <si>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</si>
  <si>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</si>
  <si>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</si>
  <si>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</si>
  <si>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</si>
  <si>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</si>
  <si>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</si>
  <si>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</si>
  <si>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</si>
  <si>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</si>
  <si>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</si>
  <si>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</si>
  <si>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</si>
  <si>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</si>
  <si>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</si>
  <si>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</si>
  <si>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</si>
  <si>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</si>
  <si>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</si>
  <si>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</si>
  <si>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</si>
  <si>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</si>
  <si>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</si>
  <si>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</si>
  <si>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</si>
  <si>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</si>
  <si>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</si>
  <si>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</si>
  <si>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</si>
  <si>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</si>
  <si>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</si>
  <si>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</si>
  <si>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</si>
  <si>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</si>
  <si>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</si>
  <si>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</si>
  <si>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</si>
  <si>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</si>
  <si>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</si>
  <si>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</si>
  <si>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</si>
  <si>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</si>
  <si>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</si>
  <si>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</si>
  <si>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</si>
  <si>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</si>
  <si>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</si>
  <si>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</si>
  <si>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</si>
  <si>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</si>
  <si>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</si>
  <si>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</si>
  <si>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</si>
  <si>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</si>
  <si>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</si>
  <si>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</si>
  <si>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</si>
  <si>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</si>
  <si>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</si>
  <si>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</si>
  <si>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</si>
  <si>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</si>
  <si>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</si>
  <si>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</si>
  <si>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</si>
  <si>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</si>
  <si>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</si>
  <si>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</si>
  <si>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</si>
  <si>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</si>
  <si>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</si>
  <si>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</si>
  <si>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</si>
  <si>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</si>
  <si>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</si>
  <si>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</si>
  <si>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</si>
  <si>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</si>
  <si>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</si>
  <si>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</si>
  <si>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</si>
  <si>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</si>
  <si>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</si>
  <si>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</si>
  <si>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</si>
  <si>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</si>
  <si>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</si>
  <si>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</si>
  <si>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</si>
  <si>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</si>
  <si>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</si>
  <si>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</si>
  <si>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</si>
  <si>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</si>
  <si>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</si>
  <si>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</si>
  <si>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</si>
  <si>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</si>
  <si>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</si>
  <si>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</si>
  <si>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</si>
  <si>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</si>
  <si>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</si>
  <si>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</si>
  <si>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</si>
  <si>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</si>
  <si>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</si>
  <si>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</si>
  <si>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</si>
  <si>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</si>
  <si>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</si>
  <si>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</si>
  <si>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</si>
  <si>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</si>
  <si>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</si>
  <si>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</si>
  <si>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</si>
  <si>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</si>
  <si>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</si>
  <si>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</si>
  <si>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</si>
  <si>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</si>
  <si>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</si>
  <si>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</si>
  <si>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</si>
  <si>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</si>
  <si>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</si>
  <si>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</si>
  <si>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</si>
  <si>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</si>
  <si>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</si>
  <si>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</si>
  <si>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</si>
  <si>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</si>
  <si>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</si>
  <si>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</si>
  <si>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</si>
  <si>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</si>
  <si>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</si>
  <si>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</si>
  <si>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</si>
  <si>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</si>
  <si>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</si>
  <si>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</si>
  <si>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</si>
  <si>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</si>
  <si>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</si>
  <si>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</si>
  <si>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</si>
  <si>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</si>
  <si>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</si>
  <si>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</si>
  <si>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</si>
  <si>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</si>
  <si>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</si>
  <si>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</si>
  <si>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</si>
  <si>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</si>
  <si>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</si>
  <si>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</si>
  <si>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</si>
  <si>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</si>
  <si>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</si>
  <si>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</si>
  <si>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</si>
  <si>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</si>
  <si>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</si>
  <si>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</si>
  <si>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</si>
  <si>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</si>
  <si>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</si>
  <si>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</si>
  <si>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</si>
  <si>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</si>
  <si>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</si>
  <si>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</si>
  <si>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</si>
  <si>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</si>
  <si>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</si>
  <si>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</si>
  <si>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</si>
  <si>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</si>
  <si>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</si>
  <si>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</si>
  <si>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</si>
  <si>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</si>
  <si>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</si>
  <si>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</si>
  <si>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</si>
  <si>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</si>
  <si>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</si>
  <si>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</si>
  <si>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</si>
  <si>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</si>
  <si>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</si>
  <si>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</si>
  <si>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</si>
  <si>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</si>
  <si>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</si>
  <si>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</si>
  <si>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</si>
  <si>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</si>
  <si>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</si>
  <si>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</si>
  <si>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</si>
  <si>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</si>
  <si>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</si>
  <si>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</si>
  <si>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</si>
  <si>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</si>
  <si>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</si>
  <si>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</si>
  <si>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</si>
  <si>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</si>
  <si>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</si>
  <si>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</si>
  <si>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</si>
  <si>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</si>
  <si>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</si>
  <si>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</si>
  <si>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</si>
  <si>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</si>
  <si>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</si>
  <si>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</si>
  <si>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</si>
  <si>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</si>
  <si>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</si>
  <si>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</si>
  <si>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</si>
  <si>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</si>
  <si>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</si>
  <si>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</si>
  <si>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</si>
  <si>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</si>
  <si>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</si>
  <si>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</si>
  <si>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</si>
  <si>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</si>
  <si>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</si>
  <si>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</si>
  <si>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</si>
  <si>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</si>
  <si>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</si>
  <si>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</si>
  <si>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</si>
  <si>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</si>
  <si>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</si>
  <si>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</si>
  <si>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</si>
  <si>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</si>
  <si>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</si>
  <si>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</si>
  <si>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</si>
  <si>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</si>
  <si>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</si>
  <si>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</si>
  <si>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</si>
  <si>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</si>
  <si>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</si>
  <si>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</si>
  <si>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</si>
  <si>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</si>
  <si>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</si>
  <si>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</si>
  <si>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</si>
  <si>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</si>
  <si>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</si>
  <si>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</si>
  <si>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</si>
  <si>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</si>
  <si>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</si>
  <si>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</si>
  <si>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</si>
  <si>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</si>
  <si>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</si>
  <si>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</si>
  <si>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</si>
  <si>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</si>
  <si>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</si>
  <si>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</si>
  <si>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</si>
  <si>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</si>
  <si>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</si>
  <si>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</si>
  <si>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</si>
  <si>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</si>
  <si>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</si>
  <si>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</si>
  <si>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</si>
  <si>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</si>
  <si>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</si>
  <si>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</si>
  <si>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</si>
  <si>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</si>
  <si>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</si>
  <si>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</si>
  <si>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</si>
  <si>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</si>
  <si>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</si>
  <si>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</si>
  <si>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</si>
  <si>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</si>
  <si>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</si>
  <si>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</si>
  <si>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</si>
  <si>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</si>
  <si>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</si>
  <si>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</si>
  <si>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</si>
  <si>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</si>
  <si>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</si>
  <si>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</si>
  <si>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</si>
  <si>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</si>
  <si>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</si>
  <si>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</si>
  <si>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</si>
  <si>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</si>
  <si>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</si>
  <si>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</si>
  <si>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</si>
  <si>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</si>
  <si>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</si>
  <si>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</si>
  <si>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</si>
  <si>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</si>
  <si>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</si>
  <si>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</si>
  <si>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</si>
  <si>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</si>
  <si>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</si>
  <si>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</si>
  <si>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</si>
  <si>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</si>
  <si>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</si>
  <si>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</si>
  <si>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</si>
  <si>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</si>
  <si>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</si>
  <si>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</si>
  <si>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</si>
  <si>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</si>
  <si>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</si>
  <si>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</si>
  <si>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</si>
  <si>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</si>
  <si>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</si>
  <si>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</si>
  <si>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</si>
  <si>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</si>
  <si>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</si>
  <si>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</si>
  <si>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</si>
  <si>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</si>
  <si>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</si>
  <si>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</si>
  <si>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</si>
  <si>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</si>
  <si>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</si>
  <si>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</si>
  <si>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</si>
  <si>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</si>
  <si>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</si>
  <si>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</si>
  <si>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</si>
  <si>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</si>
  <si>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</si>
  <si>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</si>
  <si>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</si>
  <si>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</si>
  <si>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</si>
  <si>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</si>
  <si>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</si>
  <si>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</si>
  <si>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</si>
  <si>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</si>
  <si>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</si>
  <si>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</si>
  <si>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</si>
  <si>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</si>
  <si>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</si>
  <si>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</si>
  <si>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</si>
  <si>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</si>
  <si>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</si>
  <si>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</si>
  <si>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</si>
  <si>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</si>
  <si>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</si>
  <si>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</si>
  <si>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</si>
  <si>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</si>
  <si>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</si>
  <si>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</si>
  <si>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</si>
  <si>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</si>
  <si>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</si>
  <si>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</si>
  <si>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</si>
  <si>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</si>
  <si>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</si>
  <si>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</si>
  <si>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</si>
  <si>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</si>
  <si>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</si>
  <si>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</si>
  <si>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</si>
  <si>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</si>
  <si>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</si>
  <si>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</si>
  <si>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</si>
  <si>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</si>
  <si>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</si>
  <si>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</si>
  <si>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</si>
  <si>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</si>
  <si>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</si>
  <si>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</si>
  <si>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</si>
  <si>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</si>
  <si>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</si>
  <si>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</si>
  <si>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</si>
  <si>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</si>
  <si>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</si>
  <si>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</si>
  <si>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</si>
  <si>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</si>
  <si>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</si>
  <si>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</si>
  <si>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</si>
  <si>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</si>
  <si>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</si>
  <si>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</si>
  <si>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</si>
  <si>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</si>
  <si>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</si>
  <si>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</si>
  <si>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</si>
  <si>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</si>
  <si>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</si>
  <si>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</si>
  <si>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</si>
  <si>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</si>
  <si>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</si>
  <si>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</si>
  <si>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</si>
  <si>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</si>
  <si>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</si>
  <si>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</si>
  <si>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</si>
  <si>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</si>
  <si>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</si>
  <si>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</si>
  <si>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</si>
  <si>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</si>
  <si>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</si>
  <si>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</si>
  <si>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</si>
  <si>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</si>
  <si>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</si>
  <si>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</si>
  <si>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</si>
  <si>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</si>
  <si>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</si>
  <si>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</si>
  <si>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</si>
  <si>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</si>
  <si>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</si>
  <si>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</si>
  <si>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</si>
  <si>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</si>
  <si>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</si>
  <si>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</si>
  <si>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</si>
  <si>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</si>
  <si>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</si>
  <si>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</si>
  <si>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</si>
  <si>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</si>
  <si>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</si>
  <si>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</si>
  <si>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</si>
  <si>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</si>
  <si>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</si>
  <si>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</si>
  <si>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</si>
  <si>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</si>
  <si>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</si>
  <si>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</si>
  <si>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</si>
  <si>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</si>
  <si>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</si>
  <si>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</si>
  <si>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</si>
  <si>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</si>
  <si>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</si>
  <si>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</si>
  <si>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</si>
  <si>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</si>
  <si>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</si>
  <si>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</si>
  <si>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</si>
  <si>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</si>
  <si>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</si>
  <si>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</si>
  <si>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</si>
  <si>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</si>
  <si>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</si>
  <si>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</si>
  <si>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</si>
  <si>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</si>
  <si>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</si>
  <si>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</si>
  <si>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</si>
  <si>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</si>
  <si>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</si>
  <si>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</si>
  <si>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</si>
  <si>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</si>
  <si>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</si>
  <si>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</si>
  <si>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</si>
  <si>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</si>
  <si>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</si>
  <si>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</si>
  <si>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</si>
  <si>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</si>
  <si>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</si>
  <si>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</si>
  <si>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</si>
  <si>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</si>
  <si>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</si>
  <si>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</si>
  <si>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</si>
  <si>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</si>
  <si>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</si>
  <si>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</si>
  <si>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</si>
  <si>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</si>
  <si>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</si>
  <si>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</si>
  <si>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</si>
  <si>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</si>
  <si>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</si>
  <si>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</si>
  <si>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</si>
  <si>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</si>
  <si>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</si>
  <si>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</si>
  <si>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</si>
  <si>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</si>
  <si>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</si>
  <si>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</si>
  <si>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</si>
  <si>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</si>
  <si>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</si>
  <si>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</si>
  <si>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</si>
  <si>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</si>
  <si>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</si>
  <si>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</si>
  <si>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</si>
  <si>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</si>
  <si>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</si>
  <si>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</si>
  <si>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</si>
  <si>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</si>
  <si>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</si>
  <si>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</si>
  <si>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</si>
  <si>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</si>
  <si>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</si>
  <si>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</si>
  <si>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</si>
  <si>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</si>
  <si>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</si>
  <si>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</si>
  <si>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</si>
  <si>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</si>
  <si>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</si>
  <si>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</si>
  <si>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</si>
  <si>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</si>
  <si>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</si>
  <si>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</si>
  <si>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</si>
  <si>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</si>
  <si>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</si>
  <si>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</si>
  <si>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</si>
  <si>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</si>
  <si>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</si>
  <si>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</si>
  <si>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</si>
  <si>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</si>
  <si>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</si>
  <si>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</si>
  <si>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</si>
  <si>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</si>
  <si>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</si>
  <si>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</si>
  <si>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</si>
  <si>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</si>
  <si>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</si>
  <si>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</si>
  <si>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</si>
  <si>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</si>
  <si>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</si>
  <si>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</si>
  <si>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</si>
  <si>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</si>
  <si>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</si>
  <si>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</si>
  <si>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</si>
  <si>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</si>
  <si>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</si>
  <si>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</si>
  <si>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</si>
  <si>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</si>
  <si>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</si>
  <si>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</si>
  <si>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</si>
  <si>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</si>
  <si>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</si>
  <si>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</si>
  <si>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</si>
  <si>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</si>
  <si>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</si>
  <si>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</si>
  <si>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</si>
  <si>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</si>
  <si>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</si>
  <si>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</si>
  <si>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</si>
  <si>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</si>
  <si>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</si>
  <si>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</si>
  <si>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</si>
  <si>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</si>
  <si>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</si>
  <si>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</si>
  <si>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</si>
  <si>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</si>
  <si>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</si>
  <si>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</si>
  <si>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</si>
  <si>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</si>
  <si>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</si>
  <si>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</si>
  <si>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</si>
  <si>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</si>
  <si>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</si>
  <si>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</si>
  <si>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</si>
  <si>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</si>
  <si>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</si>
  <si>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</si>
  <si>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</si>
  <si>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</si>
  <si>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</si>
  <si>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</si>
  <si>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</si>
  <si>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</si>
  <si>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</si>
  <si>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</si>
  <si>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</si>
  <si>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</si>
  <si>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</si>
  <si>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</si>
  <si>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</si>
  <si>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</si>
  <si>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</si>
  <si>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</si>
  <si>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</si>
  <si>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</si>
  <si>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</si>
  <si>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</si>
  <si>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</si>
  <si>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</si>
  <si>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</si>
  <si>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</si>
  <si>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</si>
  <si>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</si>
  <si>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</si>
  <si>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</si>
  <si>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</si>
  <si>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</si>
  <si>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</si>
  <si>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</si>
  <si>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</si>
  <si>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</si>
  <si>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</si>
  <si>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</si>
  <si>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</si>
  <si>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</si>
  <si>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</si>
  <si>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</si>
  <si>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</si>
  <si>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</si>
  <si>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</si>
  <si>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</si>
  <si>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</si>
  <si>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</si>
  <si>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</si>
  <si>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</si>
  <si>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</si>
  <si>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</si>
  <si>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</si>
  <si>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</si>
  <si>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</si>
  <si>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</si>
  <si>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</si>
  <si>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</si>
  <si>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</si>
  <si>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</si>
  <si>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</si>
  <si>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</si>
  <si>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</si>
  <si>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</si>
  <si>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</si>
  <si>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</si>
  <si>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</si>
  <si>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</si>
  <si>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</si>
  <si>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</si>
  <si>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</si>
  <si>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</si>
  <si>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</si>
  <si>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</si>
  <si>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</si>
  <si>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</si>
  <si>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</si>
  <si>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</si>
  <si>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</si>
  <si>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</si>
  <si>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</si>
  <si>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</si>
  <si>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</si>
  <si>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</si>
  <si>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</si>
  <si>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</si>
  <si>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</si>
  <si>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</si>
  <si>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</si>
  <si>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</si>
  <si>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</si>
  <si>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</si>
  <si>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</si>
  <si>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</si>
  <si>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</si>
  <si>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</si>
  <si>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</si>
  <si>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</si>
  <si>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</si>
  <si>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</si>
  <si>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</si>
  <si>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</si>
  <si>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</si>
  <si>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</si>
  <si>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</si>
  <si>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</si>
  <si>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</si>
  <si>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</si>
  <si>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</si>
  <si>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</si>
  <si>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</si>
  <si>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</si>
  <si>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</si>
  <si>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</si>
  <si>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</si>
  <si>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</si>
  <si>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</si>
  <si>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</si>
  <si>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</si>
  <si>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</si>
  <si>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</si>
  <si>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</si>
  <si>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</si>
  <si>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</si>
  <si>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</si>
  <si>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</si>
  <si>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</si>
  <si>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</si>
  <si>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</si>
  <si>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</si>
  <si>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</si>
  <si>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</si>
  <si>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</si>
  <si>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</si>
  <si>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</si>
  <si>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</si>
  <si>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</si>
  <si>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</si>
  <si>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</si>
  <si>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</si>
  <si>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</si>
  <si>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</si>
  <si>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</si>
  <si>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</si>
  <si>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</si>
  <si>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</si>
  <si>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</si>
  <si>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</si>
  <si>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</si>
  <si>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</si>
  <si>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</si>
  <si>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</si>
  <si>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</si>
  <si>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</si>
  <si>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</si>
  <si>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</si>
  <si>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</si>
  <si>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</si>
  <si>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</si>
  <si>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</si>
  <si>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</si>
  <si>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</si>
  <si>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</si>
  <si>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</si>
  <si>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</si>
  <si>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</si>
  <si>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</si>
  <si>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</si>
  <si>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</si>
  <si>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</si>
  <si>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</si>
  <si>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</si>
  <si>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</si>
  <si>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</si>
  <si>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</si>
  <si>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</si>
  <si>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</si>
  <si>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</si>
  <si>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</si>
  <si>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</si>
  <si>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</si>
  <si>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</si>
  <si>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</si>
  <si>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</si>
  <si>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</si>
  <si>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</si>
  <si>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</si>
  <si>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</si>
  <si>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</si>
  <si>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</si>
  <si>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</si>
  <si>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</si>
  <si>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</si>
  <si>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</si>
  <si>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</si>
  <si>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</si>
  <si>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</si>
  <si>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</si>
  <si>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</si>
  <si>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</si>
  <si>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</si>
  <si>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</si>
  <si>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</si>
  <si>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</si>
  <si>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</si>
  <si>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</si>
  <si>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</si>
  <si>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</si>
  <si>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</si>
  <si>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</si>
  <si>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</si>
  <si>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</si>
  <si>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</si>
  <si>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</si>
  <si>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</si>
  <si>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</si>
  <si>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</si>
  <si>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</si>
  <si>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</si>
  <si>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</si>
  <si>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</si>
  <si>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</si>
  <si>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</si>
  <si>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</si>
  <si>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</si>
  <si>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</si>
  <si>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</si>
  <si>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</si>
  <si>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</si>
  <si>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</si>
  <si>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</si>
  <si>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</si>
  <si>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</si>
  <si>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</si>
  <si>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</si>
  <si>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</si>
  <si>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</si>
  <si>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</si>
  <si>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</si>
  <si>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</si>
  <si>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</si>
  <si>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</si>
  <si>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</si>
  <si>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</si>
  <si>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</si>
  <si>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</si>
  <si>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</si>
  <si>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</si>
  <si>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</si>
  <si>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</si>
  <si>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</si>
  <si>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</si>
  <si>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</si>
  <si>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</si>
  <si>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</si>
  <si>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</si>
  <si>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</si>
  <si>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</si>
  <si>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</si>
  <si>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</si>
  <si>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</si>
  <si>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</si>
  <si>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</si>
  <si>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</si>
  <si>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</si>
  <si>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</si>
  <si>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</si>
  <si>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</si>
  <si>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</si>
  <si>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</si>
  <si>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</si>
  <si>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</si>
  <si>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</si>
  <si>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</si>
  <si>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</si>
  <si>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</si>
  <si>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</si>
  <si>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</si>
  <si>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</si>
  <si>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</si>
  <si>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</si>
  <si>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</si>
  <si>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</si>
  <si>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</si>
  <si>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</si>
  <si>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</si>
  <si>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</si>
  <si>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</si>
  <si>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</si>
  <si>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</si>
  <si>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</si>
  <si>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</si>
  <si>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</si>
  <si>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</si>
  <si>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</si>
  <si>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</si>
  <si>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</si>
  <si>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</si>
  <si>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</si>
  <si>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</si>
  <si>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</si>
  <si>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</si>
  <si>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</si>
  <si>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</si>
  <si>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</si>
  <si>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</si>
  <si>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</si>
  <si>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</si>
  <si>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</si>
  <si>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</si>
  <si>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</si>
  <si>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</si>
  <si>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</si>
  <si>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</si>
  <si>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</si>
  <si>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</si>
  <si>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</si>
  <si>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</si>
  <si>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</si>
  <si>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</si>
  <si>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</si>
  <si>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</si>
  <si>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</si>
  <si>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</si>
  <si>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</si>
  <si>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</si>
  <si>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</si>
  <si>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</si>
  <si>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</si>
  <si>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</si>
  <si>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</si>
  <si>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</si>
  <si>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</si>
  <si>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</si>
  <si>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</si>
  <si>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</si>
  <si>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</si>
  <si>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</si>
  <si>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</si>
  <si>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</si>
  <si>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</si>
  <si>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</si>
  <si>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</si>
  <si>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</si>
  <si>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</si>
  <si>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</si>
  <si>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</si>
  <si>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</si>
  <si>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</si>
  <si>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</si>
  <si>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</si>
  <si>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</si>
  <si>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</si>
  <si>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</si>
  <si>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</si>
  <si>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</si>
  <si>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</si>
  <si>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</si>
  <si>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</si>
  <si>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</si>
  <si>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</si>
  <si>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</si>
  <si>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</si>
  <si>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</si>
  <si>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</si>
  <si>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</si>
  <si>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</si>
  <si>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</si>
  <si>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</si>
  <si>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</si>
  <si>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</si>
  <si>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</si>
  <si>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</si>
  <si>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</si>
  <si>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</si>
  <si>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</si>
  <si>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</si>
  <si>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</si>
  <si>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</si>
  <si>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</si>
  <si>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</si>
  <si>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</si>
  <si>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</si>
  <si>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</si>
  <si>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</si>
  <si>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</si>
  <si>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</si>
  <si>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</si>
  <si>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</si>
  <si>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</si>
  <si>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</si>
  <si>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</si>
  <si>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</si>
  <si>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</si>
  <si>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</si>
  <si>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</si>
  <si>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</si>
  <si>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</si>
  <si>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</si>
  <si>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</si>
  <si>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</si>
  <si>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</si>
  <si>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</si>
  <si>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</si>
  <si>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</si>
  <si>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</si>
  <si>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</si>
  <si>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</si>
  <si>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</si>
  <si>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</si>
  <si>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</si>
  <si>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</si>
  <si>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</si>
  <si>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</si>
  <si>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</si>
  <si>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</si>
  <si>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</si>
  <si>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</si>
  <si>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</si>
  <si>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</si>
  <si>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</si>
  <si>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</si>
  <si>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</si>
  <si>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</si>
  <si>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</si>
  <si>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</si>
  <si>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</si>
  <si>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</si>
  <si>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</si>
  <si>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</si>
  <si>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</si>
  <si>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</si>
  <si>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</si>
  <si>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</si>
  <si>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</si>
  <si>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</si>
  <si>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</si>
  <si>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</si>
  <si>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</si>
  <si>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</si>
  <si>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</si>
  <si>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</si>
  <si>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</si>
  <si>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</si>
  <si>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</si>
  <si>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</si>
  <si>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</si>
  <si>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</si>
  <si>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</si>
  <si>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</si>
  <si>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</si>
  <si>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</si>
  <si>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</si>
  <si>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</si>
  <si>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</si>
  <si>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</si>
  <si>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</si>
  <si>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</si>
  <si>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</si>
  <si>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</si>
  <si>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</si>
  <si>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</si>
  <si>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</si>
  <si>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</si>
  <si>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</si>
  <si>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</si>
  <si>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</si>
  <si>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</si>
  <si>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</si>
  <si>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</si>
  <si>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</si>
  <si>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</si>
  <si>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</si>
  <si>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</si>
  <si>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</si>
  <si>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</si>
  <si>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</si>
  <si>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</si>
  <si>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</si>
  <si>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</si>
  <si>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</si>
  <si>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</si>
  <si>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</si>
  <si>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</si>
  <si>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</si>
  <si>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</si>
  <si>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</si>
  <si>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</si>
  <si>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</si>
  <si>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</si>
  <si>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</si>
  <si>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</si>
  <si>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</si>
  <si>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</si>
  <si>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</si>
  <si>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</si>
  <si>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</si>
  <si>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</si>
  <si>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</si>
  <si>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</si>
  <si>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</si>
  <si>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</si>
  <si>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</si>
  <si>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</si>
  <si>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</si>
  <si>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</si>
  <si>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</si>
  <si>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</si>
  <si>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</si>
  <si>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</si>
  <si>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</si>
  <si>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</si>
  <si>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</si>
  <si>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</si>
  <si>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</si>
  <si>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</si>
  <si>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</si>
  <si>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</si>
  <si>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</si>
  <si>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</si>
  <si>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</si>
  <si>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</si>
  <si>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</si>
  <si>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</si>
  <si>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</si>
  <si>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</si>
  <si>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</si>
  <si>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</si>
  <si>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</si>
  <si>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</si>
  <si>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</si>
  <si>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</si>
  <si>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</si>
  <si>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</si>
  <si>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</si>
  <si>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</si>
  <si>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</si>
  <si>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</si>
  <si>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</si>
  <si>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</si>
  <si>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</si>
  <si>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</si>
  <si>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</si>
  <si>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</si>
  <si>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</si>
  <si>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</si>
  <si>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</si>
  <si>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</si>
  <si>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</si>
  <si>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</si>
  <si>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</si>
  <si>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</si>
  <si>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</si>
  <si>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</si>
  <si>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</si>
  <si>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</si>
  <si>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</si>
  <si>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</si>
  <si>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</si>
  <si>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</si>
  <si>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</si>
  <si>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</si>
  <si>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</si>
  <si>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</si>
  <si>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</si>
  <si>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</si>
  <si>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</si>
  <si>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</si>
  <si>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</si>
  <si>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</si>
  <si>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</si>
  <si>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</si>
  <si>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</si>
  <si>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</si>
  <si>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</si>
  <si>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</si>
  <si>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</si>
  <si>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</si>
  <si>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</si>
  <si>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</si>
  <si>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</si>
  <si>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</si>
  <si>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</si>
  <si>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</si>
  <si>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</si>
  <si>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</si>
  <si>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</si>
  <si>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</si>
  <si>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</si>
  <si>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</si>
  <si>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</si>
  <si>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</si>
  <si>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</si>
  <si>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</si>
  <si>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</si>
  <si>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</si>
  <si>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</si>
  <si>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</si>
  <si>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</si>
  <si>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</si>
  <si>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</si>
  <si>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</si>
  <si>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</si>
  <si>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</si>
  <si>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</si>
  <si>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</si>
  <si>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</si>
  <si>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</si>
  <si>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</si>
  <si>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</si>
  <si>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</si>
  <si>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</si>
  <si>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</si>
  <si>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</si>
  <si>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</si>
  <si>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</si>
  <si>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</si>
  <si>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</si>
  <si>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</si>
  <si>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</si>
  <si>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</si>
  <si>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</si>
  <si>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</si>
  <si>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</si>
  <si>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</si>
  <si>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</si>
  <si>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</si>
  <si>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</si>
  <si>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</si>
  <si>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</si>
  <si>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</si>
  <si>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</si>
  <si>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</si>
  <si>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</si>
  <si>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</si>
  <si>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</si>
  <si>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</si>
  <si>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</si>
  <si>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</si>
  <si>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</si>
  <si>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</si>
  <si>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</si>
  <si>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</si>
  <si>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</si>
  <si>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</si>
  <si>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</si>
  <si>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</si>
  <si>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</si>
  <si>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</si>
  <si>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</si>
  <si>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</si>
  <si>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</si>
  <si>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</si>
  <si>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</si>
  <si>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</si>
  <si>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</si>
  <si>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</si>
  <si>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</si>
  <si>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</si>
  <si>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</si>
  <si>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</si>
  <si>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</si>
  <si>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</si>
  <si>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</si>
  <si>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</si>
  <si>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</si>
  <si>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</si>
  <si>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</si>
  <si>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</si>
  <si>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</si>
  <si>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</si>
  <si>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</si>
  <si>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</si>
  <si>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</si>
  <si>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</si>
  <si>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</si>
  <si>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</si>
  <si>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</si>
  <si>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</si>
  <si>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</si>
  <si>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</si>
  <si>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</si>
  <si>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</si>
  <si>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</si>
  <si>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</si>
  <si>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</si>
  <si>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</si>
  <si>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</si>
  <si>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</si>
  <si>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</si>
  <si>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</si>
  <si>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</si>
  <si>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</si>
  <si>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</si>
  <si>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</si>
  <si>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</si>
  <si>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</si>
  <si>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</si>
  <si>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</si>
  <si>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</si>
  <si>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</si>
  <si>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</si>
  <si>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</si>
  <si>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</si>
  <si>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</si>
  <si>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</si>
  <si>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</si>
  <si>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</si>
  <si>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</si>
  <si>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</si>
  <si>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</si>
  <si>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</si>
  <si>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</si>
  <si>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</si>
  <si>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</si>
  <si>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</si>
  <si>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</si>
  <si>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</si>
  <si>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</si>
  <si>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</si>
  <si>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</si>
  <si>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</si>
  <si>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</si>
  <si>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</si>
  <si>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</si>
  <si>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</si>
  <si>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</si>
  <si>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</si>
  <si>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</si>
  <si>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</si>
  <si>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</si>
  <si>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</si>
  <si>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</si>
  <si>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</si>
  <si>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</si>
  <si>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</si>
  <si>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</si>
  <si>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</si>
  <si>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</si>
  <si>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</si>
  <si>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</si>
  <si>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</si>
  <si>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</si>
  <si>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</si>
  <si>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</si>
  <si>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</si>
  <si>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</si>
  <si>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</si>
  <si>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</si>
  <si>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</si>
  <si>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</si>
  <si>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</si>
  <si>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</si>
  <si>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</si>
  <si>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</si>
  <si>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</si>
  <si>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</si>
  <si>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</si>
  <si>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</si>
  <si>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</si>
  <si>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</si>
  <si>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</si>
  <si>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</si>
  <si>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</si>
  <si>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</si>
  <si>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</si>
  <si>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</si>
  <si>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</si>
  <si>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</si>
  <si>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</si>
  <si>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</si>
  <si>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</si>
  <si>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</si>
  <si>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</si>
  <si>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</si>
  <si>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</si>
  <si>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</si>
  <si>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</si>
  <si>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</si>
  <si>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</si>
  <si>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</si>
  <si>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</si>
  <si>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</si>
  <si>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</si>
  <si>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</si>
  <si>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</si>
  <si>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</si>
  <si>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</si>
  <si>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</si>
  <si>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</si>
  <si>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</si>
  <si>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</si>
  <si>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</si>
  <si>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</si>
  <si>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</si>
  <si>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</si>
  <si>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</si>
  <si>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</si>
  <si>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</si>
  <si>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</si>
  <si>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</si>
  <si>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</si>
  <si>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</si>
  <si>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</si>
  <si>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</si>
  <si>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</si>
  <si>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</si>
  <si>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</si>
  <si>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</si>
  <si>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</si>
  <si>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</si>
  <si>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</si>
  <si>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</si>
  <si>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</si>
  <si>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</si>
  <si>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</si>
  <si>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</si>
  <si>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</si>
  <si>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</si>
  <si>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</si>
  <si>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</si>
  <si>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</si>
  <si>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</si>
  <si>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</si>
  <si>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</si>
  <si>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</si>
  <si>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</si>
  <si>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</si>
  <si>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</si>
  <si>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</si>
  <si>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</si>
  <si>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</si>
  <si>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</si>
  <si>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</si>
  <si>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</si>
  <si>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</si>
  <si>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</si>
  <si>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</si>
  <si>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</si>
  <si>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</si>
  <si>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</si>
  <si>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</si>
  <si>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</si>
  <si>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</si>
  <si>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</si>
  <si>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</si>
  <si>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</si>
  <si>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</si>
  <si>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</si>
  <si>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</si>
  <si>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</si>
  <si>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</si>
  <si>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</si>
  <si>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</si>
  <si>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</si>
  <si>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</si>
  <si>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</si>
  <si>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</si>
  <si>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</si>
  <si>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</si>
  <si>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</si>
  <si>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</si>
  <si>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</si>
  <si>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</si>
  <si>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</si>
  <si>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</si>
  <si>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</si>
  <si>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</si>
  <si>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</si>
  <si>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</si>
  <si>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</si>
  <si>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</si>
  <si>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</si>
  <si>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</si>
  <si>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</si>
  <si>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</si>
  <si>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</si>
  <si>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</si>
  <si>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</si>
  <si>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</si>
  <si>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</si>
  <si>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</si>
  <si>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</si>
  <si>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</si>
  <si>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</si>
  <si>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</si>
  <si>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</si>
  <si>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</si>
  <si>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</si>
  <si>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</si>
  <si>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</si>
  <si>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</si>
  <si>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</si>
  <si>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</si>
  <si>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</si>
  <si>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</si>
  <si>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</si>
  <si>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</si>
  <si>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</si>
  <si>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</si>
  <si>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</si>
  <si>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</si>
  <si>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</si>
  <si>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</si>
  <si>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</si>
  <si>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</si>
  <si>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</si>
  <si>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</si>
  <si>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</si>
  <si>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</si>
  <si>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</si>
  <si>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</si>
  <si>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</si>
  <si>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</si>
  <si>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</si>
  <si>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</si>
  <si>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</si>
  <si>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</si>
  <si>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</si>
  <si>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</si>
  <si>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</si>
  <si>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</si>
  <si>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</si>
  <si>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</si>
  <si>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</si>
  <si>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</si>
  <si>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</si>
  <si>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</si>
  <si>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</si>
  <si>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</si>
  <si>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</si>
  <si>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</si>
  <si>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</si>
  <si>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</si>
  <si>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</si>
  <si>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</si>
  <si>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</si>
  <si>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</si>
  <si>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</si>
  <si>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</si>
  <si>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</si>
  <si>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</si>
  <si>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</si>
  <si>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</si>
  <si>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</si>
  <si>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</si>
  <si>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</si>
  <si>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</si>
  <si>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</si>
  <si>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</si>
  <si>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</si>
  <si>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</si>
  <si>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</si>
  <si>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</si>
  <si>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</si>
  <si>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</si>
  <si>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</si>
  <si>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</si>
  <si>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</si>
  <si>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</si>
  <si>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</si>
  <si>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</si>
  <si>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</si>
  <si>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</si>
  <si>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</si>
  <si>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</si>
  <si>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</si>
  <si>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</si>
  <si>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</si>
  <si>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</si>
  <si>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</si>
  <si>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</si>
  <si>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</si>
  <si>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</si>
  <si>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</si>
  <si>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</si>
  <si>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</si>
  <si>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</si>
  <si>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</si>
  <si>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</si>
  <si>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</si>
  <si>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</si>
  <si>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</si>
  <si>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</si>
  <si>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</si>
  <si>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</si>
  <si>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</si>
  <si>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</si>
  <si>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</si>
  <si>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</si>
  <si>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</si>
  <si>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</si>
  <si>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</si>
  <si>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</si>
  <si>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</si>
  <si>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</si>
  <si>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</si>
  <si>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</si>
  <si>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</si>
  <si>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</si>
  <si>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</si>
  <si>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</si>
  <si>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</si>
  <si>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</si>
  <si>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</si>
  <si>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</si>
  <si>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</si>
  <si>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</si>
  <si>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</si>
  <si>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</si>
  <si>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</si>
  <si>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</si>
  <si>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</si>
  <si>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</si>
  <si>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</si>
  <si>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</si>
  <si>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</si>
  <si>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</si>
  <si>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</si>
  <si>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</si>
  <si>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</si>
  <si>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</si>
  <si>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</si>
  <si>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</si>
  <si>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</si>
  <si>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</si>
  <si>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</si>
  <si>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</si>
  <si>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</si>
  <si>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</si>
  <si>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</si>
  <si>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</si>
  <si>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</si>
  <si>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</si>
  <si>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</si>
  <si>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</si>
  <si>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</si>
  <si>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</si>
  <si>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</si>
  <si>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</si>
  <si>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</si>
  <si>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</si>
  <si>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</si>
  <si>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</si>
  <si>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</si>
  <si>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</si>
  <si>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</si>
  <si>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</si>
  <si>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</si>
  <si>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</si>
  <si>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</si>
  <si>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</si>
  <si>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</si>
  <si>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</si>
  <si>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</si>
  <si>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</si>
  <si>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</si>
  <si>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</si>
  <si>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</si>
  <si>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</si>
  <si>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</si>
  <si>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</si>
  <si>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</si>
  <si>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</si>
  <si>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</si>
  <si>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</si>
  <si>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</si>
  <si>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</si>
  <si>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</si>
  <si>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</si>
  <si>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</si>
  <si>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</si>
  <si>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</si>
  <si>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</si>
  <si>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</si>
  <si>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</si>
  <si>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</si>
  <si>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</si>
  <si>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</si>
  <si>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</si>
  <si>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</si>
  <si>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</si>
  <si>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</si>
  <si>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</si>
  <si>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</si>
  <si>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</si>
  <si>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</si>
  <si>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</si>
  <si>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</si>
  <si>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</si>
  <si>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</si>
  <si>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</si>
  <si>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</si>
  <si>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</si>
  <si>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</si>
  <si>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</si>
  <si>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</si>
  <si>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</si>
  <si>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</si>
  <si>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</si>
  <si>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</si>
  <si>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</si>
  <si>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</si>
  <si>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</si>
  <si>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</si>
  <si>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</si>
  <si>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</si>
  <si>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</si>
  <si>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</si>
  <si>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</si>
  <si>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</si>
  <si>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</si>
  <si>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</si>
  <si>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</si>
  <si>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</si>
  <si>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</si>
  <si>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</si>
  <si>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</si>
  <si>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</si>
  <si>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</si>
  <si>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</si>
  <si>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</si>
  <si>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</si>
  <si>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</si>
  <si>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</si>
  <si>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</si>
  <si>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</si>
  <si>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</si>
  <si>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</si>
  <si>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</si>
  <si>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</si>
  <si>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</si>
  <si>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</si>
  <si>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</si>
  <si>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</si>
  <si>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</si>
  <si>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</si>
  <si>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</si>
  <si>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</si>
  <si>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</si>
  <si>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</si>
  <si>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</si>
  <si>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</si>
  <si>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</si>
  <si>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</si>
  <si>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</si>
  <si>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</si>
  <si>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</si>
  <si>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</si>
  <si>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</si>
  <si>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</si>
  <si>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</si>
  <si>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</si>
  <si>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</si>
  <si>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</si>
  <si>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</si>
  <si>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</si>
  <si>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</si>
  <si>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</si>
  <si>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</si>
  <si>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</si>
  <si>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</si>
  <si>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</si>
  <si>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</si>
  <si>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</si>
  <si>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</si>
  <si>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</si>
  <si>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</si>
  <si>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</si>
  <si>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</si>
  <si>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</si>
  <si>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</si>
  <si>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</si>
  <si>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</si>
  <si>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</si>
  <si>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</si>
  <si>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</si>
  <si>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</si>
  <si>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</si>
  <si>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</si>
  <si>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</si>
  <si>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</si>
  <si>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</si>
  <si>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</si>
  <si>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</si>
  <si>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</si>
  <si>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</si>
  <si>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</si>
  <si>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</si>
  <si>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</si>
  <si>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</si>
  <si>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</si>
  <si>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</si>
  <si>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</si>
  <si>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</si>
  <si>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</si>
  <si>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</si>
  <si>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</si>
  <si>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</si>
  <si>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</si>
  <si>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</si>
  <si>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</si>
  <si>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RED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</si>
  <si>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</si>
  <si>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</si>
  <si>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</si>
  <si>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</si>
  <si>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</si>
  <si>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</si>
  <si>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</si>
  <si>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</si>
  <si>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</si>
  <si>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</si>
  <si>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</si>
  <si>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</si>
  <si>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</si>
  <si>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</si>
  <si>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</si>
  <si>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</si>
  <si>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</si>
  <si>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</si>
  <si>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</si>
  <si>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</si>
  <si>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</si>
  <si>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</si>
  <si>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</si>
  <si>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</si>
  <si>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</si>
  <si>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</si>
  <si>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</si>
  <si>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</si>
  <si>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</si>
  <si>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</si>
  <si>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</si>
  <si>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</si>
  <si>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</si>
  <si>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</si>
  <si>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</si>
  <si>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</si>
  <si>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</si>
  <si>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</si>
  <si>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</si>
  <si>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</si>
  <si>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</si>
  <si>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</si>
  <si>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</si>
  <si>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</si>
  <si>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</si>
  <si>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</si>
  <si>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</si>
  <si>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</si>
  <si>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</si>
  <si>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</si>
  <si>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</si>
  <si>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</si>
  <si>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</si>
  <si>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</si>
  <si>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</si>
  <si>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</si>
  <si>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</si>
  <si>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</si>
  <si>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</si>
  <si>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</si>
  <si>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</si>
  <si>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</si>
  <si>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</si>
  <si>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</si>
  <si>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</si>
  <si>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</si>
  <si>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</si>
  <si>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</si>
  <si>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</si>
  <si>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</si>
  <si>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</si>
  <si>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</si>
  <si>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</si>
  <si>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</si>
  <si>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</si>
  <si>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</si>
  <si>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</si>
  <si>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</si>
  <si>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</si>
  <si>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</si>
  <si>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</si>
  <si>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</si>
  <si>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</si>
  <si>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</si>
  <si>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</si>
  <si>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</si>
  <si>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</si>
  <si>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</si>
  <si>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</si>
  <si>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110F</t>
  </si>
  <si>
    <t>5089M</t>
  </si>
  <si>
    <t>6005FF</t>
  </si>
  <si>
    <t>6007</t>
  </si>
  <si>
    <t>6007T</t>
  </si>
  <si>
    <t>6089CM</t>
  </si>
  <si>
    <t>6089M</t>
  </si>
  <si>
    <t>6089MC</t>
  </si>
  <si>
    <t>6089MT</t>
  </si>
  <si>
    <t>6089TC</t>
  </si>
  <si>
    <t>6277</t>
  </si>
  <si>
    <t>6320</t>
  </si>
  <si>
    <t>6511</t>
  </si>
  <si>
    <t>6533</t>
  </si>
  <si>
    <t>6606</t>
  </si>
  <si>
    <t>1500KC</t>
  </si>
  <si>
    <t>1501KC</t>
  </si>
  <si>
    <t>1501P</t>
  </si>
  <si>
    <t>Бейсболка с прямым козырьком</t>
  </si>
  <si>
    <t>FLEXFIT</t>
  </si>
  <si>
    <t>DARK GREY</t>
  </si>
  <si>
    <t>HEATHER GREY</t>
  </si>
  <si>
    <t>NAVY</t>
  </si>
  <si>
    <t>ROYAL</t>
  </si>
  <si>
    <t>WHITE</t>
  </si>
  <si>
    <t>BLACK</t>
  </si>
  <si>
    <t>GREY</t>
  </si>
  <si>
    <t>BLACK/PURPLE</t>
  </si>
  <si>
    <t>BLACK/RED</t>
  </si>
  <si>
    <t>BLACK/SILVER</t>
  </si>
  <si>
    <t>BLACK/TEAL</t>
  </si>
  <si>
    <t>NAVY/RED</t>
  </si>
  <si>
    <t>GREEN CAMO</t>
  </si>
  <si>
    <t>DARK HEATHER</t>
  </si>
  <si>
    <t>DARK NAVY</t>
  </si>
  <si>
    <t>MAROON</t>
  </si>
  <si>
    <t>ORANGE</t>
  </si>
  <si>
    <t>SILVER</t>
  </si>
  <si>
    <t>SPRUCE</t>
  </si>
  <si>
    <t>MULTICAM</t>
  </si>
  <si>
    <t>DARK HEATHER/BLACK</t>
  </si>
  <si>
    <t>DARK HEATHER/RED</t>
  </si>
  <si>
    <t>HEATHER/BLACK</t>
  </si>
  <si>
    <t>светло-серый / черный</t>
  </si>
  <si>
    <t>ROYAL/ORANGE</t>
  </si>
  <si>
    <t>CAMO/BLACK</t>
  </si>
  <si>
    <t>BROWN</t>
  </si>
  <si>
    <t>GOLD</t>
  </si>
  <si>
    <t>PURPLE</t>
  </si>
  <si>
    <t>EVERGREEN</t>
  </si>
  <si>
    <t>BABY PINK</t>
  </si>
  <si>
    <t>OLIVE</t>
  </si>
  <si>
    <t>BLAZE ORANGE</t>
  </si>
  <si>
    <t>CARAMEL</t>
  </si>
  <si>
    <t>CAROLINA BLUE</t>
  </si>
  <si>
    <t>SAND</t>
  </si>
  <si>
    <t>83% акрил - 15% шерсть - 2% полиуретан</t>
  </si>
  <si>
    <t>98% хлопок - 2% полиуретан</t>
  </si>
  <si>
    <t>63% полиэстер - 34% хлопок - 3% полиуретан</t>
  </si>
  <si>
    <t>55% полиэстер - 43% хлопок - 2% полиуретан</t>
  </si>
  <si>
    <t>44% полиэстер - 42% нейлон - 7% хлопок - 7% полиуретан</t>
  </si>
  <si>
    <t>100% гипоаллергенный акрил</t>
  </si>
  <si>
    <t>Южная Корея</t>
  </si>
  <si>
    <t>YupoongInc; 174, Gurodong-ro, Guro-gu, 08285 Seoul, South Korea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</si>
</sst>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8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15" fillId="0" borderId="0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27783</v>
      </c>
      <c r="B44" s="28" t="s">
        <v>27784</v>
      </c>
    </row>
    <row r="45" spans="1:2" x14ac:dyDescent="0.25">
      <c r="A45" s="28" t="s">
        <v>27785</v>
      </c>
      <c r="B45" s="28" t="s">
        <v>27786</v>
      </c>
    </row>
    <row r="46" spans="1:2" x14ac:dyDescent="0.25">
      <c r="A46" s="28" t="s">
        <v>27787</v>
      </c>
      <c r="B46" s="28" t="s">
        <v>27788</v>
      </c>
    </row>
    <row r="47" spans="1:2" x14ac:dyDescent="0.25">
      <c r="A47" s="28" t="s">
        <v>27789</v>
      </c>
      <c r="B47" s="28" t="s">
        <v>27790</v>
      </c>
    </row>
    <row r="48" spans="1:2" x14ac:dyDescent="0.25">
      <c r="A48" s="28" t="s">
        <v>27791</v>
      </c>
      <c r="B48" s="28" t="s">
        <v>27792</v>
      </c>
    </row>
    <row r="49" spans="1:2" x14ac:dyDescent="0.25">
      <c r="A49" s="28" t="s">
        <v>27793</v>
      </c>
      <c r="B49" s="28" t="s">
        <v>27794</v>
      </c>
    </row>
    <row r="50" spans="1:2" x14ac:dyDescent="0.25">
      <c r="A50" s="28" t="s">
        <v>27795</v>
      </c>
      <c r="B50" s="28" t="s">
        <v>27796</v>
      </c>
    </row>
    <row r="51" spans="1:2" x14ac:dyDescent="0.25">
      <c r="A51" s="28" t="s">
        <v>27797</v>
      </c>
      <c r="B51" s="28" t="s">
        <v>27798</v>
      </c>
    </row>
    <row r="52" spans="1:2" x14ac:dyDescent="0.25">
      <c r="A52" s="28" t="s">
        <v>27799</v>
      </c>
      <c r="B52" s="28" t="s">
        <v>27800</v>
      </c>
    </row>
    <row r="53" spans="1:2" x14ac:dyDescent="0.25">
      <c r="A53" s="28" t="s">
        <v>27801</v>
      </c>
      <c r="B53" s="28" t="s">
        <v>27802</v>
      </c>
    </row>
    <row r="54" spans="1:2" x14ac:dyDescent="0.25">
      <c r="A54" s="28" t="s">
        <v>27803</v>
      </c>
      <c r="B54" s="28" t="s">
        <v>27804</v>
      </c>
    </row>
    <row r="55" spans="1:2" x14ac:dyDescent="0.25">
      <c r="A55" s="28" t="s">
        <v>27805</v>
      </c>
      <c r="B55" s="28" t="s">
        <v>27806</v>
      </c>
    </row>
    <row r="56" spans="1:2" x14ac:dyDescent="0.25">
      <c r="A56" s="28" t="s">
        <v>27807</v>
      </c>
      <c r="B56" s="28" t="s">
        <v>27808</v>
      </c>
    </row>
    <row r="57" spans="1:2" x14ac:dyDescent="0.25">
      <c r="A57" s="28" t="s">
        <v>27809</v>
      </c>
      <c r="B57" s="28" t="s">
        <v>27810</v>
      </c>
    </row>
    <row r="58" spans="1:2" x14ac:dyDescent="0.25">
      <c r="A58" s="28" t="s">
        <v>27811</v>
      </c>
      <c r="B58" s="28" t="s">
        <v>27812</v>
      </c>
    </row>
    <row r="59" spans="1:2" x14ac:dyDescent="0.25">
      <c r="A59" s="28" t="s">
        <v>27813</v>
      </c>
      <c r="B59" s="28" t="s">
        <v>27814</v>
      </c>
    </row>
    <row r="60" spans="1:2" x14ac:dyDescent="0.25">
      <c r="A60" s="28" t="s">
        <v>27815</v>
      </c>
      <c r="B60" s="28" t="s">
        <v>27816</v>
      </c>
    </row>
    <row r="61" spans="1:2" x14ac:dyDescent="0.25">
      <c r="A61" s="28" t="s">
        <v>27817</v>
      </c>
      <c r="B61" s="28" t="s">
        <v>27818</v>
      </c>
    </row>
    <row r="62" spans="1:2" x14ac:dyDescent="0.25">
      <c r="A62" s="28" t="s">
        <v>27819</v>
      </c>
      <c r="B62" s="28" t="s">
        <v>27820</v>
      </c>
    </row>
    <row r="63" spans="1:2" x14ac:dyDescent="0.25">
      <c r="A63" s="28" t="s">
        <v>27821</v>
      </c>
      <c r="B63" s="28" t="s">
        <v>27822</v>
      </c>
    </row>
    <row r="64" spans="1:2" x14ac:dyDescent="0.25">
      <c r="A64" s="28" t="s">
        <v>27823</v>
      </c>
      <c r="B64" s="28" t="s">
        <v>27824</v>
      </c>
    </row>
    <row r="65" spans="1:2" x14ac:dyDescent="0.25">
      <c r="A65" s="28" t="s">
        <v>27825</v>
      </c>
      <c r="B65" s="28" t="s">
        <v>27826</v>
      </c>
    </row>
    <row r="66" spans="1:2" x14ac:dyDescent="0.25">
      <c r="A66" s="28" t="s">
        <v>27827</v>
      </c>
      <c r="B66" s="28" t="s">
        <v>27828</v>
      </c>
    </row>
    <row r="67" spans="1:2" x14ac:dyDescent="0.25">
      <c r="A67" s="28" t="s">
        <v>27829</v>
      </c>
      <c r="B67" s="28" t="s">
        <v>27830</v>
      </c>
    </row>
    <row r="68" spans="1:2" x14ac:dyDescent="0.25">
      <c r="A68" s="28" t="s">
        <v>27831</v>
      </c>
      <c r="B68" s="28" t="s">
        <v>27832</v>
      </c>
    </row>
    <row r="69" spans="1:2" x14ac:dyDescent="0.25">
      <c r="A69" s="28" t="s">
        <v>27833</v>
      </c>
      <c r="B69" s="28" t="s">
        <v>27834</v>
      </c>
    </row>
    <row r="70" spans="1:2" x14ac:dyDescent="0.25">
      <c r="A70" s="28" t="s">
        <v>27835</v>
      </c>
      <c r="B70" s="28" t="s">
        <v>27836</v>
      </c>
    </row>
    <row r="71" spans="1:2" x14ac:dyDescent="0.25">
      <c r="A71" s="28" t="s">
        <v>27837</v>
      </c>
      <c r="B71" s="28" t="s">
        <v>27838</v>
      </c>
    </row>
    <row r="72" spans="1:2" x14ac:dyDescent="0.25">
      <c r="A72" s="28" t="s">
        <v>27839</v>
      </c>
      <c r="B72" s="28" t="s">
        <v>27840</v>
      </c>
    </row>
    <row r="73" spans="1:2" x14ac:dyDescent="0.25">
      <c r="A73" s="28" t="s">
        <v>27841</v>
      </c>
      <c r="B73" s="28" t="s">
        <v>27842</v>
      </c>
    </row>
    <row r="74" spans="1:2" x14ac:dyDescent="0.25">
      <c r="A74" s="28" t="s">
        <v>27843</v>
      </c>
      <c r="B74" s="28" t="s">
        <v>27844</v>
      </c>
    </row>
    <row r="75" spans="1:2" x14ac:dyDescent="0.25">
      <c r="A75" s="28" t="s">
        <v>27845</v>
      </c>
      <c r="B75" s="28" t="s">
        <v>27846</v>
      </c>
    </row>
    <row r="76" spans="1:2" x14ac:dyDescent="0.25">
      <c r="A76" s="28" t="s">
        <v>27847</v>
      </c>
      <c r="B76" s="28" t="s">
        <v>27848</v>
      </c>
    </row>
    <row r="77" spans="1:2" x14ac:dyDescent="0.25">
      <c r="A77" s="28" t="s">
        <v>27849</v>
      </c>
      <c r="B77" s="28" t="s">
        <v>27850</v>
      </c>
    </row>
    <row r="78" spans="1:2" x14ac:dyDescent="0.25">
      <c r="A78" s="28" t="s">
        <v>27851</v>
      </c>
      <c r="B78" s="28" t="s">
        <v>27852</v>
      </c>
    </row>
    <row r="79" spans="1:2" x14ac:dyDescent="0.25">
      <c r="A79" s="28" t="s">
        <v>27853</v>
      </c>
      <c r="B79" s="28" t="s">
        <v>27854</v>
      </c>
    </row>
    <row r="80" spans="1:2" x14ac:dyDescent="0.25">
      <c r="A80" s="28" t="s">
        <v>27855</v>
      </c>
      <c r="B80" s="28" t="s">
        <v>27856</v>
      </c>
    </row>
    <row r="81" spans="1:2" x14ac:dyDescent="0.25">
      <c r="A81" s="28" t="s">
        <v>27857</v>
      </c>
      <c r="B81" s="28" t="s">
        <v>27858</v>
      </c>
    </row>
    <row r="82" spans="1:2" x14ac:dyDescent="0.25">
      <c r="A82" s="28" t="s">
        <v>27859</v>
      </c>
      <c r="B82" s="28" t="s">
        <v>27860</v>
      </c>
    </row>
    <row r="83" spans="1:2" x14ac:dyDescent="0.25">
      <c r="A83" s="28" t="s">
        <v>27861</v>
      </c>
      <c r="B83" s="28" t="s">
        <v>27862</v>
      </c>
    </row>
    <row r="84" spans="1:2" x14ac:dyDescent="0.25">
      <c r="A84" s="28" t="s">
        <v>27863</v>
      </c>
      <c r="B84" s="28" t="s">
        <v>27864</v>
      </c>
    </row>
    <row r="85" spans="1:2" x14ac:dyDescent="0.25">
      <c r="A85" s="28" t="s">
        <v>27865</v>
      </c>
      <c r="B85" s="28" t="s">
        <v>27866</v>
      </c>
    </row>
    <row r="86" spans="1:2" x14ac:dyDescent="0.25">
      <c r="A86" s="28" t="s">
        <v>27867</v>
      </c>
      <c r="B86" s="28" t="s">
        <v>27868</v>
      </c>
    </row>
    <row r="87" spans="1:2" x14ac:dyDescent="0.25">
      <c r="A87" s="28" t="s">
        <v>27869</v>
      </c>
      <c r="B87" s="28" t="s">
        <v>27870</v>
      </c>
    </row>
    <row r="88" spans="1:2" x14ac:dyDescent="0.25">
      <c r="A88" s="28" t="s">
        <v>27871</v>
      </c>
      <c r="B88" s="28" t="s">
        <v>27872</v>
      </c>
    </row>
    <row r="89" spans="1:2" x14ac:dyDescent="0.25">
      <c r="A89" s="28" t="s">
        <v>27873</v>
      </c>
      <c r="B89" s="28" t="s">
        <v>27874</v>
      </c>
    </row>
    <row r="90" spans="1:2" x14ac:dyDescent="0.25">
      <c r="A90" s="28" t="s">
        <v>27875</v>
      </c>
      <c r="B90" s="28" t="s">
        <v>27876</v>
      </c>
    </row>
    <row r="91" spans="1:2" x14ac:dyDescent="0.25">
      <c r="A91" s="28" t="s">
        <v>27877</v>
      </c>
      <c r="B91" s="28" t="s">
        <v>27878</v>
      </c>
    </row>
    <row r="92" spans="1:2" x14ac:dyDescent="0.25">
      <c r="A92" s="28" t="s">
        <v>27879</v>
      </c>
      <c r="B92" s="28" t="s">
        <v>27880</v>
      </c>
    </row>
    <row r="93" spans="1:2" x14ac:dyDescent="0.25">
      <c r="A93" s="28" t="s">
        <v>27881</v>
      </c>
      <c r="B93" s="28" t="s">
        <v>27882</v>
      </c>
    </row>
    <row r="94" spans="1:2" x14ac:dyDescent="0.25">
      <c r="A94" s="28" t="s">
        <v>27883</v>
      </c>
      <c r="B94" s="28" t="s">
        <v>27884</v>
      </c>
    </row>
    <row r="95" spans="1:2" x14ac:dyDescent="0.25">
      <c r="A95" s="28" t="s">
        <v>27885</v>
      </c>
      <c r="B95" s="28" t="s">
        <v>27886</v>
      </c>
    </row>
    <row r="96" spans="1:2" x14ac:dyDescent="0.25">
      <c r="A96" s="28" t="s">
        <v>27887</v>
      </c>
      <c r="B96" s="28" t="s">
        <v>27888</v>
      </c>
    </row>
    <row r="97" spans="1:2" x14ac:dyDescent="0.25">
      <c r="A97" s="28" t="s">
        <v>27889</v>
      </c>
      <c r="B97" s="28" t="s">
        <v>27890</v>
      </c>
    </row>
    <row r="98" spans="1:2" x14ac:dyDescent="0.25">
      <c r="A98" s="28" t="s">
        <v>27891</v>
      </c>
      <c r="B98" s="28" t="s">
        <v>27892</v>
      </c>
    </row>
    <row r="99" spans="1:2" x14ac:dyDescent="0.25">
      <c r="A99" s="28" t="s">
        <v>27893</v>
      </c>
      <c r="B99" s="28" t="s">
        <v>27894</v>
      </c>
    </row>
    <row r="100" spans="1:2" x14ac:dyDescent="0.25">
      <c r="A100" s="28" t="s">
        <v>27895</v>
      </c>
      <c r="B100" s="28" t="s">
        <v>27896</v>
      </c>
    </row>
    <row r="101" spans="1:2" x14ac:dyDescent="0.25">
      <c r="A101" s="28" t="s">
        <v>27897</v>
      </c>
      <c r="B101" s="28" t="s">
        <v>27898</v>
      </c>
    </row>
    <row r="102" spans="1:2" x14ac:dyDescent="0.25">
      <c r="A102" s="28" t="s">
        <v>27899</v>
      </c>
      <c r="B102" s="28" t="s">
        <v>27900</v>
      </c>
    </row>
    <row r="103" spans="1:2" x14ac:dyDescent="0.25">
      <c r="A103" s="28" t="s">
        <v>27901</v>
      </c>
      <c r="B103" s="28" t="s">
        <v>27902</v>
      </c>
    </row>
    <row r="104" spans="1:2" x14ac:dyDescent="0.25">
      <c r="A104" s="28" t="s">
        <v>27903</v>
      </c>
      <c r="B104" s="28" t="s">
        <v>27904</v>
      </c>
    </row>
    <row r="105" spans="1:2" x14ac:dyDescent="0.25">
      <c r="A105" s="28" t="s">
        <v>27905</v>
      </c>
      <c r="B105" s="28" t="s">
        <v>27906</v>
      </c>
    </row>
    <row r="106" spans="1:2" x14ac:dyDescent="0.25">
      <c r="A106" s="28" t="s">
        <v>27907</v>
      </c>
      <c r="B106" s="28" t="s">
        <v>27908</v>
      </c>
    </row>
    <row r="107" spans="1:2" x14ac:dyDescent="0.25">
      <c r="A107" s="28" t="s">
        <v>27909</v>
      </c>
      <c r="B107" s="28" t="s">
        <v>27910</v>
      </c>
    </row>
    <row r="108" spans="1:2" x14ac:dyDescent="0.25">
      <c r="A108" s="28" t="s">
        <v>27911</v>
      </c>
      <c r="B108" s="28" t="s">
        <v>27912</v>
      </c>
    </row>
    <row r="109" spans="1:2" x14ac:dyDescent="0.25">
      <c r="A109" s="28" t="s">
        <v>27913</v>
      </c>
      <c r="B109" s="28" t="s">
        <v>27914</v>
      </c>
    </row>
    <row r="110" spans="1:2" x14ac:dyDescent="0.25">
      <c r="A110" s="28" t="s">
        <v>27915</v>
      </c>
      <c r="B110" s="28" t="s">
        <v>27916</v>
      </c>
    </row>
    <row r="111" spans="1:2" x14ac:dyDescent="0.25">
      <c r="A111" s="28" t="s">
        <v>27917</v>
      </c>
      <c r="B111" s="28" t="s">
        <v>27918</v>
      </c>
    </row>
    <row r="112" spans="1:2" x14ac:dyDescent="0.25">
      <c r="A112" s="28" t="s">
        <v>27919</v>
      </c>
      <c r="B112" s="28" t="s">
        <v>27920</v>
      </c>
    </row>
    <row r="113" spans="1:2" x14ac:dyDescent="0.25">
      <c r="A113" s="28" t="s">
        <v>27921</v>
      </c>
      <c r="B113" s="28" t="s">
        <v>27922</v>
      </c>
    </row>
    <row r="114" spans="1:2" x14ac:dyDescent="0.25">
      <c r="A114" s="28" t="s">
        <v>27923</v>
      </c>
      <c r="B114" s="28" t="s">
        <v>27924</v>
      </c>
    </row>
    <row r="115" spans="1:2" x14ac:dyDescent="0.25">
      <c r="A115" s="28" t="s">
        <v>27925</v>
      </c>
      <c r="B115" s="28" t="s">
        <v>27926</v>
      </c>
    </row>
    <row r="116" spans="1:2" x14ac:dyDescent="0.25">
      <c r="A116" s="28" t="s">
        <v>27927</v>
      </c>
      <c r="B116" s="28" t="s">
        <v>27928</v>
      </c>
    </row>
    <row r="117" spans="1:2" x14ac:dyDescent="0.25">
      <c r="A117" s="28" t="s">
        <v>27929</v>
      </c>
      <c r="B117" s="28" t="s">
        <v>27930</v>
      </c>
    </row>
    <row r="118" spans="1:2" x14ac:dyDescent="0.25">
      <c r="A118" s="28" t="s">
        <v>27931</v>
      </c>
      <c r="B118" s="28" t="s">
        <v>27932</v>
      </c>
    </row>
    <row r="119" spans="1:2" x14ac:dyDescent="0.25">
      <c r="A119" s="28" t="s">
        <v>27933</v>
      </c>
      <c r="B119" s="28" t="s">
        <v>27934</v>
      </c>
    </row>
    <row r="120" spans="1:2" x14ac:dyDescent="0.25">
      <c r="A120" s="28" t="s">
        <v>27935</v>
      </c>
      <c r="B120" s="28" t="s">
        <v>27936</v>
      </c>
    </row>
    <row r="121" spans="1:2" x14ac:dyDescent="0.25">
      <c r="A121" s="28" t="s">
        <v>27937</v>
      </c>
      <c r="B121" s="28" t="s">
        <v>27938</v>
      </c>
    </row>
    <row r="122" spans="1:2" x14ac:dyDescent="0.25">
      <c r="A122" s="28" t="s">
        <v>27939</v>
      </c>
      <c r="B122" s="28" t="s">
        <v>27940</v>
      </c>
    </row>
    <row r="123" spans="1:2" x14ac:dyDescent="0.25">
      <c r="A123" s="28" t="s">
        <v>27941</v>
      </c>
      <c r="B123" s="28" t="s">
        <v>27942</v>
      </c>
    </row>
    <row r="124" spans="1:2" x14ac:dyDescent="0.25">
      <c r="A124" s="28" t="s">
        <v>27943</v>
      </c>
      <c r="B124" s="28" t="s">
        <v>27944</v>
      </c>
    </row>
    <row r="125" spans="1:2" x14ac:dyDescent="0.25">
      <c r="A125" s="28" t="s">
        <v>27945</v>
      </c>
      <c r="B125" s="28" t="s">
        <v>27946</v>
      </c>
    </row>
    <row r="126" spans="1:2" x14ac:dyDescent="0.25">
      <c r="A126" s="28" t="s">
        <v>27947</v>
      </c>
      <c r="B126" s="28" t="s">
        <v>27948</v>
      </c>
    </row>
    <row r="127" spans="1:2" x14ac:dyDescent="0.25">
      <c r="A127" s="28" t="s">
        <v>27949</v>
      </c>
      <c r="B127" s="28" t="s">
        <v>27950</v>
      </c>
    </row>
    <row r="128" spans="1:2" x14ac:dyDescent="0.25">
      <c r="A128" s="28" t="s">
        <v>27951</v>
      </c>
      <c r="B128" s="28" t="s">
        <v>27952</v>
      </c>
    </row>
    <row r="129" spans="1:2" x14ac:dyDescent="0.25">
      <c r="A129" s="28" t="s">
        <v>27953</v>
      </c>
      <c r="B129" s="28" t="s">
        <v>27954</v>
      </c>
    </row>
    <row r="130" spans="1:2" x14ac:dyDescent="0.25">
      <c r="A130" s="28" t="s">
        <v>27955</v>
      </c>
      <c r="B130" s="28" t="s">
        <v>27956</v>
      </c>
    </row>
    <row r="131" spans="1:2" x14ac:dyDescent="0.25">
      <c r="A131" s="28" t="s">
        <v>27957</v>
      </c>
      <c r="B131" s="28" t="s">
        <v>27958</v>
      </c>
    </row>
    <row r="132" spans="1:2" x14ac:dyDescent="0.25">
      <c r="A132" s="28" t="s">
        <v>27959</v>
      </c>
      <c r="B132" s="28" t="s">
        <v>27960</v>
      </c>
    </row>
    <row r="133" spans="1:2" x14ac:dyDescent="0.25">
      <c r="A133" s="28" t="s">
        <v>27961</v>
      </c>
      <c r="B133" s="28" t="s">
        <v>27962</v>
      </c>
    </row>
    <row r="134" spans="1:2" x14ac:dyDescent="0.25">
      <c r="A134" s="28" t="s">
        <v>27963</v>
      </c>
      <c r="B134" s="28" t="s">
        <v>27964</v>
      </c>
    </row>
    <row r="135" spans="1:2" x14ac:dyDescent="0.25">
      <c r="A135" s="28" t="s">
        <v>27965</v>
      </c>
      <c r="B135" s="28" t="s">
        <v>27966</v>
      </c>
    </row>
    <row r="136" spans="1:2" x14ac:dyDescent="0.25">
      <c r="A136" s="28" t="s">
        <v>27967</v>
      </c>
      <c r="B136" s="28" t="s">
        <v>27968</v>
      </c>
    </row>
    <row r="137" spans="1:2" x14ac:dyDescent="0.25">
      <c r="A137" s="28" t="s">
        <v>27969</v>
      </c>
      <c r="B137" s="28" t="s">
        <v>27970</v>
      </c>
    </row>
    <row r="138" spans="1:2" x14ac:dyDescent="0.25">
      <c r="A138" s="28" t="s">
        <v>27971</v>
      </c>
      <c r="B138" s="28" t="s">
        <v>27972</v>
      </c>
    </row>
    <row r="139" spans="1:2" x14ac:dyDescent="0.25">
      <c r="A139" s="28" t="s">
        <v>27973</v>
      </c>
      <c r="B139" s="28" t="s">
        <v>27974</v>
      </c>
    </row>
    <row r="140" spans="1:2" x14ac:dyDescent="0.25">
      <c r="A140" s="28" t="s">
        <v>27975</v>
      </c>
      <c r="B140" s="28" t="s">
        <v>27976</v>
      </c>
    </row>
    <row r="141" spans="1:2" x14ac:dyDescent="0.25">
      <c r="A141" s="28" t="s">
        <v>27977</v>
      </c>
      <c r="B141" s="28" t="s">
        <v>27978</v>
      </c>
    </row>
    <row r="142" spans="1:2" x14ac:dyDescent="0.25">
      <c r="A142" s="28" t="s">
        <v>27979</v>
      </c>
      <c r="B142" s="28" t="s">
        <v>27980</v>
      </c>
    </row>
    <row r="143" spans="1:2" x14ac:dyDescent="0.25">
      <c r="A143" s="28" t="s">
        <v>27981</v>
      </c>
      <c r="B143" s="28" t="s">
        <v>27982</v>
      </c>
    </row>
    <row r="144" spans="1:2" x14ac:dyDescent="0.25">
      <c r="A144" s="28" t="s">
        <v>27983</v>
      </c>
      <c r="B144" s="28" t="s">
        <v>27984</v>
      </c>
    </row>
    <row r="145" spans="1:2" x14ac:dyDescent="0.25">
      <c r="A145" s="28" t="s">
        <v>27985</v>
      </c>
      <c r="B145" s="28" t="s">
        <v>27986</v>
      </c>
    </row>
    <row r="146" spans="1:2" x14ac:dyDescent="0.25">
      <c r="A146" s="28" t="s">
        <v>27987</v>
      </c>
      <c r="B146" s="28" t="s">
        <v>27988</v>
      </c>
    </row>
    <row r="147" spans="1:2" x14ac:dyDescent="0.25">
      <c r="A147" s="28" t="s">
        <v>27989</v>
      </c>
      <c r="B147" s="28" t="s">
        <v>27990</v>
      </c>
    </row>
    <row r="148" spans="1:2" x14ac:dyDescent="0.25">
      <c r="A148" s="28" t="s">
        <v>27991</v>
      </c>
      <c r="B148" s="28" t="s">
        <v>27992</v>
      </c>
    </row>
    <row r="149" spans="1:2" x14ac:dyDescent="0.25">
      <c r="A149" s="28" t="s">
        <v>27993</v>
      </c>
      <c r="B149" s="28" t="s">
        <v>27994</v>
      </c>
    </row>
    <row r="150" spans="1:2" x14ac:dyDescent="0.25">
      <c r="A150" s="28" t="s">
        <v>27995</v>
      </c>
      <c r="B150" s="28" t="s">
        <v>27996</v>
      </c>
    </row>
    <row r="151" spans="1:2" x14ac:dyDescent="0.25">
      <c r="A151" s="28" t="s">
        <v>27997</v>
      </c>
      <c r="B151" s="28" t="s">
        <v>27998</v>
      </c>
    </row>
    <row r="152" spans="1:2" x14ac:dyDescent="0.25">
      <c r="A152" s="28" t="s">
        <v>27999</v>
      </c>
      <c r="B152" s="28" t="s">
        <v>28000</v>
      </c>
    </row>
    <row r="153" spans="1:2" x14ac:dyDescent="0.25">
      <c r="A153" s="28" t="s">
        <v>28001</v>
      </c>
      <c r="B153" s="28" t="s">
        <v>28002</v>
      </c>
    </row>
    <row r="154" spans="1:2" x14ac:dyDescent="0.25">
      <c r="A154" s="28" t="s">
        <v>28003</v>
      </c>
      <c r="B154" s="28" t="s">
        <v>28004</v>
      </c>
    </row>
    <row r="155" spans="1:2" x14ac:dyDescent="0.25">
      <c r="A155" s="28" t="s">
        <v>28005</v>
      </c>
      <c r="B155" s="28" t="s">
        <v>28006</v>
      </c>
    </row>
    <row r="156" spans="1:2" x14ac:dyDescent="0.25">
      <c r="A156" s="28" t="s">
        <v>28406</v>
      </c>
      <c r="B156" s="28" t="s">
        <v>28007</v>
      </c>
    </row>
    <row r="157" spans="1:2" x14ac:dyDescent="0.25">
      <c r="A157" s="28" t="s">
        <v>28008</v>
      </c>
      <c r="B157" s="28" t="s">
        <v>28009</v>
      </c>
    </row>
    <row r="158" spans="1:2" x14ac:dyDescent="0.25">
      <c r="A158" s="28" t="s">
        <v>28010</v>
      </c>
      <c r="B158" s="28" t="s">
        <v>28011</v>
      </c>
    </row>
    <row r="159" spans="1:2" x14ac:dyDescent="0.25">
      <c r="A159" s="28" t="s">
        <v>28012</v>
      </c>
      <c r="B159" s="28" t="s">
        <v>28013</v>
      </c>
    </row>
    <row r="160" spans="1:2" x14ac:dyDescent="0.25">
      <c r="A160" s="28" t="s">
        <v>28014</v>
      </c>
      <c r="B160" s="28" t="s">
        <v>28015</v>
      </c>
    </row>
    <row r="161" spans="1:2" x14ac:dyDescent="0.25">
      <c r="A161" s="28" t="s">
        <v>28016</v>
      </c>
      <c r="B161" s="28" t="s">
        <v>28017</v>
      </c>
    </row>
    <row r="162" spans="1:2" x14ac:dyDescent="0.25">
      <c r="A162" s="28" t="s">
        <v>28018</v>
      </c>
      <c r="B162" s="28" t="s">
        <v>28019</v>
      </c>
    </row>
    <row r="163" spans="1:2" x14ac:dyDescent="0.25">
      <c r="A163" s="28" t="s">
        <v>28020</v>
      </c>
      <c r="B163" s="28" t="s">
        <v>28021</v>
      </c>
    </row>
    <row r="164" spans="1:2" x14ac:dyDescent="0.25">
      <c r="A164" s="28" t="s">
        <v>28022</v>
      </c>
      <c r="B164" s="28" t="s">
        <v>28023</v>
      </c>
    </row>
    <row r="165" spans="1:2" x14ac:dyDescent="0.25">
      <c r="A165" s="28" t="s">
        <v>28024</v>
      </c>
      <c r="B165" s="28" t="s">
        <v>28025</v>
      </c>
    </row>
    <row r="166" spans="1:2" x14ac:dyDescent="0.25">
      <c r="A166" s="28" t="s">
        <v>28026</v>
      </c>
      <c r="B166" s="28" t="s">
        <v>28027</v>
      </c>
    </row>
    <row r="167" spans="1:2" x14ac:dyDescent="0.25">
      <c r="A167" s="28" t="s">
        <v>28028</v>
      </c>
      <c r="B167" s="28" t="s">
        <v>28029</v>
      </c>
    </row>
    <row r="168" spans="1:2" x14ac:dyDescent="0.25">
      <c r="A168" s="28" t="s">
        <v>28030</v>
      </c>
      <c r="B168" s="28" t="s">
        <v>28031</v>
      </c>
    </row>
    <row r="169" spans="1:2" x14ac:dyDescent="0.25">
      <c r="A169" s="28" t="s">
        <v>28032</v>
      </c>
      <c r="B169" s="28" t="s">
        <v>28033</v>
      </c>
    </row>
    <row r="170" spans="1:2" x14ac:dyDescent="0.25">
      <c r="A170" s="28" t="s">
        <v>28034</v>
      </c>
      <c r="B170" s="28" t="s">
        <v>28035</v>
      </c>
    </row>
    <row r="171" spans="1:2" x14ac:dyDescent="0.25">
      <c r="A171" s="28" t="s">
        <v>28036</v>
      </c>
      <c r="B171" s="28" t="s">
        <v>28037</v>
      </c>
    </row>
    <row r="172" spans="1:2" x14ac:dyDescent="0.25">
      <c r="A172" s="28" t="s">
        <v>28038</v>
      </c>
      <c r="B172" s="28" t="s">
        <v>28039</v>
      </c>
    </row>
    <row r="173" spans="1:2" x14ac:dyDescent="0.25">
      <c r="A173" s="28" t="s">
        <v>28040</v>
      </c>
      <c r="B173" s="28" t="s">
        <v>28041</v>
      </c>
    </row>
    <row r="174" spans="1:2" x14ac:dyDescent="0.25">
      <c r="A174" s="28" t="s">
        <v>28042</v>
      </c>
      <c r="B174" s="28" t="s">
        <v>28043</v>
      </c>
    </row>
    <row r="175" spans="1:2" x14ac:dyDescent="0.25">
      <c r="A175" s="28" t="s">
        <v>28044</v>
      </c>
      <c r="B175" s="28" t="s">
        <v>28045</v>
      </c>
    </row>
    <row r="176" spans="1:2" x14ac:dyDescent="0.25">
      <c r="A176" s="28" t="s">
        <v>28046</v>
      </c>
      <c r="B176" s="28" t="s">
        <v>28047</v>
      </c>
    </row>
    <row r="177" spans="1:2" x14ac:dyDescent="0.25">
      <c r="A177" s="28" t="s">
        <v>28048</v>
      </c>
      <c r="B177" s="28" t="s">
        <v>28049</v>
      </c>
    </row>
    <row r="178" spans="1:2" x14ac:dyDescent="0.25">
      <c r="A178" s="28" t="s">
        <v>28050</v>
      </c>
      <c r="B178" s="28" t="s">
        <v>28051</v>
      </c>
    </row>
    <row r="179" spans="1:2" x14ac:dyDescent="0.25">
      <c r="A179" s="28" t="s">
        <v>28052</v>
      </c>
      <c r="B179" s="28" t="s">
        <v>28053</v>
      </c>
    </row>
    <row r="180" spans="1:2" x14ac:dyDescent="0.25">
      <c r="A180" s="28" t="s">
        <v>28054</v>
      </c>
      <c r="B180" s="28" t="s">
        <v>28055</v>
      </c>
    </row>
    <row r="181" spans="1:2" x14ac:dyDescent="0.25">
      <c r="A181" s="28" t="s">
        <v>28056</v>
      </c>
      <c r="B181" s="28" t="s">
        <v>28057</v>
      </c>
    </row>
    <row r="182" spans="1:2" x14ac:dyDescent="0.25">
      <c r="A182" s="28" t="s">
        <v>28058</v>
      </c>
      <c r="B182" s="28" t="s">
        <v>28059</v>
      </c>
    </row>
    <row r="183" spans="1:2" x14ac:dyDescent="0.25">
      <c r="A183" s="28" t="s">
        <v>28060</v>
      </c>
      <c r="B183" s="28" t="s">
        <v>28061</v>
      </c>
    </row>
    <row r="184" spans="1:2" x14ac:dyDescent="0.25">
      <c r="A184" s="28" t="s">
        <v>28062</v>
      </c>
      <c r="B184" s="28" t="s">
        <v>28063</v>
      </c>
    </row>
    <row r="185" spans="1:2" x14ac:dyDescent="0.25">
      <c r="A185" s="28" t="s">
        <v>28064</v>
      </c>
      <c r="B185" s="28" t="s">
        <v>28065</v>
      </c>
    </row>
    <row r="186" spans="1:2" x14ac:dyDescent="0.25">
      <c r="A186" s="28" t="s">
        <v>28066</v>
      </c>
      <c r="B186" s="28" t="s">
        <v>28067</v>
      </c>
    </row>
    <row r="187" spans="1:2" x14ac:dyDescent="0.25">
      <c r="A187" s="28" t="s">
        <v>28068</v>
      </c>
      <c r="B187" s="28" t="s">
        <v>28069</v>
      </c>
    </row>
    <row r="188" spans="1:2" x14ac:dyDescent="0.25">
      <c r="A188" s="28" t="s">
        <v>28070</v>
      </c>
      <c r="B188" s="28" t="s">
        <v>28071</v>
      </c>
    </row>
    <row r="189" spans="1:2" x14ac:dyDescent="0.25">
      <c r="A189" s="28" t="s">
        <v>28072</v>
      </c>
      <c r="B189" s="28" t="s">
        <v>28073</v>
      </c>
    </row>
    <row r="190" spans="1:2" x14ac:dyDescent="0.25">
      <c r="A190" s="28" t="s">
        <v>28074</v>
      </c>
      <c r="B190" s="28" t="s">
        <v>28075</v>
      </c>
    </row>
    <row r="191" spans="1:2" x14ac:dyDescent="0.25">
      <c r="A191" s="28" t="s">
        <v>28076</v>
      </c>
      <c r="B191" s="28" t="s">
        <v>28077</v>
      </c>
    </row>
    <row r="192" spans="1:2" x14ac:dyDescent="0.25">
      <c r="A192" s="28" t="s">
        <v>28078</v>
      </c>
      <c r="B192" s="28" t="s">
        <v>28079</v>
      </c>
    </row>
    <row r="193" spans="1:2" x14ac:dyDescent="0.25">
      <c r="A193" s="28" t="s">
        <v>28080</v>
      </c>
      <c r="B193" s="28" t="s">
        <v>28081</v>
      </c>
    </row>
    <row r="194" spans="1:2" x14ac:dyDescent="0.25">
      <c r="A194" s="28" t="s">
        <v>28082</v>
      </c>
      <c r="B194" s="28" t="s">
        <v>28083</v>
      </c>
    </row>
    <row r="195" spans="1:2" x14ac:dyDescent="0.25">
      <c r="A195" s="28" t="s">
        <v>28084</v>
      </c>
      <c r="B195" s="28" t="s">
        <v>28085</v>
      </c>
    </row>
    <row r="196" spans="1:2" x14ac:dyDescent="0.25">
      <c r="A196" s="28" t="s">
        <v>28086</v>
      </c>
      <c r="B196" s="28" t="s">
        <v>28087</v>
      </c>
    </row>
    <row r="197" spans="1:2" x14ac:dyDescent="0.25">
      <c r="A197" s="28" t="s">
        <v>28088</v>
      </c>
      <c r="B197" s="28" t="s">
        <v>28089</v>
      </c>
    </row>
    <row r="198" spans="1:2" x14ac:dyDescent="0.25">
      <c r="A198" s="28" t="s">
        <v>28090</v>
      </c>
      <c r="B198" s="28" t="s">
        <v>28091</v>
      </c>
    </row>
    <row r="199" spans="1:2" x14ac:dyDescent="0.25">
      <c r="A199" s="28" t="s">
        <v>28092</v>
      </c>
      <c r="B199" s="28" t="s">
        <v>28093</v>
      </c>
    </row>
    <row r="200" spans="1:2" x14ac:dyDescent="0.25">
      <c r="A200" s="28" t="s">
        <v>28094</v>
      </c>
      <c r="B200" s="28" t="s">
        <v>28095</v>
      </c>
    </row>
    <row r="201" spans="1:2" x14ac:dyDescent="0.25">
      <c r="A201" s="28" t="s">
        <v>28096</v>
      </c>
      <c r="B201" s="28" t="s">
        <v>28097</v>
      </c>
    </row>
    <row r="202" spans="1:2" x14ac:dyDescent="0.25">
      <c r="A202" s="28" t="s">
        <v>28098</v>
      </c>
      <c r="B202" s="28" t="s">
        <v>28099</v>
      </c>
    </row>
    <row r="203" spans="1:2" x14ac:dyDescent="0.25">
      <c r="A203" s="28" t="s">
        <v>28100</v>
      </c>
      <c r="B203" s="28" t="s">
        <v>28101</v>
      </c>
    </row>
    <row r="204" spans="1:2" x14ac:dyDescent="0.25">
      <c r="A204" s="28" t="s">
        <v>28102</v>
      </c>
      <c r="B204" s="28" t="s">
        <v>28103</v>
      </c>
    </row>
    <row r="205" spans="1:2" x14ac:dyDescent="0.25">
      <c r="A205" s="28" t="s">
        <v>28104</v>
      </c>
      <c r="B205" s="28" t="s">
        <v>28105</v>
      </c>
    </row>
    <row r="206" spans="1:2" x14ac:dyDescent="0.25">
      <c r="A206" s="28" t="s">
        <v>28106</v>
      </c>
      <c r="B206" s="28" t="s">
        <v>28107</v>
      </c>
    </row>
    <row r="207" spans="1:2" x14ac:dyDescent="0.25">
      <c r="A207" s="28" t="s">
        <v>28108</v>
      </c>
      <c r="B207" s="28" t="s">
        <v>28109</v>
      </c>
    </row>
    <row r="208" spans="1:2" x14ac:dyDescent="0.25">
      <c r="A208" s="28" t="s">
        <v>28110</v>
      </c>
      <c r="B208" s="28" t="s">
        <v>28111</v>
      </c>
    </row>
    <row r="209" spans="1:2" x14ac:dyDescent="0.25">
      <c r="A209" s="28" t="s">
        <v>28112</v>
      </c>
      <c r="B209" s="28" t="s">
        <v>28113</v>
      </c>
    </row>
    <row r="210" spans="1:2" x14ac:dyDescent="0.25">
      <c r="A210" s="28" t="s">
        <v>28114</v>
      </c>
      <c r="B210" s="28" t="s">
        <v>28115</v>
      </c>
    </row>
    <row r="211" spans="1:2" x14ac:dyDescent="0.25">
      <c r="A211" s="28" t="s">
        <v>28116</v>
      </c>
      <c r="B211" s="28" t="s">
        <v>28117</v>
      </c>
    </row>
    <row r="212" spans="1:2" x14ac:dyDescent="0.25">
      <c r="A212" s="28" t="s">
        <v>28118</v>
      </c>
      <c r="B212" s="28" t="s">
        <v>28119</v>
      </c>
    </row>
    <row r="213" spans="1:2" x14ac:dyDescent="0.25">
      <c r="A213" s="28" t="s">
        <v>28120</v>
      </c>
      <c r="B213" s="28" t="s">
        <v>28121</v>
      </c>
    </row>
    <row r="214" spans="1:2" x14ac:dyDescent="0.25">
      <c r="A214" s="28" t="s">
        <v>28122</v>
      </c>
      <c r="B214" s="28" t="s">
        <v>28123</v>
      </c>
    </row>
    <row r="215" spans="1:2" x14ac:dyDescent="0.25">
      <c r="A215" s="28" t="s">
        <v>28124</v>
      </c>
      <c r="B215" s="28" t="s">
        <v>28125</v>
      </c>
    </row>
    <row r="216" spans="1:2" x14ac:dyDescent="0.25">
      <c r="A216" s="28" t="s">
        <v>28126</v>
      </c>
      <c r="B216" s="28" t="s">
        <v>28127</v>
      </c>
    </row>
    <row r="217" spans="1:2" x14ac:dyDescent="0.25">
      <c r="A217" s="28" t="s">
        <v>28128</v>
      </c>
      <c r="B217" s="28" t="s">
        <v>28129</v>
      </c>
    </row>
    <row r="218" spans="1:2" x14ac:dyDescent="0.25">
      <c r="A218" s="28" t="s">
        <v>28130</v>
      </c>
      <c r="B218" s="28" t="s">
        <v>28131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28132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26730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28133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28407</v>
      </c>
      <c r="B531" s="28" t="s">
        <v>3434</v>
      </c>
    </row>
    <row r="532" spans="1:2" x14ac:dyDescent="0.25">
      <c r="A532" s="28" t="s">
        <v>28408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27157</v>
      </c>
      <c r="B576" s="28" t="s">
        <v>27158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27240</v>
      </c>
      <c r="B593" s="28" t="s">
        <v>27241</v>
      </c>
    </row>
    <row r="594" spans="1:2" x14ac:dyDescent="0.25">
      <c r="A594" s="28" t="s">
        <v>28134</v>
      </c>
      <c r="B594" s="28" t="s">
        <v>28135</v>
      </c>
    </row>
    <row r="595" spans="1:2" x14ac:dyDescent="0.25">
      <c r="A595" s="28" t="s">
        <v>28136</v>
      </c>
      <c r="B595" s="28" t="s">
        <v>28137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28138</v>
      </c>
      <c r="B683" s="28" t="s">
        <v>28139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28140</v>
      </c>
      <c r="B699" s="28" t="s">
        <v>28141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28142</v>
      </c>
      <c r="B712" s="28" t="s">
        <v>28143</v>
      </c>
    </row>
    <row r="713" spans="1:2" x14ac:dyDescent="0.25">
      <c r="A713" s="28" t="s">
        <v>28144</v>
      </c>
      <c r="B713" s="28" t="s">
        <v>28145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28146</v>
      </c>
      <c r="B715" s="28" t="s">
        <v>28147</v>
      </c>
    </row>
    <row r="716" spans="1:2" x14ac:dyDescent="0.25">
      <c r="A716" s="28" t="s">
        <v>28148</v>
      </c>
      <c r="B716" s="28" t="s">
        <v>28149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28150</v>
      </c>
      <c r="B718" s="28" t="s">
        <v>28151</v>
      </c>
    </row>
    <row r="719" spans="1:2" x14ac:dyDescent="0.25">
      <c r="A719" s="28" t="s">
        <v>28152</v>
      </c>
      <c r="B719" s="28" t="s">
        <v>28153</v>
      </c>
    </row>
    <row r="720" spans="1:2" x14ac:dyDescent="0.25">
      <c r="A720" s="28" t="s">
        <v>28154</v>
      </c>
      <c r="B720" s="28" t="s">
        <v>28155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28156</v>
      </c>
      <c r="B723" s="28" t="s">
        <v>28157</v>
      </c>
    </row>
    <row r="724" spans="1:2" x14ac:dyDescent="0.25">
      <c r="A724" s="28" t="s">
        <v>28158</v>
      </c>
      <c r="B724" s="28" t="s">
        <v>28159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28160</v>
      </c>
      <c r="B726" s="28" t="s">
        <v>28161</v>
      </c>
    </row>
    <row r="727" spans="1:2" x14ac:dyDescent="0.25">
      <c r="A727" s="28" t="s">
        <v>28162</v>
      </c>
      <c r="B727" s="28" t="s">
        <v>28163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28164</v>
      </c>
      <c r="B733" s="28" t="s">
        <v>28165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28166</v>
      </c>
      <c r="B735" s="28" t="s">
        <v>28167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28168</v>
      </c>
      <c r="B742" s="28" t="s">
        <v>28169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28170</v>
      </c>
      <c r="B755" s="28" t="s">
        <v>28171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28172</v>
      </c>
      <c r="B760" s="28" t="s">
        <v>28173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27568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28174</v>
      </c>
      <c r="B782" s="28" t="s">
        <v>28175</v>
      </c>
    </row>
    <row r="783" spans="1:2" x14ac:dyDescent="0.25">
      <c r="A783" s="28" t="s">
        <v>28176</v>
      </c>
      <c r="B783" s="28" t="s">
        <v>28177</v>
      </c>
    </row>
    <row r="784" spans="1:2" x14ac:dyDescent="0.25">
      <c r="A784" s="28" t="s">
        <v>28178</v>
      </c>
      <c r="B784" s="28" t="s">
        <v>28179</v>
      </c>
    </row>
    <row r="785" spans="1:2" x14ac:dyDescent="0.25">
      <c r="A785" s="28" t="s">
        <v>28180</v>
      </c>
      <c r="B785" s="28" t="s">
        <v>28181</v>
      </c>
    </row>
    <row r="786" spans="1:2" x14ac:dyDescent="0.25">
      <c r="A786" s="28" t="s">
        <v>28182</v>
      </c>
      <c r="B786" s="28" t="s">
        <v>28183</v>
      </c>
    </row>
    <row r="787" spans="1:2" x14ac:dyDescent="0.25">
      <c r="A787" s="28" t="s">
        <v>28184</v>
      </c>
      <c r="B787" s="28" t="s">
        <v>28185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28186</v>
      </c>
      <c r="B800" s="28" t="s">
        <v>28187</v>
      </c>
    </row>
    <row r="801" spans="1:2" x14ac:dyDescent="0.25">
      <c r="A801" s="28" t="s">
        <v>27569</v>
      </c>
      <c r="B801" s="28" t="s">
        <v>22379</v>
      </c>
    </row>
    <row r="802" spans="1:2" x14ac:dyDescent="0.25">
      <c r="A802" s="28" t="s">
        <v>28188</v>
      </c>
      <c r="B802" s="28" t="s">
        <v>28189</v>
      </c>
    </row>
    <row r="803" spans="1:2" x14ac:dyDescent="0.25">
      <c r="A803" s="28" t="s">
        <v>28190</v>
      </c>
      <c r="B803" s="28" t="s">
        <v>28191</v>
      </c>
    </row>
    <row r="804" spans="1:2" x14ac:dyDescent="0.25">
      <c r="A804" s="28" t="s">
        <v>28192</v>
      </c>
      <c r="B804" s="28" t="s">
        <v>28193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28194</v>
      </c>
      <c r="B826" s="28" t="s">
        <v>28195</v>
      </c>
    </row>
    <row r="827" spans="1:2" x14ac:dyDescent="0.25">
      <c r="A827" s="28" t="s">
        <v>28196</v>
      </c>
      <c r="B827" s="28" t="s">
        <v>28197</v>
      </c>
    </row>
    <row r="828" spans="1:2" x14ac:dyDescent="0.25">
      <c r="A828" s="28" t="s">
        <v>28198</v>
      </c>
      <c r="B828" s="28" t="s">
        <v>28199</v>
      </c>
    </row>
    <row r="829" spans="1:2" x14ac:dyDescent="0.25">
      <c r="A829" s="28" t="s">
        <v>28200</v>
      </c>
      <c r="B829" s="28" t="s">
        <v>28201</v>
      </c>
    </row>
    <row r="830" spans="1:2" x14ac:dyDescent="0.25">
      <c r="A830" s="28" t="s">
        <v>28202</v>
      </c>
      <c r="B830" s="28" t="s">
        <v>28203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27306</v>
      </c>
      <c r="B903" s="28" t="s">
        <v>27307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28204</v>
      </c>
      <c r="B917" s="28" t="s">
        <v>15002</v>
      </c>
    </row>
    <row r="918" spans="1:2" x14ac:dyDescent="0.25">
      <c r="A918" s="28" t="s">
        <v>28205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27339</v>
      </c>
      <c r="B1075" s="28" t="s">
        <v>27340</v>
      </c>
    </row>
    <row r="1076" spans="1:2" x14ac:dyDescent="0.25">
      <c r="A1076" s="28" t="s">
        <v>27337</v>
      </c>
      <c r="B1076" s="28" t="s">
        <v>27338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27341</v>
      </c>
      <c r="B1078" s="28" t="s">
        <v>27342</v>
      </c>
    </row>
    <row r="1079" spans="1:2" x14ac:dyDescent="0.25">
      <c r="A1079" s="28" t="s">
        <v>27343</v>
      </c>
      <c r="B1079" s="28" t="s">
        <v>27344</v>
      </c>
    </row>
    <row r="1080" spans="1:2" x14ac:dyDescent="0.25">
      <c r="A1080" s="28" t="s">
        <v>27345</v>
      </c>
      <c r="B1080" s="28" t="s">
        <v>27346</v>
      </c>
    </row>
    <row r="1081" spans="1:2" x14ac:dyDescent="0.25">
      <c r="A1081" s="28" t="s">
        <v>27347</v>
      </c>
      <c r="B1081" s="28" t="s">
        <v>27348</v>
      </c>
    </row>
    <row r="1082" spans="1:2" x14ac:dyDescent="0.25">
      <c r="A1082" s="28" t="s">
        <v>27349</v>
      </c>
      <c r="B1082" s="28" t="s">
        <v>27350</v>
      </c>
    </row>
    <row r="1083" spans="1:2" x14ac:dyDescent="0.25">
      <c r="A1083" s="28" t="s">
        <v>27351</v>
      </c>
      <c r="B1083" s="28" t="s">
        <v>27352</v>
      </c>
    </row>
    <row r="1084" spans="1:2" x14ac:dyDescent="0.25">
      <c r="A1084" s="28" t="s">
        <v>27353</v>
      </c>
      <c r="B1084" s="28" t="s">
        <v>27354</v>
      </c>
    </row>
    <row r="1085" spans="1:2" x14ac:dyDescent="0.25">
      <c r="A1085" s="28" t="s">
        <v>27355</v>
      </c>
      <c r="B1085" s="28" t="s">
        <v>27356</v>
      </c>
    </row>
    <row r="1086" spans="1:2" x14ac:dyDescent="0.25">
      <c r="A1086" s="28" t="s">
        <v>27357</v>
      </c>
      <c r="B1086" s="28" t="s">
        <v>27358</v>
      </c>
    </row>
    <row r="1087" spans="1:2" x14ac:dyDescent="0.25">
      <c r="A1087" s="28" t="s">
        <v>27359</v>
      </c>
      <c r="B1087" s="28" t="s">
        <v>27360</v>
      </c>
    </row>
    <row r="1088" spans="1:2" x14ac:dyDescent="0.25">
      <c r="A1088" s="28" t="s">
        <v>27361</v>
      </c>
      <c r="B1088" s="28" t="s">
        <v>27362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27322</v>
      </c>
      <c r="B1097" s="28" t="s">
        <v>27323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27334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27363</v>
      </c>
      <c r="B1124" s="28" t="s">
        <v>27364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27399</v>
      </c>
      <c r="B1182" s="28" t="s">
        <v>27400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27365</v>
      </c>
      <c r="B1227" s="28" t="s">
        <v>27366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27324</v>
      </c>
      <c r="B1240" s="28" t="s">
        <v>27325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27326</v>
      </c>
      <c r="B1245" s="28" t="s">
        <v>27327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27586</v>
      </c>
      <c r="B1254" s="28" t="s">
        <v>27587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27328</v>
      </c>
      <c r="B1259" s="28" t="s">
        <v>27329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27367</v>
      </c>
      <c r="B1278" s="28" t="s">
        <v>27368</v>
      </c>
    </row>
    <row r="1279" spans="1:2" x14ac:dyDescent="0.25">
      <c r="A1279" s="28" t="s">
        <v>27330</v>
      </c>
      <c r="B1279" s="28" t="s">
        <v>27331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27332</v>
      </c>
      <c r="B1289" s="28" t="s">
        <v>27333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27369</v>
      </c>
      <c r="B1368" s="28" t="s">
        <v>27370</v>
      </c>
    </row>
    <row r="1369" spans="1:2" x14ac:dyDescent="0.25">
      <c r="A1369" s="28" t="s">
        <v>27371</v>
      </c>
      <c r="B1369" s="28" t="s">
        <v>27372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27040</v>
      </c>
      <c r="B1476" s="28" t="s">
        <v>27041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27242</v>
      </c>
      <c r="B1510" s="28" t="s">
        <v>27243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27373</v>
      </c>
      <c r="B1608" s="28" t="s">
        <v>27374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27320</v>
      </c>
      <c r="B1628" s="28" t="s">
        <v>27321</v>
      </c>
    </row>
    <row r="1629" spans="1:2" x14ac:dyDescent="0.25">
      <c r="A1629" s="28" t="s">
        <v>27318</v>
      </c>
      <c r="B1629" s="28" t="s">
        <v>27319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27397</v>
      </c>
      <c r="B1644" s="28" t="s">
        <v>27398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27308</v>
      </c>
      <c r="B1769" s="28" t="s">
        <v>27309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26753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27588</v>
      </c>
      <c r="B2023" s="28" t="s">
        <v>27589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27590</v>
      </c>
      <c r="B2046" s="28" t="s">
        <v>27591</v>
      </c>
    </row>
    <row r="2047" spans="1:2" x14ac:dyDescent="0.25">
      <c r="A2047" s="28" t="s">
        <v>27592</v>
      </c>
      <c r="B2047" s="28" t="s">
        <v>27593</v>
      </c>
    </row>
    <row r="2048" spans="1:2" x14ac:dyDescent="0.25">
      <c r="A2048" s="28" t="s">
        <v>27594</v>
      </c>
      <c r="B2048" s="28" t="s">
        <v>27595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27596</v>
      </c>
      <c r="B2050" s="28" t="s">
        <v>27597</v>
      </c>
    </row>
    <row r="2051" spans="1:2" x14ac:dyDescent="0.25">
      <c r="A2051" s="28" t="s">
        <v>27598</v>
      </c>
      <c r="B2051" s="28" t="s">
        <v>27599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27600</v>
      </c>
      <c r="B2099" s="28" t="s">
        <v>27601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26690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27602</v>
      </c>
      <c r="B2220" s="28" t="s">
        <v>27603</v>
      </c>
    </row>
    <row r="2221" spans="1:2" x14ac:dyDescent="0.25">
      <c r="A2221" s="28" t="s">
        <v>27604</v>
      </c>
      <c r="B2221" s="28" t="s">
        <v>27605</v>
      </c>
    </row>
    <row r="2222" spans="1:2" x14ac:dyDescent="0.25">
      <c r="A2222" s="28" t="s">
        <v>27606</v>
      </c>
      <c r="B2222" s="28" t="s">
        <v>27607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27000</v>
      </c>
      <c r="B2228" s="28" t="s">
        <v>27001</v>
      </c>
    </row>
    <row r="2229" spans="1:2" x14ac:dyDescent="0.25">
      <c r="A2229" s="28" t="s">
        <v>27608</v>
      </c>
      <c r="B2229" s="28" t="s">
        <v>27609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26824</v>
      </c>
      <c r="B2232" s="28" t="s">
        <v>26825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27610</v>
      </c>
      <c r="B2238" s="28" t="s">
        <v>27611</v>
      </c>
    </row>
    <row r="2239" spans="1:2" x14ac:dyDescent="0.25">
      <c r="A2239" s="28" t="s">
        <v>26818</v>
      </c>
      <c r="B2239" s="28" t="s">
        <v>26819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27612</v>
      </c>
      <c r="B2248" s="28" t="s">
        <v>27613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26691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27614</v>
      </c>
      <c r="B2300" s="28" t="s">
        <v>27615</v>
      </c>
    </row>
    <row r="2301" spans="1:2" x14ac:dyDescent="0.25">
      <c r="A2301" s="28" t="s">
        <v>27616</v>
      </c>
      <c r="B2301" s="28" t="s">
        <v>27617</v>
      </c>
    </row>
    <row r="2302" spans="1:2" x14ac:dyDescent="0.25">
      <c r="A2302" s="28" t="s">
        <v>26924</v>
      </c>
      <c r="B2302" s="28" t="s">
        <v>26925</v>
      </c>
    </row>
    <row r="2303" spans="1:2" x14ac:dyDescent="0.25">
      <c r="A2303" s="28" t="s">
        <v>26926</v>
      </c>
      <c r="B2303" s="28" t="s">
        <v>26927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26928</v>
      </c>
      <c r="B2314" s="28" t="s">
        <v>26929</v>
      </c>
    </row>
    <row r="2315" spans="1:2" x14ac:dyDescent="0.25">
      <c r="A2315" s="28" t="s">
        <v>26930</v>
      </c>
      <c r="B2315" s="28" t="s">
        <v>26931</v>
      </c>
    </row>
    <row r="2316" spans="1:2" x14ac:dyDescent="0.25">
      <c r="A2316" s="28" t="s">
        <v>26932</v>
      </c>
      <c r="B2316" s="28" t="s">
        <v>26933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26689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26741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27020</v>
      </c>
      <c r="B2432" s="28" t="s">
        <v>27021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27618</v>
      </c>
      <c r="B2435" s="28" t="s">
        <v>27619</v>
      </c>
    </row>
    <row r="2436" spans="1:2" x14ac:dyDescent="0.25">
      <c r="A2436" s="28" t="s">
        <v>27620</v>
      </c>
      <c r="B2436" s="28" t="s">
        <v>27621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27251</v>
      </c>
      <c r="B2441" s="28" t="s">
        <v>27252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27253</v>
      </c>
      <c r="B2453" s="28" t="s">
        <v>27254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26745</v>
      </c>
      <c r="B2471" s="28" t="s">
        <v>14327</v>
      </c>
    </row>
    <row r="2472" spans="1:2" x14ac:dyDescent="0.25">
      <c r="A2472" s="28" t="s">
        <v>27622</v>
      </c>
      <c r="B2472" s="28" t="s">
        <v>14358</v>
      </c>
    </row>
    <row r="2473" spans="1:2" x14ac:dyDescent="0.25">
      <c r="A2473" s="28" t="s">
        <v>27244</v>
      </c>
      <c r="B2473" s="28" t="s">
        <v>27245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27246</v>
      </c>
      <c r="B2484" s="28" t="s">
        <v>27247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27255</v>
      </c>
      <c r="B2508" s="28" t="s">
        <v>27256</v>
      </c>
    </row>
    <row r="2509" spans="1:2" x14ac:dyDescent="0.25">
      <c r="A2509" s="28" t="s">
        <v>27259</v>
      </c>
      <c r="B2509" s="28" t="s">
        <v>27260</v>
      </c>
    </row>
    <row r="2510" spans="1:2" x14ac:dyDescent="0.25">
      <c r="A2510" s="28" t="s">
        <v>27257</v>
      </c>
      <c r="B2510" s="28" t="s">
        <v>27258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27270</v>
      </c>
      <c r="B2535" s="28" t="s">
        <v>27271</v>
      </c>
    </row>
    <row r="2536" spans="1:2" x14ac:dyDescent="0.25">
      <c r="A2536" s="28" t="s">
        <v>27268</v>
      </c>
      <c r="B2536" s="28" t="s">
        <v>27269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27272</v>
      </c>
      <c r="B2575" s="28" t="s">
        <v>27273</v>
      </c>
    </row>
    <row r="2576" spans="1:2" x14ac:dyDescent="0.25">
      <c r="A2576" s="28" t="s">
        <v>27264</v>
      </c>
      <c r="B2576" s="28" t="s">
        <v>27265</v>
      </c>
    </row>
    <row r="2577" spans="1:2" x14ac:dyDescent="0.25">
      <c r="A2577" s="28" t="s">
        <v>27266</v>
      </c>
      <c r="B2577" s="28" t="s">
        <v>27267</v>
      </c>
    </row>
    <row r="2578" spans="1:2" x14ac:dyDescent="0.25">
      <c r="A2578" s="28" t="s">
        <v>27262</v>
      </c>
      <c r="B2578" s="28" t="s">
        <v>27263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27623</v>
      </c>
      <c r="B2588" s="28" t="s">
        <v>27250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27248</v>
      </c>
      <c r="B2593" s="28" t="s">
        <v>27249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27261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27274</v>
      </c>
      <c r="B2678" s="28" t="s">
        <v>27275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27276</v>
      </c>
      <c r="B2720" s="28" t="s">
        <v>27277</v>
      </c>
    </row>
    <row r="2721" spans="1:2" x14ac:dyDescent="0.25">
      <c r="A2721" s="28" t="s">
        <v>27278</v>
      </c>
      <c r="B2721" s="28" t="s">
        <v>27279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27280</v>
      </c>
      <c r="B2725" s="28" t="s">
        <v>27281</v>
      </c>
    </row>
    <row r="2726" spans="1:2" x14ac:dyDescent="0.25">
      <c r="A2726" s="28" t="s">
        <v>27282</v>
      </c>
      <c r="B2726" s="28" t="s">
        <v>27283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27288</v>
      </c>
      <c r="B2739" s="28" t="s">
        <v>27289</v>
      </c>
    </row>
    <row r="2740" spans="1:2" x14ac:dyDescent="0.25">
      <c r="A2740" s="28" t="s">
        <v>27284</v>
      </c>
      <c r="B2740" s="28" t="s">
        <v>27285</v>
      </c>
    </row>
    <row r="2741" spans="1:2" x14ac:dyDescent="0.25">
      <c r="A2741" s="28" t="s">
        <v>27286</v>
      </c>
      <c r="B2741" s="28" t="s">
        <v>27287</v>
      </c>
    </row>
    <row r="2742" spans="1:2" x14ac:dyDescent="0.25">
      <c r="A2742" s="28" t="s">
        <v>27296</v>
      </c>
      <c r="B2742" s="28" t="s">
        <v>27297</v>
      </c>
    </row>
    <row r="2743" spans="1:2" x14ac:dyDescent="0.25">
      <c r="A2743" s="28" t="s">
        <v>27292</v>
      </c>
      <c r="B2743" s="28" t="s">
        <v>27293</v>
      </c>
    </row>
    <row r="2744" spans="1:2" x14ac:dyDescent="0.25">
      <c r="A2744" s="28" t="s">
        <v>27290</v>
      </c>
      <c r="B2744" s="28" t="s">
        <v>27291</v>
      </c>
    </row>
    <row r="2745" spans="1:2" x14ac:dyDescent="0.25">
      <c r="A2745" s="28" t="s">
        <v>27294</v>
      </c>
      <c r="B2745" s="28" t="s">
        <v>27295</v>
      </c>
    </row>
    <row r="2746" spans="1:2" x14ac:dyDescent="0.25">
      <c r="A2746" s="28" t="s">
        <v>27298</v>
      </c>
      <c r="B2746" s="28" t="s">
        <v>27299</v>
      </c>
    </row>
    <row r="2747" spans="1:2" x14ac:dyDescent="0.25">
      <c r="A2747" s="28" t="s">
        <v>27300</v>
      </c>
      <c r="B2747" s="28" t="s">
        <v>27301</v>
      </c>
    </row>
    <row r="2748" spans="1:2" x14ac:dyDescent="0.25">
      <c r="A2748" s="28" t="s">
        <v>27302</v>
      </c>
      <c r="B2748" s="28" t="s">
        <v>27303</v>
      </c>
    </row>
    <row r="2749" spans="1:2" x14ac:dyDescent="0.25">
      <c r="A2749" s="28" t="s">
        <v>27304</v>
      </c>
      <c r="B2749" s="28" t="s">
        <v>27305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26735</v>
      </c>
      <c r="B2871" s="28" t="s">
        <v>7382</v>
      </c>
    </row>
    <row r="2872" spans="1:2" x14ac:dyDescent="0.25">
      <c r="A2872" s="28" t="s">
        <v>26736</v>
      </c>
      <c r="B2872" s="28" t="s">
        <v>7385</v>
      </c>
    </row>
    <row r="2873" spans="1:2" x14ac:dyDescent="0.25">
      <c r="A2873" s="28" t="s">
        <v>26734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26731</v>
      </c>
      <c r="B2878" s="28" t="s">
        <v>26798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26737</v>
      </c>
      <c r="B2891" s="28" t="s">
        <v>7886</v>
      </c>
    </row>
    <row r="2892" spans="1:2" x14ac:dyDescent="0.25">
      <c r="A2892" s="28" t="s">
        <v>26739</v>
      </c>
      <c r="B2892" s="28" t="s">
        <v>7888</v>
      </c>
    </row>
    <row r="2893" spans="1:2" x14ac:dyDescent="0.25">
      <c r="A2893" s="28" t="s">
        <v>26738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27064</v>
      </c>
      <c r="B3001" s="28" t="s">
        <v>27065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27066</v>
      </c>
      <c r="B3006" s="28" t="s">
        <v>27067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27068</v>
      </c>
      <c r="B3008" s="28" t="s">
        <v>27069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27070</v>
      </c>
      <c r="B3013" s="28" t="s">
        <v>27071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27083</v>
      </c>
      <c r="B3036" s="28" t="s">
        <v>27084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27085</v>
      </c>
      <c r="B3038" s="28" t="s">
        <v>27086</v>
      </c>
    </row>
    <row r="3039" spans="1:2" x14ac:dyDescent="0.25">
      <c r="A3039" s="28" t="s">
        <v>27087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27088</v>
      </c>
      <c r="B3042" s="28" t="s">
        <v>27089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27090</v>
      </c>
      <c r="B3045" s="28" t="s">
        <v>9199</v>
      </c>
    </row>
    <row r="3046" spans="1:2" x14ac:dyDescent="0.25">
      <c r="A3046" s="28" t="s">
        <v>27091</v>
      </c>
      <c r="B3046" s="28" t="s">
        <v>27092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27093</v>
      </c>
      <c r="B3049" s="28" t="s">
        <v>27094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27095</v>
      </c>
      <c r="B3051" s="28" t="s">
        <v>27096</v>
      </c>
    </row>
    <row r="3052" spans="1:2" x14ac:dyDescent="0.25">
      <c r="A3052" s="28" t="s">
        <v>27624</v>
      </c>
      <c r="B3052" s="28" t="s">
        <v>9300</v>
      </c>
    </row>
    <row r="3053" spans="1:2" x14ac:dyDescent="0.25">
      <c r="A3053" s="28" t="s">
        <v>27103</v>
      </c>
      <c r="B3053" s="28" t="s">
        <v>27104</v>
      </c>
    </row>
    <row r="3054" spans="1:2" x14ac:dyDescent="0.25">
      <c r="A3054" s="28" t="s">
        <v>27101</v>
      </c>
      <c r="B3054" s="28" t="s">
        <v>27102</v>
      </c>
    </row>
    <row r="3055" spans="1:2" x14ac:dyDescent="0.25">
      <c r="A3055" s="28" t="s">
        <v>27625</v>
      </c>
      <c r="B3055" s="28" t="s">
        <v>9301</v>
      </c>
    </row>
    <row r="3056" spans="1:2" x14ac:dyDescent="0.25">
      <c r="A3056" s="28" t="s">
        <v>27105</v>
      </c>
      <c r="B3056" s="28" t="s">
        <v>27106</v>
      </c>
    </row>
    <row r="3057" spans="1:2" x14ac:dyDescent="0.25">
      <c r="A3057" s="28" t="s">
        <v>27626</v>
      </c>
      <c r="B3057" s="28" t="s">
        <v>9302</v>
      </c>
    </row>
    <row r="3058" spans="1:2" x14ac:dyDescent="0.25">
      <c r="A3058" s="28" t="s">
        <v>27627</v>
      </c>
      <c r="B3058" s="28" t="s">
        <v>9303</v>
      </c>
    </row>
    <row r="3059" spans="1:2" x14ac:dyDescent="0.25">
      <c r="A3059" s="28" t="s">
        <v>27107</v>
      </c>
      <c r="B3059" s="28" t="s">
        <v>27108</v>
      </c>
    </row>
    <row r="3060" spans="1:2" x14ac:dyDescent="0.25">
      <c r="A3060" s="28" t="s">
        <v>27628</v>
      </c>
      <c r="B3060" s="28" t="s">
        <v>9304</v>
      </c>
    </row>
    <row r="3061" spans="1:2" x14ac:dyDescent="0.25">
      <c r="A3061" s="28" t="s">
        <v>27109</v>
      </c>
      <c r="B3061" s="28" t="s">
        <v>27110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27054</v>
      </c>
      <c r="B3074" s="28" t="s">
        <v>27055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27137</v>
      </c>
      <c r="B3179" s="28" t="s">
        <v>27138</v>
      </c>
    </row>
    <row r="3180" spans="1:2" x14ac:dyDescent="0.25">
      <c r="A3180" s="28" t="s">
        <v>27139</v>
      </c>
      <c r="B3180" s="28" t="s">
        <v>27140</v>
      </c>
    </row>
    <row r="3181" spans="1:2" x14ac:dyDescent="0.25">
      <c r="A3181" s="28" t="s">
        <v>27141</v>
      </c>
      <c r="B3181" s="28" t="s">
        <v>27142</v>
      </c>
    </row>
    <row r="3182" spans="1:2" x14ac:dyDescent="0.25">
      <c r="A3182" s="28" t="s">
        <v>27143</v>
      </c>
      <c r="B3182" s="28" t="s">
        <v>27144</v>
      </c>
    </row>
    <row r="3183" spans="1:2" x14ac:dyDescent="0.25">
      <c r="A3183" s="28" t="s">
        <v>27145</v>
      </c>
      <c r="B3183" s="28" t="s">
        <v>27146</v>
      </c>
    </row>
    <row r="3184" spans="1:2" x14ac:dyDescent="0.25">
      <c r="A3184" s="28" t="s">
        <v>27147</v>
      </c>
      <c r="B3184" s="28" t="s">
        <v>27148</v>
      </c>
    </row>
    <row r="3185" spans="1:2" x14ac:dyDescent="0.25">
      <c r="A3185" s="28" t="s">
        <v>27149</v>
      </c>
      <c r="B3185" s="28" t="s">
        <v>27150</v>
      </c>
    </row>
    <row r="3186" spans="1:2" x14ac:dyDescent="0.25">
      <c r="A3186" s="28" t="s">
        <v>27155</v>
      </c>
      <c r="B3186" s="28" t="s">
        <v>27156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26740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27375</v>
      </c>
      <c r="B3679" s="28" t="s">
        <v>27376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27379</v>
      </c>
      <c r="B3681" s="28" t="s">
        <v>27380</v>
      </c>
    </row>
    <row r="3682" spans="1:2" x14ac:dyDescent="0.25">
      <c r="A3682" s="28" t="s">
        <v>27377</v>
      </c>
      <c r="B3682" s="28" t="s">
        <v>27378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27629</v>
      </c>
      <c r="B3690" s="28" t="s">
        <v>27630</v>
      </c>
    </row>
    <row r="3691" spans="1:2" x14ac:dyDescent="0.25">
      <c r="A3691" s="28" t="s">
        <v>27631</v>
      </c>
      <c r="B3691" s="28" t="s">
        <v>27632</v>
      </c>
    </row>
    <row r="3692" spans="1:2" x14ac:dyDescent="0.25">
      <c r="A3692" s="28" t="s">
        <v>27633</v>
      </c>
      <c r="B3692" s="28" t="s">
        <v>27634</v>
      </c>
    </row>
    <row r="3693" spans="1:2" x14ac:dyDescent="0.25">
      <c r="A3693" s="28" t="s">
        <v>27635</v>
      </c>
      <c r="B3693" s="28" t="s">
        <v>27636</v>
      </c>
    </row>
    <row r="3694" spans="1:2" x14ac:dyDescent="0.25">
      <c r="A3694" s="28" t="s">
        <v>27637</v>
      </c>
      <c r="B3694" s="28" t="s">
        <v>27638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26744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27314</v>
      </c>
      <c r="B4502" s="28" t="s">
        <v>27315</v>
      </c>
    </row>
    <row r="4503" spans="1:2" x14ac:dyDescent="0.25">
      <c r="A4503" s="28" t="s">
        <v>27316</v>
      </c>
      <c r="B4503" s="28" t="s">
        <v>27317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27312</v>
      </c>
      <c r="B4505" s="28" t="s">
        <v>27313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27310</v>
      </c>
      <c r="B4508" s="28" t="s">
        <v>27311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27639</v>
      </c>
      <c r="B4881" s="28" t="s">
        <v>2505</v>
      </c>
    </row>
    <row r="4882" spans="1:2" x14ac:dyDescent="0.25">
      <c r="A4882" s="28" t="s">
        <v>26729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27640</v>
      </c>
      <c r="B5103" s="28" t="s">
        <v>27641</v>
      </c>
    </row>
    <row r="5104" spans="1:2" x14ac:dyDescent="0.25">
      <c r="A5104" s="28" t="s">
        <v>27642</v>
      </c>
      <c r="B5104" s="28" t="s">
        <v>27643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27644</v>
      </c>
      <c r="B5125" s="28" t="s">
        <v>27645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27646</v>
      </c>
      <c r="B5148" s="28" t="s">
        <v>27647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27648</v>
      </c>
      <c r="B5165" s="28" t="s">
        <v>27649</v>
      </c>
    </row>
    <row r="5166" spans="1:2" x14ac:dyDescent="0.25">
      <c r="A5166" s="28" t="s">
        <v>27650</v>
      </c>
      <c r="B5166" s="28" t="s">
        <v>27651</v>
      </c>
    </row>
    <row r="5167" spans="1:2" x14ac:dyDescent="0.25">
      <c r="A5167" s="28" t="s">
        <v>27652</v>
      </c>
      <c r="B5167" s="28" t="s">
        <v>27653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27654</v>
      </c>
      <c r="B5297" s="28" t="s">
        <v>27655</v>
      </c>
    </row>
    <row r="5298" spans="1:2" x14ac:dyDescent="0.25">
      <c r="A5298" s="28" t="s">
        <v>27656</v>
      </c>
      <c r="B5298" s="28" t="s">
        <v>27657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27658</v>
      </c>
      <c r="B5374" s="28" t="s">
        <v>27659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27660</v>
      </c>
      <c r="B5381" s="28" t="s">
        <v>27661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27004</v>
      </c>
      <c r="B5391" s="28" t="s">
        <v>27005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27002</v>
      </c>
      <c r="B5393" s="28" t="s">
        <v>27003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26728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27014</v>
      </c>
      <c r="B5477" s="28" t="s">
        <v>27015</v>
      </c>
    </row>
    <row r="5478" spans="1:2" x14ac:dyDescent="0.25">
      <c r="A5478" s="28" t="s">
        <v>27012</v>
      </c>
      <c r="B5478" s="28" t="s">
        <v>27013</v>
      </c>
    </row>
    <row r="5479" spans="1:2" x14ac:dyDescent="0.25">
      <c r="A5479" s="28" t="s">
        <v>27016</v>
      </c>
      <c r="B5479" s="28" t="s">
        <v>27017</v>
      </c>
    </row>
    <row r="5480" spans="1:2" x14ac:dyDescent="0.25">
      <c r="A5480" s="28" t="s">
        <v>27018</v>
      </c>
      <c r="B5480" s="28" t="s">
        <v>27019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26710</v>
      </c>
      <c r="B5562" s="28" t="s">
        <v>26780</v>
      </c>
    </row>
    <row r="5563" spans="1:2" x14ac:dyDescent="0.25">
      <c r="A5563" s="28" t="s">
        <v>26711</v>
      </c>
      <c r="B5563" s="28" t="s">
        <v>26781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27662</v>
      </c>
      <c r="B5597" s="28" t="s">
        <v>27663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26905</v>
      </c>
      <c r="B5600" s="28" t="s">
        <v>26906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26907</v>
      </c>
      <c r="B5617" s="28" t="s">
        <v>26908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26712</v>
      </c>
      <c r="B5632" s="28" t="s">
        <v>26782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26677</v>
      </c>
      <c r="B5635" s="28" t="s">
        <v>550</v>
      </c>
    </row>
    <row r="5636" spans="1:2" x14ac:dyDescent="0.25">
      <c r="A5636" s="28" t="s">
        <v>26675</v>
      </c>
      <c r="B5636" s="28" t="s">
        <v>26758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26674</v>
      </c>
      <c r="B5638" s="28" t="s">
        <v>26757</v>
      </c>
    </row>
    <row r="5639" spans="1:2" x14ac:dyDescent="0.25">
      <c r="A5639" s="28" t="s">
        <v>26676</v>
      </c>
      <c r="B5639" s="28" t="s">
        <v>26759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26713</v>
      </c>
      <c r="B5647" s="28" t="s">
        <v>26783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27664</v>
      </c>
      <c r="B5666" s="28" t="s">
        <v>27665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26909</v>
      </c>
      <c r="B5699" s="28" t="s">
        <v>26910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27666</v>
      </c>
      <c r="B5712" s="28" t="s">
        <v>27667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26911</v>
      </c>
      <c r="B5715" s="28" t="s">
        <v>26912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26820</v>
      </c>
      <c r="B5727" s="28" t="s">
        <v>26821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26714</v>
      </c>
      <c r="B5740" s="28" t="s">
        <v>26784</v>
      </c>
    </row>
    <row r="5741" spans="1:2" x14ac:dyDescent="0.25">
      <c r="A5741" s="28" t="s">
        <v>26692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26913</v>
      </c>
      <c r="B5743" s="28" t="s">
        <v>26914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26915</v>
      </c>
      <c r="B5757" s="28" t="s">
        <v>26916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26822</v>
      </c>
      <c r="B5763" s="28" t="s">
        <v>26823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26917</v>
      </c>
      <c r="B5778" s="28" t="s">
        <v>26918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27668</v>
      </c>
      <c r="B5794" s="28" t="s">
        <v>26919</v>
      </c>
    </row>
    <row r="5795" spans="1:2" x14ac:dyDescent="0.25">
      <c r="A5795" s="28" t="s">
        <v>26715</v>
      </c>
      <c r="B5795" s="28" t="s">
        <v>26785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27669</v>
      </c>
      <c r="B5798" s="28" t="s">
        <v>27670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26716</v>
      </c>
      <c r="B5814" s="28" t="s">
        <v>26786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26678</v>
      </c>
      <c r="B5819" s="28" t="s">
        <v>26760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26679</v>
      </c>
      <c r="B5822" s="28" t="s">
        <v>26761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26717</v>
      </c>
      <c r="B5828" s="28" t="s">
        <v>26787</v>
      </c>
    </row>
    <row r="5829" spans="1:2" x14ac:dyDescent="0.25">
      <c r="A5829" s="28" t="s">
        <v>27671</v>
      </c>
      <c r="B5829" s="28" t="s">
        <v>27672</v>
      </c>
    </row>
    <row r="5830" spans="1:2" x14ac:dyDescent="0.25">
      <c r="A5830" s="28" t="s">
        <v>26718</v>
      </c>
      <c r="B5830" s="28" t="s">
        <v>26788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26719</v>
      </c>
      <c r="B5851" s="28" t="s">
        <v>26789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27673</v>
      </c>
      <c r="B5859" s="28" t="s">
        <v>26826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26827</v>
      </c>
      <c r="B5861" s="28" t="s">
        <v>26828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26920</v>
      </c>
      <c r="B5885" s="28" t="s">
        <v>26921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27674</v>
      </c>
      <c r="B5891" s="28" t="s">
        <v>27675</v>
      </c>
    </row>
    <row r="5892" spans="1:2" x14ac:dyDescent="0.25">
      <c r="A5892" s="28" t="s">
        <v>26922</v>
      </c>
      <c r="B5892" s="28" t="s">
        <v>26923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26720</v>
      </c>
      <c r="B5898" s="28" t="s">
        <v>26790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26853</v>
      </c>
      <c r="B5900" s="28" t="s">
        <v>26854</v>
      </c>
    </row>
    <row r="5901" spans="1:2" x14ac:dyDescent="0.25">
      <c r="A5901" s="28" t="s">
        <v>26693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27226</v>
      </c>
      <c r="B5930" s="28" t="s">
        <v>27227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28206</v>
      </c>
      <c r="B5952" s="28" t="s">
        <v>27676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27151</v>
      </c>
      <c r="B6140" s="28" t="s">
        <v>27152</v>
      </c>
    </row>
    <row r="6141" spans="1:2" x14ac:dyDescent="0.25">
      <c r="A6141" s="28" t="s">
        <v>27153</v>
      </c>
      <c r="B6141" s="28" t="s">
        <v>27154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27234</v>
      </c>
      <c r="B6158" s="28" t="s">
        <v>27235</v>
      </c>
    </row>
    <row r="6159" spans="1:2" x14ac:dyDescent="0.25">
      <c r="A6159" s="28" t="s">
        <v>27236</v>
      </c>
      <c r="B6159" s="28" t="s">
        <v>27237</v>
      </c>
    </row>
    <row r="6160" spans="1:2" x14ac:dyDescent="0.25">
      <c r="A6160" s="28" t="s">
        <v>27238</v>
      </c>
      <c r="B6160" s="28" t="s">
        <v>27239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27381</v>
      </c>
      <c r="B6180" s="28" t="s">
        <v>27382</v>
      </c>
    </row>
    <row r="6181" spans="1:2" x14ac:dyDescent="0.25">
      <c r="A6181" s="28" t="s">
        <v>27383</v>
      </c>
      <c r="B6181" s="28" t="s">
        <v>27384</v>
      </c>
    </row>
    <row r="6182" spans="1:2" x14ac:dyDescent="0.25">
      <c r="A6182" s="28" t="s">
        <v>27385</v>
      </c>
      <c r="B6182" s="28" t="s">
        <v>27386</v>
      </c>
    </row>
    <row r="6183" spans="1:2" x14ac:dyDescent="0.25">
      <c r="A6183" s="28" t="s">
        <v>27387</v>
      </c>
      <c r="B6183" s="28" t="s">
        <v>27388</v>
      </c>
    </row>
    <row r="6184" spans="1:2" x14ac:dyDescent="0.25">
      <c r="A6184" s="28" t="s">
        <v>27677</v>
      </c>
      <c r="B6184" s="28" t="s">
        <v>27678</v>
      </c>
    </row>
    <row r="6185" spans="1:2" x14ac:dyDescent="0.25">
      <c r="A6185" s="28" t="s">
        <v>27679</v>
      </c>
      <c r="B6185" s="28" t="s">
        <v>27680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27391</v>
      </c>
      <c r="B6199" s="28" t="s">
        <v>27392</v>
      </c>
    </row>
    <row r="6200" spans="1:2" x14ac:dyDescent="0.25">
      <c r="A6200" s="28" t="s">
        <v>27389</v>
      </c>
      <c r="B6200" s="28" t="s">
        <v>27390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27393</v>
      </c>
      <c r="B6202" s="28" t="s">
        <v>27394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27681</v>
      </c>
      <c r="B6331" s="28" t="s">
        <v>27682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27008</v>
      </c>
      <c r="B6365" s="28" t="s">
        <v>27009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27010</v>
      </c>
      <c r="B6367" s="28" t="s">
        <v>27011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27006</v>
      </c>
      <c r="B6369" s="28" t="s">
        <v>27007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27038</v>
      </c>
      <c r="B6375" s="28" t="s">
        <v>27039</v>
      </c>
    </row>
    <row r="6376" spans="1:2" x14ac:dyDescent="0.25">
      <c r="A6376" s="28" t="s">
        <v>27034</v>
      </c>
      <c r="B6376" s="28" t="s">
        <v>27035</v>
      </c>
    </row>
    <row r="6377" spans="1:2" x14ac:dyDescent="0.25">
      <c r="A6377" s="28" t="s">
        <v>27036</v>
      </c>
      <c r="B6377" s="28" t="s">
        <v>27037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27683</v>
      </c>
      <c r="B6385" s="28" t="s">
        <v>27684</v>
      </c>
    </row>
    <row r="6386" spans="1:2" x14ac:dyDescent="0.25">
      <c r="A6386" s="28" t="s">
        <v>27685</v>
      </c>
      <c r="B6386" s="28" t="s">
        <v>27686</v>
      </c>
    </row>
    <row r="6387" spans="1:2" x14ac:dyDescent="0.25">
      <c r="A6387" s="28" t="s">
        <v>27687</v>
      </c>
      <c r="B6387" s="28" t="s">
        <v>27688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26848</v>
      </c>
      <c r="B6426" s="28" t="s">
        <v>26849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26855</v>
      </c>
      <c r="B6450" s="28" t="s">
        <v>26856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27689</v>
      </c>
      <c r="B6452" s="28" t="s">
        <v>26892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26747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26833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28207</v>
      </c>
      <c r="B7055" s="28" t="s">
        <v>28208</v>
      </c>
    </row>
    <row r="7056" spans="1:2" x14ac:dyDescent="0.25">
      <c r="A7056" s="28" t="s">
        <v>28209</v>
      </c>
      <c r="B7056" s="28" t="s">
        <v>28210</v>
      </c>
    </row>
    <row r="7057" spans="1:2" x14ac:dyDescent="0.25">
      <c r="A7057" s="28" t="s">
        <v>28211</v>
      </c>
      <c r="B7057" s="28" t="s">
        <v>28212</v>
      </c>
    </row>
    <row r="7058" spans="1:2" x14ac:dyDescent="0.25">
      <c r="A7058" s="28" t="s">
        <v>28213</v>
      </c>
      <c r="B7058" s="28" t="s">
        <v>28214</v>
      </c>
    </row>
    <row r="7059" spans="1:2" x14ac:dyDescent="0.25">
      <c r="A7059" s="28" t="s">
        <v>28215</v>
      </c>
      <c r="B7059" s="28" t="s">
        <v>28216</v>
      </c>
    </row>
    <row r="7060" spans="1:2" x14ac:dyDescent="0.25">
      <c r="A7060" s="28" t="s">
        <v>28217</v>
      </c>
      <c r="B7060" s="28" t="s">
        <v>28218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27335</v>
      </c>
      <c r="B7144" s="28" t="s">
        <v>27336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26755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27690</v>
      </c>
      <c r="B7656" s="28" t="s">
        <v>27691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27692</v>
      </c>
      <c r="B7731" s="28" t="s">
        <v>27693</v>
      </c>
    </row>
    <row r="7732" spans="1:2" x14ac:dyDescent="0.25">
      <c r="A7732" s="28" t="s">
        <v>27694</v>
      </c>
      <c r="B7732" s="28" t="s">
        <v>27695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26754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27696</v>
      </c>
      <c r="B7836" s="28" t="s">
        <v>27697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27698</v>
      </c>
      <c r="B7927" s="28" t="s">
        <v>27699</v>
      </c>
    </row>
    <row r="7928" spans="1:2" x14ac:dyDescent="0.25">
      <c r="A7928" s="28" t="s">
        <v>27700</v>
      </c>
      <c r="B7928" s="28" t="s">
        <v>27701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27702</v>
      </c>
      <c r="B7965" s="28" t="s">
        <v>27703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27030</v>
      </c>
      <c r="B8284" s="28" t="s">
        <v>27031</v>
      </c>
    </row>
    <row r="8285" spans="1:2" x14ac:dyDescent="0.25">
      <c r="A8285" s="28" t="s">
        <v>27032</v>
      </c>
      <c r="B8285" s="28" t="s">
        <v>27033</v>
      </c>
    </row>
    <row r="8286" spans="1:2" x14ac:dyDescent="0.25">
      <c r="A8286" s="28" t="s">
        <v>27028</v>
      </c>
      <c r="B8286" s="28" t="s">
        <v>27029</v>
      </c>
    </row>
    <row r="8287" spans="1:2" x14ac:dyDescent="0.25">
      <c r="A8287" s="28" t="s">
        <v>27024</v>
      </c>
      <c r="B8287" s="28" t="s">
        <v>27025</v>
      </c>
    </row>
    <row r="8288" spans="1:2" x14ac:dyDescent="0.25">
      <c r="A8288" s="28" t="s">
        <v>27026</v>
      </c>
      <c r="B8288" s="28" t="s">
        <v>27027</v>
      </c>
    </row>
    <row r="8289" spans="1:2" x14ac:dyDescent="0.25">
      <c r="A8289" s="28" t="s">
        <v>27704</v>
      </c>
      <c r="B8289" s="28" t="s">
        <v>27705</v>
      </c>
    </row>
    <row r="8290" spans="1:2" x14ac:dyDescent="0.25">
      <c r="A8290" s="28" t="s">
        <v>27706</v>
      </c>
      <c r="B8290" s="28" t="s">
        <v>27707</v>
      </c>
    </row>
    <row r="8291" spans="1:2" x14ac:dyDescent="0.25">
      <c r="A8291" s="28" t="s">
        <v>27022</v>
      </c>
      <c r="B8291" s="28" t="s">
        <v>27023</v>
      </c>
    </row>
    <row r="8292" spans="1:2" x14ac:dyDescent="0.25">
      <c r="A8292" s="28" t="s">
        <v>27708</v>
      </c>
      <c r="B8292" s="28" t="s">
        <v>27709</v>
      </c>
    </row>
    <row r="8293" spans="1:2" x14ac:dyDescent="0.25">
      <c r="A8293" s="28" t="s">
        <v>27710</v>
      </c>
      <c r="B8293" s="28" t="s">
        <v>27711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26748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26749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26750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27201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27202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26829</v>
      </c>
      <c r="B8958" s="28" t="s">
        <v>26830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26857</v>
      </c>
      <c r="B8967" s="28" t="s">
        <v>26858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26831</v>
      </c>
      <c r="B8973" s="28" t="s">
        <v>26832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26681</v>
      </c>
      <c r="B8979" s="28" t="s">
        <v>26763</v>
      </c>
    </row>
    <row r="8980" spans="1:2" x14ac:dyDescent="0.25">
      <c r="A8980" s="28" t="s">
        <v>26834</v>
      </c>
      <c r="B8980" s="28" t="s">
        <v>26835</v>
      </c>
    </row>
    <row r="8981" spans="1:2" x14ac:dyDescent="0.25">
      <c r="A8981" s="28" t="s">
        <v>26683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26682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26934</v>
      </c>
      <c r="B8987" s="28" t="s">
        <v>26935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26685</v>
      </c>
      <c r="B9000" s="28" t="s">
        <v>1551</v>
      </c>
    </row>
    <row r="9001" spans="1:2" x14ac:dyDescent="0.25">
      <c r="A9001" s="28" t="s">
        <v>26684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26938</v>
      </c>
      <c r="B9004" s="28" t="s">
        <v>26939</v>
      </c>
    </row>
    <row r="9005" spans="1:2" x14ac:dyDescent="0.25">
      <c r="A9005" s="28" t="s">
        <v>26936</v>
      </c>
      <c r="B9005" s="28" t="s">
        <v>26937</v>
      </c>
    </row>
    <row r="9006" spans="1:2" x14ac:dyDescent="0.25">
      <c r="A9006" s="28" t="s">
        <v>26940</v>
      </c>
      <c r="B9006" s="28" t="s">
        <v>26941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26687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26836</v>
      </c>
      <c r="B9014" s="28" t="s">
        <v>26837</v>
      </c>
    </row>
    <row r="9015" spans="1:2" x14ac:dyDescent="0.25">
      <c r="A9015" s="28" t="s">
        <v>26842</v>
      </c>
      <c r="B9015" s="28" t="s">
        <v>26843</v>
      </c>
    </row>
    <row r="9016" spans="1:2" x14ac:dyDescent="0.25">
      <c r="A9016" s="28" t="s">
        <v>26844</v>
      </c>
      <c r="B9016" s="28" t="s">
        <v>26845</v>
      </c>
    </row>
    <row r="9017" spans="1:2" x14ac:dyDescent="0.25">
      <c r="A9017" s="28" t="s">
        <v>26840</v>
      </c>
      <c r="B9017" s="28" t="s">
        <v>26841</v>
      </c>
    </row>
    <row r="9018" spans="1:2" x14ac:dyDescent="0.25">
      <c r="A9018" s="28" t="s">
        <v>26686</v>
      </c>
      <c r="B9018" s="28" t="s">
        <v>1558</v>
      </c>
    </row>
    <row r="9019" spans="1:2" x14ac:dyDescent="0.25">
      <c r="A9019" s="28" t="s">
        <v>26838</v>
      </c>
      <c r="B9019" s="28" t="s">
        <v>26839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26859</v>
      </c>
      <c r="B9023" s="28" t="s">
        <v>26860</v>
      </c>
    </row>
    <row r="9024" spans="1:2" x14ac:dyDescent="0.25">
      <c r="A9024" s="28" t="s">
        <v>26869</v>
      </c>
      <c r="B9024" s="28" t="s">
        <v>26870</v>
      </c>
    </row>
    <row r="9025" spans="1:2" x14ac:dyDescent="0.25">
      <c r="A9025" s="28" t="s">
        <v>26871</v>
      </c>
      <c r="B9025" s="28" t="s">
        <v>26872</v>
      </c>
    </row>
    <row r="9026" spans="1:2" x14ac:dyDescent="0.25">
      <c r="A9026" s="28" t="s">
        <v>26865</v>
      </c>
      <c r="B9026" s="28" t="s">
        <v>26866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26863</v>
      </c>
      <c r="B9028" s="28" t="s">
        <v>26864</v>
      </c>
    </row>
    <row r="9029" spans="1:2" x14ac:dyDescent="0.25">
      <c r="A9029" s="28" t="s">
        <v>26861</v>
      </c>
      <c r="B9029" s="28" t="s">
        <v>26862</v>
      </c>
    </row>
    <row r="9030" spans="1:2" x14ac:dyDescent="0.25">
      <c r="A9030" s="28" t="s">
        <v>26867</v>
      </c>
      <c r="B9030" s="28" t="s">
        <v>26868</v>
      </c>
    </row>
    <row r="9031" spans="1:2" x14ac:dyDescent="0.25">
      <c r="A9031" s="28" t="s">
        <v>27712</v>
      </c>
      <c r="B9031" s="28" t="s">
        <v>26942</v>
      </c>
    </row>
    <row r="9032" spans="1:2" x14ac:dyDescent="0.25">
      <c r="A9032" s="28" t="s">
        <v>26943</v>
      </c>
      <c r="B9032" s="28" t="s">
        <v>26944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26846</v>
      </c>
      <c r="B9034" s="28" t="s">
        <v>26847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26680</v>
      </c>
      <c r="B9057" s="28" t="s">
        <v>26762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26945</v>
      </c>
      <c r="B9076" s="28" t="s">
        <v>26946</v>
      </c>
    </row>
    <row r="9077" spans="1:2" x14ac:dyDescent="0.25">
      <c r="A9077" s="28" t="s">
        <v>26947</v>
      </c>
      <c r="B9077" s="28" t="s">
        <v>26948</v>
      </c>
    </row>
    <row r="9078" spans="1:2" x14ac:dyDescent="0.25">
      <c r="A9078" s="28" t="s">
        <v>26721</v>
      </c>
      <c r="B9078" s="28" t="s">
        <v>26791</v>
      </c>
    </row>
    <row r="9079" spans="1:2" x14ac:dyDescent="0.25">
      <c r="A9079" s="28" t="s">
        <v>26949</v>
      </c>
      <c r="B9079" s="28" t="s">
        <v>26950</v>
      </c>
    </row>
    <row r="9080" spans="1:2" x14ac:dyDescent="0.25">
      <c r="A9080" s="28" t="s">
        <v>26951</v>
      </c>
      <c r="B9080" s="28" t="s">
        <v>26952</v>
      </c>
    </row>
    <row r="9081" spans="1:2" x14ac:dyDescent="0.25">
      <c r="A9081" s="28" t="s">
        <v>27713</v>
      </c>
      <c r="B9081" s="28" t="s">
        <v>27714</v>
      </c>
    </row>
    <row r="9082" spans="1:2" x14ac:dyDescent="0.25">
      <c r="A9082" s="28" t="s">
        <v>27715</v>
      </c>
      <c r="B9082" s="28" t="s">
        <v>27716</v>
      </c>
    </row>
    <row r="9083" spans="1:2" x14ac:dyDescent="0.25">
      <c r="A9083" s="28" t="s">
        <v>27717</v>
      </c>
      <c r="B9083" s="28" t="s">
        <v>27718</v>
      </c>
    </row>
    <row r="9084" spans="1:2" x14ac:dyDescent="0.25">
      <c r="A9084" s="28" t="s">
        <v>27719</v>
      </c>
      <c r="B9084" s="28" t="s">
        <v>27720</v>
      </c>
    </row>
    <row r="9085" spans="1:2" x14ac:dyDescent="0.25">
      <c r="A9085" s="28" t="s">
        <v>26953</v>
      </c>
      <c r="B9085" s="28" t="s">
        <v>26954</v>
      </c>
    </row>
    <row r="9086" spans="1:2" x14ac:dyDescent="0.25">
      <c r="A9086" s="28" t="s">
        <v>26724</v>
      </c>
      <c r="B9086" s="28" t="s">
        <v>26794</v>
      </c>
    </row>
    <row r="9087" spans="1:2" x14ac:dyDescent="0.25">
      <c r="A9087" s="28" t="s">
        <v>26722</v>
      </c>
      <c r="B9087" s="28" t="s">
        <v>26792</v>
      </c>
    </row>
    <row r="9088" spans="1:2" x14ac:dyDescent="0.25">
      <c r="A9088" s="28" t="s">
        <v>26723</v>
      </c>
      <c r="B9088" s="28" t="s">
        <v>26793</v>
      </c>
    </row>
    <row r="9089" spans="1:2" x14ac:dyDescent="0.25">
      <c r="A9089" s="28" t="s">
        <v>26726</v>
      </c>
      <c r="B9089" s="28" t="s">
        <v>26796</v>
      </c>
    </row>
    <row r="9090" spans="1:2" x14ac:dyDescent="0.25">
      <c r="A9090" s="28" t="s">
        <v>26725</v>
      </c>
      <c r="B9090" s="28" t="s">
        <v>26795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26688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26959</v>
      </c>
      <c r="B9098" s="28" t="s">
        <v>26960</v>
      </c>
    </row>
    <row r="9099" spans="1:2" x14ac:dyDescent="0.25">
      <c r="A9099" s="28" t="s">
        <v>26957</v>
      </c>
      <c r="B9099" s="28" t="s">
        <v>26958</v>
      </c>
    </row>
    <row r="9100" spans="1:2" x14ac:dyDescent="0.25">
      <c r="A9100" s="28" t="s">
        <v>26955</v>
      </c>
      <c r="B9100" s="28" t="s">
        <v>26956</v>
      </c>
    </row>
    <row r="9101" spans="1:2" x14ac:dyDescent="0.25">
      <c r="A9101" s="28" t="s">
        <v>26961</v>
      </c>
      <c r="B9101" s="28" t="s">
        <v>26962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27721</v>
      </c>
      <c r="B9122" s="28" t="s">
        <v>27722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26985</v>
      </c>
      <c r="B9138" s="28" t="s">
        <v>26986</v>
      </c>
    </row>
    <row r="9139" spans="1:2" x14ac:dyDescent="0.25">
      <c r="A9139" s="28" t="s">
        <v>26987</v>
      </c>
      <c r="B9139" s="28" t="s">
        <v>26988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26989</v>
      </c>
      <c r="B9141" s="28" t="s">
        <v>26990</v>
      </c>
    </row>
    <row r="9142" spans="1:2" x14ac:dyDescent="0.25">
      <c r="A9142" s="28" t="s">
        <v>27723</v>
      </c>
      <c r="B9142" s="28" t="s">
        <v>27724</v>
      </c>
    </row>
    <row r="9143" spans="1:2" x14ac:dyDescent="0.25">
      <c r="A9143" s="28" t="s">
        <v>26991</v>
      </c>
      <c r="B9143" s="28" t="s">
        <v>26992</v>
      </c>
    </row>
    <row r="9144" spans="1:2" x14ac:dyDescent="0.25">
      <c r="A9144" s="28" t="s">
        <v>27725</v>
      </c>
      <c r="B9144" s="28" t="s">
        <v>26997</v>
      </c>
    </row>
    <row r="9145" spans="1:2" x14ac:dyDescent="0.25">
      <c r="A9145" s="28" t="s">
        <v>26995</v>
      </c>
      <c r="B9145" s="28" t="s">
        <v>26996</v>
      </c>
    </row>
    <row r="9146" spans="1:2" x14ac:dyDescent="0.25">
      <c r="A9146" s="28" t="s">
        <v>26993</v>
      </c>
      <c r="B9146" s="28" t="s">
        <v>26994</v>
      </c>
    </row>
    <row r="9147" spans="1:2" x14ac:dyDescent="0.25">
      <c r="A9147" s="28" t="s">
        <v>27726</v>
      </c>
      <c r="B9147" s="28" t="s">
        <v>27727</v>
      </c>
    </row>
    <row r="9148" spans="1:2" x14ac:dyDescent="0.25">
      <c r="A9148" s="28" t="s">
        <v>27728</v>
      </c>
      <c r="B9148" s="28" t="s">
        <v>27729</v>
      </c>
    </row>
    <row r="9149" spans="1:2" x14ac:dyDescent="0.25">
      <c r="A9149" s="28" t="s">
        <v>26727</v>
      </c>
      <c r="B9149" s="28" t="s">
        <v>26797</v>
      </c>
    </row>
    <row r="9150" spans="1:2" x14ac:dyDescent="0.25">
      <c r="A9150" s="28" t="s">
        <v>26877</v>
      </c>
      <c r="B9150" s="28" t="s">
        <v>26878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26751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26752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27730</v>
      </c>
      <c r="B9468" s="28" t="s">
        <v>26963</v>
      </c>
    </row>
    <row r="9469" spans="1:2" x14ac:dyDescent="0.25">
      <c r="A9469" s="28" t="s">
        <v>27731</v>
      </c>
      <c r="B9469" s="28" t="s">
        <v>26964</v>
      </c>
    </row>
    <row r="9470" spans="1:2" x14ac:dyDescent="0.25">
      <c r="A9470" s="28" t="s">
        <v>26965</v>
      </c>
      <c r="B9470" s="28" t="s">
        <v>26966</v>
      </c>
    </row>
    <row r="9471" spans="1:2" x14ac:dyDescent="0.25">
      <c r="A9471" s="28" t="s">
        <v>26969</v>
      </c>
      <c r="B9471" s="28" t="s">
        <v>26970</v>
      </c>
    </row>
    <row r="9472" spans="1:2" x14ac:dyDescent="0.25">
      <c r="A9472" s="28" t="s">
        <v>26967</v>
      </c>
      <c r="B9472" s="28" t="s">
        <v>26968</v>
      </c>
    </row>
    <row r="9473" spans="1:2" x14ac:dyDescent="0.25">
      <c r="A9473" s="28" t="s">
        <v>26971</v>
      </c>
      <c r="B9473" s="28" t="s">
        <v>26972</v>
      </c>
    </row>
    <row r="9474" spans="1:2" x14ac:dyDescent="0.25">
      <c r="A9474" s="28" t="s">
        <v>26973</v>
      </c>
      <c r="B9474" s="28" t="s">
        <v>26974</v>
      </c>
    </row>
    <row r="9475" spans="1:2" x14ac:dyDescent="0.25">
      <c r="A9475" s="28" t="s">
        <v>26975</v>
      </c>
      <c r="B9475" s="28" t="s">
        <v>26976</v>
      </c>
    </row>
    <row r="9476" spans="1:2" x14ac:dyDescent="0.25">
      <c r="A9476" s="28" t="s">
        <v>26979</v>
      </c>
      <c r="B9476" s="28" t="s">
        <v>26980</v>
      </c>
    </row>
    <row r="9477" spans="1:2" x14ac:dyDescent="0.25">
      <c r="A9477" s="28" t="s">
        <v>26977</v>
      </c>
      <c r="B9477" s="28" t="s">
        <v>26978</v>
      </c>
    </row>
    <row r="9478" spans="1:2" x14ac:dyDescent="0.25">
      <c r="A9478" s="28" t="s">
        <v>26983</v>
      </c>
      <c r="B9478" s="28" t="s">
        <v>26984</v>
      </c>
    </row>
    <row r="9479" spans="1:2" x14ac:dyDescent="0.25">
      <c r="A9479" s="28" t="s">
        <v>26981</v>
      </c>
      <c r="B9479" s="28" t="s">
        <v>26982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27052</v>
      </c>
      <c r="B9569" s="28" t="s">
        <v>27053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27062</v>
      </c>
      <c r="B9594" s="28" t="s">
        <v>27063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27074</v>
      </c>
      <c r="B9621" s="28" t="s">
        <v>27075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27076</v>
      </c>
      <c r="B9625" s="28" t="s">
        <v>27077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27115</v>
      </c>
      <c r="B9636" s="28" t="s">
        <v>27116</v>
      </c>
    </row>
    <row r="9637" spans="1:2" x14ac:dyDescent="0.25">
      <c r="A9637" s="28" t="s">
        <v>27117</v>
      </c>
      <c r="B9637" s="28" t="s">
        <v>27118</v>
      </c>
    </row>
    <row r="9638" spans="1:2" x14ac:dyDescent="0.25">
      <c r="A9638" s="28" t="s">
        <v>27119</v>
      </c>
      <c r="B9638" s="28" t="s">
        <v>27120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27080</v>
      </c>
      <c r="B9715" s="28" t="s">
        <v>27081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27097</v>
      </c>
      <c r="B9721" s="28" t="s">
        <v>27098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27111</v>
      </c>
      <c r="B9723" s="28" t="s">
        <v>27112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27072</v>
      </c>
      <c r="B9780" s="28" t="s">
        <v>27073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27121</v>
      </c>
      <c r="B9821" s="28" t="s">
        <v>27122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27123</v>
      </c>
      <c r="B9828" s="28" t="s">
        <v>27124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27056</v>
      </c>
      <c r="B9880" s="28" t="s">
        <v>27057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27125</v>
      </c>
      <c r="B9973" s="28" t="s">
        <v>27126</v>
      </c>
    </row>
    <row r="9974" spans="1:2" x14ac:dyDescent="0.25">
      <c r="A9974" s="28" t="s">
        <v>27127</v>
      </c>
      <c r="B9974" s="28" t="s">
        <v>27128</v>
      </c>
    </row>
    <row r="9975" spans="1:2" x14ac:dyDescent="0.25">
      <c r="A9975" s="28" t="s">
        <v>27129</v>
      </c>
      <c r="B9975" s="28" t="s">
        <v>27130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27044</v>
      </c>
      <c r="B9997" s="28" t="s">
        <v>27045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27042</v>
      </c>
      <c r="B10011" s="28" t="s">
        <v>27043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26732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27082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27113</v>
      </c>
      <c r="B10169" s="28" t="s">
        <v>27114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26733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27046</v>
      </c>
      <c r="B10228" s="28" t="s">
        <v>27047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27048</v>
      </c>
      <c r="B10251" s="28" t="s">
        <v>27049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27078</v>
      </c>
      <c r="B10317" s="28" t="s">
        <v>27079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27099</v>
      </c>
      <c r="B10334" s="28" t="s">
        <v>27100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27131</v>
      </c>
      <c r="B10339" s="28" t="s">
        <v>27132</v>
      </c>
    </row>
    <row r="10340" spans="1:2" x14ac:dyDescent="0.25">
      <c r="A10340" s="28" t="s">
        <v>27133</v>
      </c>
      <c r="B10340" s="28" t="s">
        <v>27134</v>
      </c>
    </row>
    <row r="10341" spans="1:2" x14ac:dyDescent="0.25">
      <c r="A10341" s="28" t="s">
        <v>27135</v>
      </c>
      <c r="B10341" s="28" t="s">
        <v>27136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27050</v>
      </c>
      <c r="B10355" s="28" t="s">
        <v>27051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27159</v>
      </c>
      <c r="B10376" s="28" t="s">
        <v>27160</v>
      </c>
    </row>
    <row r="10377" spans="1:2" x14ac:dyDescent="0.25">
      <c r="A10377" s="28" t="s">
        <v>27161</v>
      </c>
      <c r="B10377" s="28" t="s">
        <v>27162</v>
      </c>
    </row>
    <row r="10378" spans="1:2" x14ac:dyDescent="0.25">
      <c r="A10378" s="28" t="s">
        <v>27163</v>
      </c>
      <c r="B10378" s="28" t="s">
        <v>27164</v>
      </c>
    </row>
    <row r="10379" spans="1:2" x14ac:dyDescent="0.25">
      <c r="A10379" s="28" t="s">
        <v>27165</v>
      </c>
      <c r="B10379" s="28" t="s">
        <v>27166</v>
      </c>
    </row>
    <row r="10380" spans="1:2" x14ac:dyDescent="0.25">
      <c r="A10380" s="28" t="s">
        <v>27167</v>
      </c>
      <c r="B10380" s="28" t="s">
        <v>27168</v>
      </c>
    </row>
    <row r="10381" spans="1:2" x14ac:dyDescent="0.25">
      <c r="A10381" s="28" t="s">
        <v>27169</v>
      </c>
      <c r="B10381" s="28" t="s">
        <v>27170</v>
      </c>
    </row>
    <row r="10382" spans="1:2" x14ac:dyDescent="0.25">
      <c r="A10382" s="28" t="s">
        <v>27171</v>
      </c>
      <c r="B10382" s="28" t="s">
        <v>27172</v>
      </c>
    </row>
    <row r="10383" spans="1:2" x14ac:dyDescent="0.25">
      <c r="A10383" s="28" t="s">
        <v>27173</v>
      </c>
      <c r="B10383" s="28" t="s">
        <v>27174</v>
      </c>
    </row>
    <row r="10384" spans="1:2" x14ac:dyDescent="0.25">
      <c r="A10384" s="28" t="s">
        <v>27175</v>
      </c>
      <c r="B10384" s="28" t="s">
        <v>27176</v>
      </c>
    </row>
    <row r="10385" spans="1:2" x14ac:dyDescent="0.25">
      <c r="A10385" s="28" t="s">
        <v>27177</v>
      </c>
      <c r="B10385" s="28" t="s">
        <v>27178</v>
      </c>
    </row>
    <row r="10386" spans="1:2" x14ac:dyDescent="0.25">
      <c r="A10386" s="28" t="s">
        <v>27179</v>
      </c>
      <c r="B10386" s="28" t="s">
        <v>27180</v>
      </c>
    </row>
    <row r="10387" spans="1:2" x14ac:dyDescent="0.25">
      <c r="A10387" s="28" t="s">
        <v>27181</v>
      </c>
      <c r="B10387" s="28" t="s">
        <v>27182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27183</v>
      </c>
      <c r="B10390" s="28" t="s">
        <v>27184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27058</v>
      </c>
      <c r="B10392" s="28" t="s">
        <v>27059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27060</v>
      </c>
      <c r="B10400" s="28" t="s">
        <v>27061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27185</v>
      </c>
      <c r="B10425" s="28" t="s">
        <v>27186</v>
      </c>
    </row>
    <row r="10426" spans="1:2" x14ac:dyDescent="0.25">
      <c r="A10426" s="28" t="s">
        <v>27189</v>
      </c>
      <c r="B10426" s="28" t="s">
        <v>27190</v>
      </c>
    </row>
    <row r="10427" spans="1:2" x14ac:dyDescent="0.25">
      <c r="A10427" s="28" t="s">
        <v>27187</v>
      </c>
      <c r="B10427" s="28" t="s">
        <v>27188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27191</v>
      </c>
      <c r="B10429" s="28" t="s">
        <v>27192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27193</v>
      </c>
      <c r="B10437" s="28" t="s">
        <v>27194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27195</v>
      </c>
      <c r="B10442" s="28" t="s">
        <v>27196</v>
      </c>
    </row>
    <row r="10443" spans="1:2" x14ac:dyDescent="0.25">
      <c r="A10443" s="28" t="s">
        <v>27197</v>
      </c>
      <c r="B10443" s="28" t="s">
        <v>27198</v>
      </c>
    </row>
    <row r="10444" spans="1:2" x14ac:dyDescent="0.25">
      <c r="A10444" s="28" t="s">
        <v>27199</v>
      </c>
      <c r="B10444" s="28" t="s">
        <v>27200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26742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27206</v>
      </c>
      <c r="B10629" s="28" t="s">
        <v>27207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28219</v>
      </c>
      <c r="B10643" s="28" t="s">
        <v>27203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27204</v>
      </c>
      <c r="B10716" s="28" t="s">
        <v>27205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26743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27208</v>
      </c>
      <c r="B10804" s="28" t="s">
        <v>27209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27218</v>
      </c>
      <c r="B10842" s="28" t="s">
        <v>27219</v>
      </c>
    </row>
    <row r="10843" spans="1:2" x14ac:dyDescent="0.25">
      <c r="A10843" s="28" t="s">
        <v>27220</v>
      </c>
      <c r="B10843" s="28" t="s">
        <v>27221</v>
      </c>
    </row>
    <row r="10844" spans="1:2" x14ac:dyDescent="0.25">
      <c r="A10844" s="28" t="s">
        <v>27216</v>
      </c>
      <c r="B10844" s="28" t="s">
        <v>27217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27212</v>
      </c>
      <c r="B10872" s="28" t="s">
        <v>27213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27210</v>
      </c>
      <c r="B10874" s="28" t="s">
        <v>27211</v>
      </c>
    </row>
    <row r="10875" spans="1:2" x14ac:dyDescent="0.25">
      <c r="A10875" s="28" t="s">
        <v>27214</v>
      </c>
      <c r="B10875" s="28" t="s">
        <v>27215</v>
      </c>
    </row>
    <row r="10876" spans="1:2" x14ac:dyDescent="0.25">
      <c r="A10876" s="28" t="s">
        <v>27222</v>
      </c>
      <c r="B10876" s="28" t="s">
        <v>27223</v>
      </c>
    </row>
    <row r="10877" spans="1:2" x14ac:dyDescent="0.25">
      <c r="A10877" s="28" t="s">
        <v>27224</v>
      </c>
      <c r="B10877" s="28" t="s">
        <v>27225</v>
      </c>
    </row>
    <row r="10878" spans="1:2" x14ac:dyDescent="0.25">
      <c r="A10878" s="28" t="s">
        <v>27228</v>
      </c>
      <c r="B10878" s="28" t="s">
        <v>27229</v>
      </c>
    </row>
    <row r="10879" spans="1:2" x14ac:dyDescent="0.25">
      <c r="A10879" s="28" t="s">
        <v>27230</v>
      </c>
      <c r="B10879" s="28" t="s">
        <v>27231</v>
      </c>
    </row>
    <row r="10880" spans="1:2" x14ac:dyDescent="0.25">
      <c r="A10880" s="28" t="s">
        <v>27232</v>
      </c>
      <c r="B10880" s="28" t="s">
        <v>27233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26746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27395</v>
      </c>
      <c r="B11281" s="28" t="s">
        <v>27396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27732</v>
      </c>
      <c r="B12437" s="28" t="s">
        <v>27733</v>
      </c>
    </row>
    <row r="12438" spans="1:2" x14ac:dyDescent="0.25">
      <c r="A12438" s="28" t="s">
        <v>27734</v>
      </c>
      <c r="B12438" s="28" t="s">
        <v>27735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27736</v>
      </c>
      <c r="B12494" s="28" t="s">
        <v>27737</v>
      </c>
    </row>
    <row r="12495" spans="1:2" x14ac:dyDescent="0.25">
      <c r="A12495" s="28" t="s">
        <v>27738</v>
      </c>
      <c r="B12495" s="28" t="s">
        <v>27739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27740</v>
      </c>
      <c r="B12520" s="28" t="s">
        <v>27741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27742</v>
      </c>
      <c r="B12637" s="28" t="s">
        <v>27743</v>
      </c>
    </row>
    <row r="12638" spans="1:2" x14ac:dyDescent="0.25">
      <c r="A12638" s="28" t="s">
        <v>27744</v>
      </c>
      <c r="B12638" s="28" t="s">
        <v>27745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27746</v>
      </c>
      <c r="B12657" s="28" t="s">
        <v>27747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27748</v>
      </c>
      <c r="B12662" s="28" t="s">
        <v>27749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27750</v>
      </c>
      <c r="B12687" s="28" t="s">
        <v>27751</v>
      </c>
    </row>
    <row r="12688" spans="1:2" x14ac:dyDescent="0.25">
      <c r="A12688" s="28" t="s">
        <v>27752</v>
      </c>
      <c r="B12688" s="28" t="s">
        <v>27753</v>
      </c>
    </row>
    <row r="12689" spans="1:2" x14ac:dyDescent="0.25">
      <c r="A12689" s="28" t="s">
        <v>27754</v>
      </c>
      <c r="B12689" s="28" t="s">
        <v>27755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27756</v>
      </c>
      <c r="B12697" s="28" t="s">
        <v>27757</v>
      </c>
    </row>
    <row r="12698" spans="1:2" x14ac:dyDescent="0.25">
      <c r="A12698" s="28" t="s">
        <v>27758</v>
      </c>
      <c r="B12698" s="28" t="s">
        <v>27759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27760</v>
      </c>
      <c r="B12705" s="28" t="s">
        <v>27761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27762</v>
      </c>
      <c r="B12713" s="28" t="s">
        <v>27763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27764</v>
      </c>
      <c r="B12716" s="28" t="s">
        <v>27765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27766</v>
      </c>
      <c r="B12718" s="28" t="s">
        <v>27767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26817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27768</v>
      </c>
      <c r="B12736" s="28" t="s">
        <v>27769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27770</v>
      </c>
      <c r="B12803" s="28" t="s">
        <v>27771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26694</v>
      </c>
      <c r="B13012" s="30" t="s">
        <v>26764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26879</v>
      </c>
      <c r="B13020" s="30" t="s">
        <v>26880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26881</v>
      </c>
      <c r="B13030" s="30" t="s">
        <v>26882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26883</v>
      </c>
      <c r="B13034" s="30" t="s">
        <v>26884</v>
      </c>
    </row>
    <row r="13035" spans="1:2" x14ac:dyDescent="0.25">
      <c r="A13035" s="30" t="s">
        <v>26885</v>
      </c>
      <c r="B13035" s="30" t="s">
        <v>26886</v>
      </c>
    </row>
    <row r="13036" spans="1:2" x14ac:dyDescent="0.25">
      <c r="A13036" s="30" t="s">
        <v>27772</v>
      </c>
      <c r="B13036" s="30" t="s">
        <v>26887</v>
      </c>
    </row>
    <row r="13037" spans="1:2" x14ac:dyDescent="0.25">
      <c r="A13037" s="30" t="s">
        <v>26888</v>
      </c>
      <c r="B13037" s="30" t="s">
        <v>26889</v>
      </c>
    </row>
    <row r="13038" spans="1:2" x14ac:dyDescent="0.25">
      <c r="A13038" s="30" t="s">
        <v>26695</v>
      </c>
      <c r="B13038" s="30" t="s">
        <v>26765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26697</v>
      </c>
      <c r="B13041" s="30" t="s">
        <v>26767</v>
      </c>
    </row>
    <row r="13042" spans="1:2" x14ac:dyDescent="0.25">
      <c r="A13042" s="30" t="s">
        <v>26696</v>
      </c>
      <c r="B13042" s="30" t="s">
        <v>26766</v>
      </c>
    </row>
    <row r="13043" spans="1:2" x14ac:dyDescent="0.25">
      <c r="A13043" s="30" t="s">
        <v>26698</v>
      </c>
      <c r="B13043" s="30" t="s">
        <v>26768</v>
      </c>
    </row>
    <row r="13044" spans="1:2" x14ac:dyDescent="0.25">
      <c r="A13044" s="30" t="s">
        <v>26890</v>
      </c>
      <c r="B13044" s="30" t="s">
        <v>26891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26699</v>
      </c>
      <c r="B13051" s="30" t="s">
        <v>26769</v>
      </c>
    </row>
    <row r="13052" spans="1:2" x14ac:dyDescent="0.25">
      <c r="A13052" s="30" t="s">
        <v>26700</v>
      </c>
      <c r="B13052" s="30" t="s">
        <v>26770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26701</v>
      </c>
      <c r="B13059" s="30" t="s">
        <v>26771</v>
      </c>
    </row>
    <row r="13060" spans="1:2" x14ac:dyDescent="0.25">
      <c r="A13060" s="30" t="s">
        <v>26873</v>
      </c>
      <c r="B13060" s="30" t="s">
        <v>26874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26673</v>
      </c>
      <c r="B13064" s="30" t="s">
        <v>26756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26998</v>
      </c>
      <c r="B13069" s="30" t="s">
        <v>26999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26893</v>
      </c>
      <c r="B13094" s="30" t="s">
        <v>26894</v>
      </c>
    </row>
    <row r="13095" spans="1:2" x14ac:dyDescent="0.25">
      <c r="A13095" s="30" t="s">
        <v>26895</v>
      </c>
      <c r="B13095" s="30" t="s">
        <v>26896</v>
      </c>
    </row>
    <row r="13096" spans="1:2" x14ac:dyDescent="0.25">
      <c r="A13096" s="30" t="s">
        <v>26875</v>
      </c>
      <c r="B13096" s="30" t="s">
        <v>26876</v>
      </c>
    </row>
    <row r="13097" spans="1:2" x14ac:dyDescent="0.25">
      <c r="A13097" s="30" t="s">
        <v>26702</v>
      </c>
      <c r="B13097" s="30" t="s">
        <v>26772</v>
      </c>
    </row>
    <row r="13098" spans="1:2" x14ac:dyDescent="0.25">
      <c r="A13098" s="30" t="s">
        <v>26704</v>
      </c>
      <c r="B13098" s="30" t="s">
        <v>26774</v>
      </c>
    </row>
    <row r="13099" spans="1:2" x14ac:dyDescent="0.25">
      <c r="A13099" s="30" t="s">
        <v>26703</v>
      </c>
      <c r="B13099" s="30" t="s">
        <v>26773</v>
      </c>
    </row>
    <row r="13100" spans="1:2" x14ac:dyDescent="0.25">
      <c r="A13100" s="30" t="s">
        <v>26705</v>
      </c>
      <c r="B13100" s="30" t="s">
        <v>26775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27773</v>
      </c>
      <c r="B13150" s="30" t="s">
        <v>27774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26899</v>
      </c>
      <c r="B13154" s="30" t="s">
        <v>26900</v>
      </c>
    </row>
    <row r="13155" spans="1:2" x14ac:dyDescent="0.25">
      <c r="A13155" s="30" t="s">
        <v>26897</v>
      </c>
      <c r="B13155" s="30" t="s">
        <v>26898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26706</v>
      </c>
      <c r="B13165" s="30" t="s">
        <v>26776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26850</v>
      </c>
      <c r="B13168" s="30" t="s">
        <v>26851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26901</v>
      </c>
      <c r="B13170" s="30" t="s">
        <v>26902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26852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26707</v>
      </c>
      <c r="B13195" s="30" t="s">
        <v>26777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26708</v>
      </c>
      <c r="B13208" s="30" t="s">
        <v>26778</v>
      </c>
    </row>
    <row r="13209" spans="1:2" x14ac:dyDescent="0.25">
      <c r="A13209" s="30" t="s">
        <v>26709</v>
      </c>
      <c r="B13209" s="30" t="s">
        <v>26779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26903</v>
      </c>
      <c r="B13246" s="30" t="s">
        <v>26904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27775</v>
      </c>
      <c r="B13248" s="30" t="s">
        <v>27776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91"/>
  <sheetViews>
    <sheetView tabSelected="1" topLeftCell="W1" zoomScaleNormal="100" workbookViewId="0">
      <pane ySplit="1" topLeftCell="A2" activePane="bottomLeft" state="frozen"/>
      <selection pane="bottomLeft" activeCell="O3" sqref="O3:AC7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28415</v>
      </c>
      <c r="O1" s="87" t="s">
        <v>28416</v>
      </c>
      <c r="P1" s="69" t="s">
        <v>28433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27570</v>
      </c>
      <c r="Y1" s="77" t="s">
        <v>27777</v>
      </c>
      <c r="Z1" s="116" t="s">
        <v>2</v>
      </c>
      <c r="AA1" s="98" t="str" cm="1">
        <f t="array" aca="1" ref="AA1:AA91" ca="1">_xlfn._xlws.SORT(INDIRECT(АртикулХарактеристики),1,-1,FALSE)</f>
        <v>Артикул характеристики</v>
      </c>
      <c r="AB1" s="74" t="s">
        <v>247</v>
      </c>
      <c r="AC1" s="70" t="s">
        <v>27573</v>
      </c>
      <c r="AD1" s="70" t="s">
        <v>27574</v>
      </c>
      <c r="AE1" s="70" t="s">
        <v>27575</v>
      </c>
      <c r="AF1" s="70" t="s">
        <v>27572</v>
      </c>
      <c r="AG1" s="70" t="s">
        <v>27571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27577</v>
      </c>
      <c r="AM1" s="70" t="s">
        <v>27578</v>
      </c>
      <c r="AN1" s="70" t="s">
        <v>27579</v>
      </c>
      <c r="AO1" s="70" t="s">
        <v>27580</v>
      </c>
      <c r="AP1" s="70" t="s">
        <v>27581</v>
      </c>
      <c r="AQ1" s="70" t="s">
        <v>27582</v>
      </c>
      <c r="AR1" s="70" t="s">
        <v>27583</v>
      </c>
      <c r="AS1" s="70" t="s">
        <v>27584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94-018-18</v>
      </c>
      <c r="B2" s="107" t="str">
        <f ca="1">_xlfn.LET(_xlpm.CAPS,0,_xlpm.Style,TRIM(_xlfn.XLOOKUP($A2,Строчный!$A:$A,Строчный!B:B,"ERR",0)),IF(_xlpm.CAPS=0,_xlpm.Style,UPPER(_xlpm.Style)))</f>
        <v>1501P</v>
      </c>
      <c r="C2" s="81" t="str">
        <f ca="1">TRIM(PROPER(_xlfn.XLOOKUP($A2,Строчный!$A:$A,Строчный!C:C,"ERR",0)))</f>
        <v>Шапки</v>
      </c>
      <c r="D2" s="81" t="str">
        <f ca="1">_xlfn.LET(_xlpm.DATA,TRIM(_xlfn.XLOOKUP($A2,Строчный!$A:$A,Строчный!D:D,"ERR",0)),UPPER(MID(_xlpm.DATA,1,1))&amp;LOWER(MID(_xlpm.DATA,2,LEN(_xlpm.DATA)-1)))</f>
        <v>Шапка с помпоном</v>
      </c>
      <c r="E2" s="81" t="str">
        <f ca="1">PROPER(TRIM(_xlfn.XLOOKUP($A2,Строчный!$A:$A,Строчный!E:E,"ERR",0)))</f>
        <v>Flexfit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FLEXFIT</v>
      </c>
      <c r="H2" s="81" t="str">
        <f ca="1">LOWER(TRIM(_xlfn.XLOOKUP($A2,Строчный!$A:$A,Строчный!H:H,"ERR",0)))</f>
        <v>red</v>
      </c>
      <c r="I2" s="81" t="str">
        <f ca="1">LOWER(TRIM(_xlfn.XLOOKUP($A2,Строчный!$A:$A,Строчный!I:I,"ERR",0)))</f>
        <v>красный</v>
      </c>
      <c r="J2" s="81" t="str">
        <f ca="1">SUBSTITUTE(LOWER(TRIM(_xlfn.XLOOKUP($A2,Строчный!$A:$A,Строчный!J:J,"ERR",0))),"подклад","Подклад")</f>
        <v>100% гипоаллергенный акрил</v>
      </c>
      <c r="K2" s="81" t="str">
        <f ca="1">LOWER(TRIM(_xlfn.XLOOKUP($A2,Строчный!$A:$A,Строчный!K:K,"ERR",0)))</f>
        <v>акриловые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Корея, Республика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PROPER(TRIM(_xlfn.XLOOKUP($A2,Строчный!$A:$A,Строчный!Q:Q,"ERR",0)))</f>
        <v/>
      </c>
      <c r="Q2" s="90">
        <f ca="1">VALUE(_xlfn.XLOOKUP($A2,Строчный!$A:$A,Строчный!N:N,"ERR",0))</f>
        <v>408</v>
      </c>
      <c r="R2" s="89" t="str">
        <f ca="1">_xlfn.XLOOKUP($G2,Фабрика!A:A,Фабрика!B:B,"ERR",0)</f>
        <v>YupoongInc; 174, Gurodong-ro, Guro-gu, 08285 Seoul, South Korea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2</v>
      </c>
      <c r="U2" s="14" t="s">
        <v>265</v>
      </c>
      <c r="V2" s="101" t="str">
        <f ca="1">TRIM(CONCATENATE(AB2," ",G2," арт. ",B2," (",I2,")"))</f>
        <v>Шапка FLEXFIT арт. 1501P (красный)</v>
      </c>
      <c r="W2" s="100" t="str">
        <f ca="1">TRIM(CONCATENATE(AB2," ",G2," арт. ",B2," (",I2,") {",H2,"}"))</f>
        <v>Шапка FLEXFIT арт. 1501P (красный) {red}</v>
      </c>
      <c r="X2" s="18" t="str">
        <f t="shared" ref="X2:X33" ca="1" si="0">IFERROR(MID(I2,FIND("-",I2)+1,LEN(I2)),IFERROR(MID(I2,1,FIND("/",I2)-2),I2))</f>
        <v>красный</v>
      </c>
      <c r="Y2" s="18" t="str">
        <f t="shared" ref="Y2:Y33" ca="1" si="1">IFERROR(MID(I2,FIND("-",I2)+1,LEN(I2)),IFERROR(MID(I2,FIND("/",I2)+2,LEN(I2)),I2))</f>
        <v>красный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красный</v>
      </c>
      <c r="AA2" s="73" t="str">
        <f ca="1"/>
        <v>94-018-18-00</v>
      </c>
      <c r="AB2" s="75" t="str">
        <f ca="1">VLOOKUP(C2,Группа!A:B,2,FALSE)</f>
        <v>Шапка</v>
      </c>
      <c r="AC2" s="97" t="str">
        <f ca="1">IFERROR(VLOOKUP(S2,Размеры!A:C,3,FALSE),"")</f>
        <v>ONE</v>
      </c>
      <c r="AD2" s="97" t="str">
        <f ca="1">VLOOKUP(I2,ЦветПолный!A:B,2,FALSE)</f>
        <v>18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94-018-16</v>
      </c>
      <c r="B3" s="107" t="str">
        <f ca="1">_xlfn.LET(_xlpm.CAPS,0,_xlpm.Style,TRIM(_xlfn.XLOOKUP($A3,Строчный!$A:$A,Строчный!B:B,"ERR",0)),IF(_xlpm.CAPS=0,_xlpm.Style,LOWER(_xlpm.Style)))</f>
        <v>1501P</v>
      </c>
      <c r="C3" s="81" t="str">
        <f ca="1">TRIM(PROPER(_xlfn.XLOOKUP($A3,Строчный!$A:$A,Строчный!C:C,"ERR",0)))</f>
        <v>Шапки</v>
      </c>
      <c r="D3" s="81" t="str">
        <f ca="1">_xlfn.LET(_xlpm.DATA,TRIM(_xlfn.XLOOKUP($A3,Строчный!$A:$A,Строчный!D:D,"ERR",0)),UPPER(MID(_xlpm.DATA,1,1))&amp;LOWER(MID(_xlpm.DATA,2,LEN(_xlpm.DATA)-1)))</f>
        <v>Шапка с помпоном</v>
      </c>
      <c r="E3" s="81" t="str">
        <f ca="1">PROPER(TRIM(_xlfn.XLOOKUP($A3,Строчный!$A:$A,Строчный!E:E,"ERR",0)))</f>
        <v>Flexfit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FLEXFIT</v>
      </c>
      <c r="H3" s="81" t="str">
        <f ca="1">LOWER(TRIM(_xlfn.XLOOKUP($A3,Строчный!$A:$A,Строчный!H:H,"ERR",0)))</f>
        <v>navy</v>
      </c>
      <c r="I3" s="81" t="str">
        <f ca="1">LOWER(TRIM(_xlfn.XLOOKUP($A3,Строчный!$A:$A,Строчный!I:I,"ERR",0)))</f>
        <v>темно-синий</v>
      </c>
      <c r="J3" s="81" t="str">
        <f ca="1">SUBSTITUTE(LOWER(TRIM(_xlfn.XLOOKUP($A3,Строчный!$A:$A,Строчный!J:J,"ERR",0))),"подклад","Подклад")</f>
        <v>100% гипоаллергенный акрил</v>
      </c>
      <c r="K3" s="81" t="str">
        <f ca="1">LOWER(TRIM(_xlfn.XLOOKUP($A3,Строчный!$A:$A,Строчный!K:K,"ERR",0)))</f>
        <v>акриловые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Корея, Республика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PROPER(TRIM(_xlfn.XLOOKUP($A3,Строчный!$A:$A,Строчный!Q:Q,"ERR",0)))</f>
        <v/>
      </c>
      <c r="Q3" s="90">
        <f ca="1">VALUE(_xlfn.XLOOKUP($A3,Строчный!$A:$A,Строчный!N:N,"ERR",0))</f>
        <v>408</v>
      </c>
      <c r="R3" s="89" t="str">
        <f ca="1">_xlfn.XLOOKUP($G3,Фабрика!A:A,Фабрика!B:B,"ERR",0)</f>
        <v>YupoongInc; 174, Gurodong-ro, Guro-gu, 08285 Seoul, South Korea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3</v>
      </c>
      <c r="U3" s="14" t="s">
        <v>265</v>
      </c>
      <c r="V3" s="101" t="str">
        <f t="shared" ref="V3:V66" ca="1" si="3">TRIM(CONCATENATE(AB3," ",G3," арт. ",B3," (",I3,")"))</f>
        <v>Шапка FLEXFIT арт. 1501P (темно-синий)</v>
      </c>
      <c r="W3" s="100" t="str">
        <f t="shared" ref="W3:W66" ca="1" si="4">TRIM(CONCATENATE(AB3," ",G3," арт. ",B3," (",I3,") {",H3,"}"))</f>
        <v>Шапка FLEXFIT арт. 1501P (темно-синий) {navy}</v>
      </c>
      <c r="X3" s="18" t="str">
        <f t="shared" ca="1" si="0"/>
        <v>синий</v>
      </c>
      <c r="Y3" s="18" t="str">
        <f t="shared" ca="1" si="1"/>
        <v>синий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синий</v>
      </c>
      <c r="AA3" s="73" t="str">
        <f ca="1"/>
        <v>94-018-16-00</v>
      </c>
      <c r="AB3" s="75" t="str">
        <f ca="1">VLOOKUP(C3,Группа!A:B,2,FALSE)</f>
        <v>Шапка</v>
      </c>
      <c r="AC3" s="97" t="str">
        <f ca="1">IFERROR(VLOOKUP(S3,Размеры!A:C,3,FALSE),"")</f>
        <v>ONE</v>
      </c>
      <c r="AD3" s="97" t="str">
        <f ca="1">VLOOKUP(I3,ЦветПолный!A:B,2,FALSE)</f>
        <v>16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94-018-09</v>
      </c>
      <c r="B4" s="107" t="str">
        <f ca="1">_xlfn.LET(_xlpm.CAPS,0,_xlpm.Style,TRIM(_xlfn.XLOOKUP($A4,Строчный!$A:$A,Строчный!B:B,"ERR",0)),IF(_xlpm.CAPS=0,_xlpm.Style,LOWER(_xlpm.Style)))</f>
        <v>1501P</v>
      </c>
      <c r="C4" s="81" t="str">
        <f ca="1">TRIM(PROPER(_xlfn.XLOOKUP($A4,Строчный!$A:$A,Строчный!C:C,"ERR",0)))</f>
        <v>Шапки</v>
      </c>
      <c r="D4" s="81" t="str">
        <f ca="1">_xlfn.LET(_xlpm.DATA,TRIM(_xlfn.XLOOKUP($A4,Строчный!$A:$A,Строчный!D:D,"ERR",0)),UPPER(MID(_xlpm.DATA,1,1))&amp;LOWER(MID(_xlpm.DATA,2,LEN(_xlpm.DATA)-1)))</f>
        <v>Шапка с помпоном</v>
      </c>
      <c r="E4" s="81" t="str">
        <f ca="1">PROPER(TRIM(_xlfn.XLOOKUP($A4,Строчный!$A:$A,Строчный!E:E,"ERR",0)))</f>
        <v>Flexfit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FLEXFIT</v>
      </c>
      <c r="H4" s="81" t="str">
        <f ca="1">LOWER(TRIM(_xlfn.XLOOKUP($A4,Строчный!$A:$A,Строчный!H:H,"ERR",0)))</f>
        <v>black</v>
      </c>
      <c r="I4" s="81" t="str">
        <f ca="1">LOWER(TRIM(_xlfn.XLOOKUP($A4,Строчный!$A:$A,Строчный!I:I,"ERR",0)))</f>
        <v>черный</v>
      </c>
      <c r="J4" s="81" t="str">
        <f ca="1">SUBSTITUTE(LOWER(TRIM(_xlfn.XLOOKUP($A4,Строчный!$A:$A,Строчный!J:J,"ERR",0))),"подклад","Подклад")</f>
        <v>100% гипоаллергенный акрил</v>
      </c>
      <c r="K4" s="81" t="str">
        <f ca="1">LOWER(TRIM(_xlfn.XLOOKUP($A4,Строчный!$A:$A,Строчный!K:K,"ERR",0)))</f>
        <v>акриловые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Корея, Республика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PROPER(TRIM(_xlfn.XLOOKUP($A4,Строчный!$A:$A,Строчный!Q:Q,"ERR",0)))</f>
        <v/>
      </c>
      <c r="Q4" s="90">
        <f ca="1">VALUE(_xlfn.XLOOKUP($A4,Строчный!$A:$A,Строчный!N:N,"ERR",0))</f>
        <v>408</v>
      </c>
      <c r="R4" s="89" t="str">
        <f ca="1">_xlfn.XLOOKUP($G4,Фабрика!A:A,Фабрика!B:B,"ERR",0)</f>
        <v>YupoongInc; 174, Gurodong-ro, Guro-gu, 08285 Seoul, South Korea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6</v>
      </c>
      <c r="U4" s="14" t="s">
        <v>265</v>
      </c>
      <c r="V4" s="101" t="str">
        <f t="shared" ca="1" si="3"/>
        <v>Шапка FLEXFIT арт. 1501P (черный)</v>
      </c>
      <c r="W4" s="100" t="str">
        <f t="shared" ca="1" si="4"/>
        <v>Шапка FLEXFIT арт. 1501P (черный) {black}</v>
      </c>
      <c r="X4" s="18" t="str">
        <f t="shared" ca="1" si="0"/>
        <v>черный</v>
      </c>
      <c r="Y4" s="18" t="str">
        <f t="shared" ca="1" si="1"/>
        <v>черный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3" t="str">
        <f ca="1"/>
        <v>94-018-09-00</v>
      </c>
      <c r="AB4" s="75" t="str">
        <f ca="1">VLOOKUP(C4,Группа!A:B,2,FALSE)</f>
        <v>Шапка</v>
      </c>
      <c r="AC4" s="97" t="str">
        <f ca="1">IFERROR(VLOOKUP(S4,Размеры!A:C,3,FALSE),"")</f>
        <v>ONE</v>
      </c>
      <c r="AD4" s="97" t="str">
        <f ca="1">VLOOKUP(I4,ЦветПолный!A:B,2,FALSE)</f>
        <v>09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94-018-06</v>
      </c>
      <c r="B5" s="107" t="str">
        <f ca="1">_xlfn.LET(_xlpm.CAPS,0,_xlpm.Style,TRIM(_xlfn.XLOOKUP($A5,Строчный!$A:$A,Строчный!B:B,"ERR",0)),IF(_xlpm.CAPS=0,_xlpm.Style,LOWER(_xlpm.Style)))</f>
        <v>1501P</v>
      </c>
      <c r="C5" s="81" t="str">
        <f ca="1">TRIM(PROPER(_xlfn.XLOOKUP($A5,Строчный!$A:$A,Строчный!C:C,"ERR",0)))</f>
        <v>Шапки</v>
      </c>
      <c r="D5" s="81" t="str">
        <f ca="1">_xlfn.LET(_xlpm.DATA,TRIM(_xlfn.XLOOKUP($A5,Строчный!$A:$A,Строчный!D:D,"ERR",0)),UPPER(MID(_xlpm.DATA,1,1))&amp;LOWER(MID(_xlpm.DATA,2,LEN(_xlpm.DATA)-1)))</f>
        <v>Шапка с помпоном</v>
      </c>
      <c r="E5" s="81" t="str">
        <f ca="1">PROPER(TRIM(_xlfn.XLOOKUP($A5,Строчный!$A:$A,Строчный!E:E,"ERR",0)))</f>
        <v>Flexfit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FLEXFIT</v>
      </c>
      <c r="H5" s="81" t="str">
        <f ca="1">LOWER(TRIM(_xlfn.XLOOKUP($A5,Строчный!$A:$A,Строчный!H:H,"ERR",0)))</f>
        <v>royal</v>
      </c>
      <c r="I5" s="81" t="str">
        <f ca="1">LOWER(TRIM(_xlfn.XLOOKUP($A5,Строчный!$A:$A,Строчный!I:I,"ERR",0)))</f>
        <v>синий</v>
      </c>
      <c r="J5" s="81" t="str">
        <f ca="1">SUBSTITUTE(LOWER(TRIM(_xlfn.XLOOKUP($A5,Строчный!$A:$A,Строчный!J:J,"ERR",0))),"подклад","Подклад")</f>
        <v>100% гипоаллергенный акрил</v>
      </c>
      <c r="K5" s="81" t="str">
        <f ca="1">LOWER(TRIM(_xlfn.XLOOKUP($A5,Строчный!$A:$A,Строчный!K:K,"ERR",0)))</f>
        <v>акриловые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Корея, Республика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PROPER(TRIM(_xlfn.XLOOKUP($A5,Строчный!$A:$A,Строчный!Q:Q,"ERR",0)))</f>
        <v/>
      </c>
      <c r="Q5" s="90">
        <f ca="1">VALUE(_xlfn.XLOOKUP($A5,Строчный!$A:$A,Строчный!N:N,"ERR",0))</f>
        <v>408</v>
      </c>
      <c r="R5" s="89" t="str">
        <f ca="1">_xlfn.XLOOKUP($G5,Фабрика!A:A,Фабрика!B:B,"ERR",0)</f>
        <v>YupoongInc; 174, Gurodong-ro, Guro-gu, 08285 Seoul, South Korea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2</v>
      </c>
      <c r="U5" s="14" t="s">
        <v>265</v>
      </c>
      <c r="V5" s="101" t="str">
        <f t="shared" ca="1" si="3"/>
        <v>Шапка FLEXFIT арт. 1501P (синий)</v>
      </c>
      <c r="W5" s="100" t="str">
        <f t="shared" ca="1" si="4"/>
        <v>Шапка FLEXFIT арт. 1501P (синий) {royal}</v>
      </c>
      <c r="X5" s="18" t="str">
        <f t="shared" ca="1" si="0"/>
        <v>синий</v>
      </c>
      <c r="Y5" s="18" t="str">
        <f t="shared" ca="1" si="1"/>
        <v>синий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синий</v>
      </c>
      <c r="AA5" s="73" t="str">
        <f ca="1"/>
        <v>94-018-06-00</v>
      </c>
      <c r="AB5" s="75" t="str">
        <f ca="1">VLOOKUP(C5,Группа!A:B,2,FALSE)</f>
        <v>Шапка</v>
      </c>
      <c r="AC5" s="97" t="str">
        <f ca="1">IFERROR(VLOOKUP(S5,Размеры!A:C,3,FALSE),"")</f>
        <v>ONE</v>
      </c>
      <c r="AD5" s="97" t="str">
        <f ca="1">VLOOKUP(I5,ЦветПолный!A:B,2,FALSE)</f>
        <v>06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94-018-05</v>
      </c>
      <c r="B6" s="107" t="str">
        <f ca="1">_xlfn.LET(_xlpm.CAPS,0,_xlpm.Style,TRIM(_xlfn.XLOOKUP($A6,Строчный!$A:$A,Строчный!B:B,"ERR",0)),IF(_xlpm.CAPS=0,_xlpm.Style,LOWER(_xlpm.Style)))</f>
        <v>1501P</v>
      </c>
      <c r="C6" s="81" t="str">
        <f ca="1">TRIM(PROPER(_xlfn.XLOOKUP($A6,Строчный!$A:$A,Строчный!C:C,"ERR",0)))</f>
        <v>Шапки</v>
      </c>
      <c r="D6" s="81" t="str">
        <f ca="1">_xlfn.LET(_xlpm.DATA,TRIM(_xlfn.XLOOKUP($A6,Строчный!$A:$A,Строчный!D:D,"ERR",0)),UPPER(MID(_xlpm.DATA,1,1))&amp;LOWER(MID(_xlpm.DATA,2,LEN(_xlpm.DATA)-1)))</f>
        <v>Шапка с помпоном</v>
      </c>
      <c r="E6" s="81" t="str">
        <f ca="1">PROPER(TRIM(_xlfn.XLOOKUP($A6,Строчный!$A:$A,Строчный!E:E,"ERR",0)))</f>
        <v>Flexfit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FLEXFIT</v>
      </c>
      <c r="H6" s="81" t="str">
        <f ca="1">LOWER(TRIM(_xlfn.XLOOKUP($A6,Строчный!$A:$A,Строчный!H:H,"ERR",0)))</f>
        <v>dark grey</v>
      </c>
      <c r="I6" s="81" t="str">
        <f ca="1">LOWER(TRIM(_xlfn.XLOOKUP($A6,Строчный!$A:$A,Строчный!I:I,"ERR",0)))</f>
        <v>темно-серый</v>
      </c>
      <c r="J6" s="81" t="str">
        <f ca="1">SUBSTITUTE(LOWER(TRIM(_xlfn.XLOOKUP($A6,Строчный!$A:$A,Строчный!J:J,"ERR",0))),"подклад","Подклад")</f>
        <v>100% гипоаллергенный акрил</v>
      </c>
      <c r="K6" s="81" t="str">
        <f ca="1">LOWER(TRIM(_xlfn.XLOOKUP($A6,Строчный!$A:$A,Строчный!K:K,"ERR",0)))</f>
        <v>акриловые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Корея, Республика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PROPER(TRIM(_xlfn.XLOOKUP($A6,Строчный!$A:$A,Строчный!Q:Q,"ERR",0)))</f>
        <v/>
      </c>
      <c r="Q6" s="90">
        <f ca="1">VALUE(_xlfn.XLOOKUP($A6,Строчный!$A:$A,Строчный!N:N,"ERR",0))</f>
        <v>408</v>
      </c>
      <c r="R6" s="89" t="str">
        <f ca="1">_xlfn.XLOOKUP($G6,Фабрика!A:A,Фабрика!B:B,"ERR",0)</f>
        <v>YupoongInc; 174, Gurodong-ro, Guro-gu, 08285 Seoul, South Korea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6</v>
      </c>
      <c r="U6" s="14" t="s">
        <v>265</v>
      </c>
      <c r="V6" s="101" t="str">
        <f t="shared" ca="1" si="3"/>
        <v>Шапка FLEXFIT арт. 1501P (темно-серый)</v>
      </c>
      <c r="W6" s="100" t="str">
        <f t="shared" ca="1" si="4"/>
        <v>Шапка FLEXFIT арт. 1501P (темно-серый) {dark grey}</v>
      </c>
      <c r="X6" s="18" t="str">
        <f t="shared" ca="1" si="0"/>
        <v>серый</v>
      </c>
      <c r="Y6" s="18" t="str">
        <f t="shared" ca="1" si="1"/>
        <v>серый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серый</v>
      </c>
      <c r="AA6" s="73" t="str">
        <f ca="1"/>
        <v>94-018-05-00</v>
      </c>
      <c r="AB6" s="75" t="str">
        <f ca="1">VLOOKUP(C6,Группа!A:B,2,FALSE)</f>
        <v>Шапка</v>
      </c>
      <c r="AC6" s="97" t="str">
        <f ca="1">IFERROR(VLOOKUP(S6,Размеры!A:C,3,FALSE),"")</f>
        <v>ONE</v>
      </c>
      <c r="AD6" s="97" t="str">
        <f ca="1">VLOOKUP(I6,ЦветПолный!A:B,2,FALSE)</f>
        <v>05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0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94-018-01</v>
      </c>
      <c r="B7" s="107" t="str">
        <f ca="1">_xlfn.LET(_xlpm.CAPS,0,_xlpm.Style,TRIM(_xlfn.XLOOKUP($A7,Строчный!$A:$A,Строчный!B:B,"ERR",0)),IF(_xlpm.CAPS=0,_xlpm.Style,LOWER(_xlpm.Style)))</f>
        <v>1501P</v>
      </c>
      <c r="C7" s="81" t="str">
        <f ca="1">TRIM(PROPER(_xlfn.XLOOKUP($A7,Строчный!$A:$A,Строчный!C:C,"ERR",0)))</f>
        <v>Шапки</v>
      </c>
      <c r="D7" s="81" t="str">
        <f ca="1">_xlfn.LET(_xlpm.DATA,TRIM(_xlfn.XLOOKUP($A7,Строчный!$A:$A,Строчный!D:D,"ERR",0)),UPPER(MID(_xlpm.DATA,1,1))&amp;LOWER(MID(_xlpm.DATA,2,LEN(_xlpm.DATA)-1)))</f>
        <v>Шапка с помпоном</v>
      </c>
      <c r="E7" s="81" t="str">
        <f ca="1">PROPER(TRIM(_xlfn.XLOOKUP($A7,Строчный!$A:$A,Строчный!E:E,"ERR",0)))</f>
        <v>Flexfit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FLEXFIT</v>
      </c>
      <c r="H7" s="81" t="str">
        <f ca="1">LOWER(TRIM(_xlfn.XLOOKUP($A7,Строчный!$A:$A,Строчный!H:H,"ERR",0)))</f>
        <v>heather grey</v>
      </c>
      <c r="I7" s="81" t="str">
        <f ca="1">LOWER(TRIM(_xlfn.XLOOKUP($A7,Строчный!$A:$A,Строчный!I:I,"ERR",0)))</f>
        <v>светло-серый</v>
      </c>
      <c r="J7" s="81" t="str">
        <f ca="1">SUBSTITUTE(LOWER(TRIM(_xlfn.XLOOKUP($A7,Строчный!$A:$A,Строчный!J:J,"ERR",0))),"подклад","Подклад")</f>
        <v>100% гипоаллергенный акрил</v>
      </c>
      <c r="K7" s="81" t="str">
        <f ca="1">LOWER(TRIM(_xlfn.XLOOKUP($A7,Строчный!$A:$A,Строчный!K:K,"ERR",0)))</f>
        <v>акриловые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Корея, Республика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PROPER(TRIM(_xlfn.XLOOKUP($A7,Строчный!$A:$A,Строчный!Q:Q,"ERR",0)))</f>
        <v/>
      </c>
      <c r="Q7" s="90">
        <f ca="1">VALUE(_xlfn.XLOOKUP($A7,Строчный!$A:$A,Строчный!N:N,"ERR",0))</f>
        <v>408</v>
      </c>
      <c r="R7" s="89" t="str">
        <f ca="1">_xlfn.XLOOKUP($G7,Фабрика!A:A,Фабрика!B:B,"ERR",0)</f>
        <v>YupoongInc; 174, Gurodong-ro, Guro-gu, 08285 Seoul, South Korea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4</v>
      </c>
      <c r="U7" s="14" t="s">
        <v>265</v>
      </c>
      <c r="V7" s="101" t="str">
        <f t="shared" ca="1" si="3"/>
        <v>Шапка FLEXFIT арт. 1501P (светло-серый)</v>
      </c>
      <c r="W7" s="100" t="str">
        <f t="shared" ca="1" si="4"/>
        <v>Шапка FLEXFIT арт. 1501P (светло-серый) {heather grey}</v>
      </c>
      <c r="X7" s="18" t="str">
        <f t="shared" ca="1" si="0"/>
        <v>серый</v>
      </c>
      <c r="Y7" s="18" t="str">
        <f t="shared" ca="1" si="1"/>
        <v>серый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серый</v>
      </c>
      <c r="AA7" s="73" t="str">
        <f ca="1"/>
        <v>94-018-01-00</v>
      </c>
      <c r="AB7" s="75" t="str">
        <f ca="1">VLOOKUP(C7,Группа!A:B,2,FALSE)</f>
        <v>Шапка</v>
      </c>
      <c r="AC7" s="97" t="str">
        <f ca="1">IFERROR(VLOOKUP(S7,Размеры!A:C,3,FALSE),"")</f>
        <v>ONE</v>
      </c>
      <c r="AD7" s="97" t="str">
        <f ca="1">VLOOKUP(I7,ЦветПолный!A:B,2,FALSE)</f>
        <v>01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0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94-017-19</v>
      </c>
      <c r="B8" s="107" t="str">
        <f ca="1">_xlfn.LET(_xlpm.CAPS,0,_xlpm.Style,TRIM(_xlfn.XLOOKUP($A8,Строчный!$A:$A,Строчный!B:B,"ERR",0)),IF(_xlpm.CAPS=0,_xlpm.Style,LOWER(_xlpm.Style)))</f>
        <v>1501KC</v>
      </c>
      <c r="C8" s="81" t="str">
        <f ca="1">TRIM(PROPER(_xlfn.XLOOKUP($A8,Строчный!$A:$A,Строчный!C:C,"ERR",0)))</f>
        <v>Шапки</v>
      </c>
      <c r="D8" s="81" t="str">
        <f ca="1">_xlfn.LET(_xlpm.DATA,TRIM(_xlfn.XLOOKUP($A8,Строчный!$A:$A,Строчный!D:D,"ERR",0)),UPPER(MID(_xlpm.DATA,1,1))&amp;LOWER(MID(_xlpm.DATA,2,LEN(_xlpm.DATA)-1)))</f>
        <v>Шапка вязаная</v>
      </c>
      <c r="E8" s="81" t="str">
        <f ca="1">PROPER(TRIM(_xlfn.XLOOKUP($A8,Строчный!$A:$A,Строчный!E:E,"ERR",0)))</f>
        <v>Flexfit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FLEXFIT</v>
      </c>
      <c r="H8" s="81" t="str">
        <f ca="1">LOWER(TRIM(_xlfn.XLOOKUP($A8,Строчный!$A:$A,Строчный!H:H,"ERR",0)))</f>
        <v>carolina blue</v>
      </c>
      <c r="I8" s="81" t="str">
        <f ca="1">LOWER(TRIM(_xlfn.XLOOKUP($A8,Строчный!$A:$A,Строчный!I:I,"ERR",0)))</f>
        <v>голубой</v>
      </c>
      <c r="J8" s="81" t="str">
        <f ca="1">SUBSTITUTE(LOWER(TRIM(_xlfn.XLOOKUP($A8,Строчный!$A:$A,Строчный!J:J,"ERR",0))),"подклад","Подклад")</f>
        <v>100% гипоаллергенный акрил</v>
      </c>
      <c r="K8" s="81" t="str">
        <f ca="1">LOWER(TRIM(_xlfn.XLOOKUP($A8,Строчный!$A:$A,Строчный!K:K,"ERR",0)))</f>
        <v>акриловые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Корея, Республика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PROPER(TRIM(_xlfn.XLOOKUP($A8,Строчный!$A:$A,Строчный!Q:Q,"ERR",0)))</f>
        <v/>
      </c>
      <c r="Q8" s="90">
        <f ca="1">VALUE(_xlfn.XLOOKUP($A8,Строчный!$A:$A,Строчный!N:N,"ERR",0))</f>
        <v>381.65000000000003</v>
      </c>
      <c r="R8" s="89" t="str">
        <f ca="1">_xlfn.XLOOKUP($G8,Фабрика!A:A,Фабрика!B:B,"ERR",0)</f>
        <v>YupoongInc; 174, Gurodong-ro, Guro-gu, 08285 Seoul, South Korea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6</v>
      </c>
      <c r="U8" s="14" t="s">
        <v>265</v>
      </c>
      <c r="V8" s="101" t="str">
        <f t="shared" ca="1" si="3"/>
        <v>Шапка FLEXFIT арт. 1501KC (голубой)</v>
      </c>
      <c r="W8" s="100" t="str">
        <f t="shared" ca="1" si="4"/>
        <v>Шапка FLEXFIT арт. 1501KC (голубой) {carolina blue}</v>
      </c>
      <c r="X8" s="18" t="str">
        <f t="shared" ca="1" si="0"/>
        <v>голубой</v>
      </c>
      <c r="Y8" s="18" t="str">
        <f t="shared" ca="1" si="1"/>
        <v>голубой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голубой</v>
      </c>
      <c r="AA8" s="73" t="str">
        <f ca="1"/>
        <v>94-017-19-00</v>
      </c>
      <c r="AB8" s="75" t="str">
        <f ca="1">VLOOKUP(C8,Группа!A:B,2,FALSE)</f>
        <v>Шапка</v>
      </c>
      <c r="AC8" s="97" t="str">
        <f ca="1">IFERROR(VLOOKUP(S8,Размеры!A:C,3,FALSE),"")</f>
        <v>ONE</v>
      </c>
      <c r="AD8" s="97" t="str">
        <f ca="1">VLOOKUP(I8,ЦветПолный!A:B,2,FALSE)</f>
        <v>19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0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94-017-18</v>
      </c>
      <c r="B9" s="107" t="str">
        <f ca="1">_xlfn.LET(_xlpm.CAPS,0,_xlpm.Style,TRIM(_xlfn.XLOOKUP($A9,Строчный!$A:$A,Строчный!B:B,"ERR",0)),IF(_xlpm.CAPS=0,_xlpm.Style,LOWER(_xlpm.Style)))</f>
        <v>1501KC</v>
      </c>
      <c r="C9" s="81" t="str">
        <f ca="1">TRIM(PROPER(_xlfn.XLOOKUP($A9,Строчный!$A:$A,Строчный!C:C,"ERR",0)))</f>
        <v>Шапки</v>
      </c>
      <c r="D9" s="81" t="str">
        <f ca="1">_xlfn.LET(_xlpm.DATA,TRIM(_xlfn.XLOOKUP($A9,Строчный!$A:$A,Строчный!D:D,"ERR",0)),UPPER(MID(_xlpm.DATA,1,1))&amp;LOWER(MID(_xlpm.DATA,2,LEN(_xlpm.DATA)-1)))</f>
        <v>Шапка вязаная</v>
      </c>
      <c r="E9" s="81" t="str">
        <f ca="1">PROPER(TRIM(_xlfn.XLOOKUP($A9,Строчный!$A:$A,Строчный!E:E,"ERR",0)))</f>
        <v>Flexfit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FLEXFIT</v>
      </c>
      <c r="H9" s="81" t="str">
        <f ca="1">LOWER(TRIM(_xlfn.XLOOKUP($A9,Строчный!$A:$A,Строчный!H:H,"ERR",0)))</f>
        <v>red</v>
      </c>
      <c r="I9" s="81" t="str">
        <f ca="1">LOWER(TRIM(_xlfn.XLOOKUP($A9,Строчный!$A:$A,Строчный!I:I,"ERR",0)))</f>
        <v>красный</v>
      </c>
      <c r="J9" s="81" t="str">
        <f ca="1">SUBSTITUTE(LOWER(TRIM(_xlfn.XLOOKUP($A9,Строчный!$A:$A,Строчный!J:J,"ERR",0))),"подклад","Подклад")</f>
        <v>100% гипоаллергенный акрил</v>
      </c>
      <c r="K9" s="81" t="str">
        <f ca="1">LOWER(TRIM(_xlfn.XLOOKUP($A9,Строчный!$A:$A,Строчный!K:K,"ERR",0)))</f>
        <v>акриловые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Корея, Республика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PROPER(TRIM(_xlfn.XLOOKUP($A9,Строчный!$A:$A,Строчный!Q:Q,"ERR",0)))</f>
        <v/>
      </c>
      <c r="Q9" s="90">
        <f ca="1">VALUE(_xlfn.XLOOKUP($A9,Строчный!$A:$A,Строчный!N:N,"ERR",0))</f>
        <v>381.65</v>
      </c>
      <c r="R9" s="89" t="str">
        <f ca="1">_xlfn.XLOOKUP($G9,Фабрика!A:A,Фабрика!B:B,"ERR",0)</f>
        <v>YupoongInc; 174, Gurodong-ro, Guro-gu, 08285 Seoul, South Korea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4</v>
      </c>
      <c r="U9" s="14" t="s">
        <v>265</v>
      </c>
      <c r="V9" s="101" t="str">
        <f t="shared" ca="1" si="3"/>
        <v>Шапка FLEXFIT арт. 1501KC (красный)</v>
      </c>
      <c r="W9" s="100" t="str">
        <f t="shared" ca="1" si="4"/>
        <v>Шапка FLEXFIT арт. 1501KC (красный) {red}</v>
      </c>
      <c r="X9" s="18" t="str">
        <f t="shared" ca="1" si="0"/>
        <v>красный</v>
      </c>
      <c r="Y9" s="18" t="str">
        <f t="shared" ca="1" si="1"/>
        <v>красный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красный</v>
      </c>
      <c r="AA9" s="73" t="str">
        <f ca="1"/>
        <v>94-017-18-00</v>
      </c>
      <c r="AB9" s="75" t="str">
        <f ca="1">VLOOKUP(C9,Группа!A:B,2,FALSE)</f>
        <v>Шапка</v>
      </c>
      <c r="AC9" s="97" t="str">
        <f ca="1">IFERROR(VLOOKUP(S9,Размеры!A:C,3,FALSE),"")</f>
        <v>ONE</v>
      </c>
      <c r="AD9" s="97" t="str">
        <f ca="1">VLOOKUP(I9,ЦветПолный!A:B,2,FALSE)</f>
        <v>18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0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94-017-16</v>
      </c>
      <c r="B10" s="107" t="str">
        <f ca="1">_xlfn.LET(_xlpm.CAPS,0,_xlpm.Style,TRIM(_xlfn.XLOOKUP($A10,Строчный!$A:$A,Строчный!B:B,"ERR",0)),IF(_xlpm.CAPS=0,_xlpm.Style,LOWER(_xlpm.Style)))</f>
        <v>1501KC</v>
      </c>
      <c r="C10" s="81" t="str">
        <f ca="1">TRIM(PROPER(_xlfn.XLOOKUP($A10,Строчный!$A:$A,Строчный!C:C,"ERR",0)))</f>
        <v>Шапки</v>
      </c>
      <c r="D10" s="81" t="str">
        <f ca="1">_xlfn.LET(_xlpm.DATA,TRIM(_xlfn.XLOOKUP($A10,Строчный!$A:$A,Строчный!D:D,"ERR",0)),UPPER(MID(_xlpm.DATA,1,1))&amp;LOWER(MID(_xlpm.DATA,2,LEN(_xlpm.DATA)-1)))</f>
        <v>Шапка вязаная</v>
      </c>
      <c r="E10" s="81" t="str">
        <f ca="1">PROPER(TRIM(_xlfn.XLOOKUP($A10,Строчный!$A:$A,Строчный!E:E,"ERR",0)))</f>
        <v>Flexfit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FLEXFIT</v>
      </c>
      <c r="H10" s="81" t="str">
        <f ca="1">LOWER(TRIM(_xlfn.XLOOKUP($A10,Строчный!$A:$A,Строчный!H:H,"ERR",0)))</f>
        <v>navy</v>
      </c>
      <c r="I10" s="81" t="str">
        <f ca="1">LOWER(TRIM(_xlfn.XLOOKUP($A10,Строчный!$A:$A,Строчный!I:I,"ERR",0)))</f>
        <v>темно-синий</v>
      </c>
      <c r="J10" s="81" t="str">
        <f ca="1">SUBSTITUTE(LOWER(TRIM(_xlfn.XLOOKUP($A10,Строчный!$A:$A,Строчный!J:J,"ERR",0))),"подклад","Подклад")</f>
        <v>100% гипоаллергенный акрил</v>
      </c>
      <c r="K10" s="81" t="str">
        <f ca="1">LOWER(TRIM(_xlfn.XLOOKUP($A10,Строчный!$A:$A,Строчный!K:K,"ERR",0)))</f>
        <v>акриловые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Корея, Республика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PROPER(TRIM(_xlfn.XLOOKUP($A10,Строчный!$A:$A,Строчный!Q:Q,"ERR",0)))</f>
        <v/>
      </c>
      <c r="Q10" s="90">
        <f ca="1">VALUE(_xlfn.XLOOKUP($A10,Строчный!$A:$A,Строчный!N:N,"ERR",0))</f>
        <v>381.65</v>
      </c>
      <c r="R10" s="89" t="str">
        <f ca="1">_xlfn.XLOOKUP($G10,Фабрика!A:A,Фабрика!B:B,"ERR",0)</f>
        <v>YupoongInc; 174, Gurodong-ro, Guro-gu, 08285 Seoul, South Korea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8</v>
      </c>
      <c r="U10" s="14" t="s">
        <v>265</v>
      </c>
      <c r="V10" s="101" t="str">
        <f t="shared" ca="1" si="3"/>
        <v>Шапка FLEXFIT арт. 1501KC (темно-синий)</v>
      </c>
      <c r="W10" s="100" t="str">
        <f t="shared" ca="1" si="4"/>
        <v>Шапка FLEXFIT арт. 1501KC (темно-синий) {navy}</v>
      </c>
      <c r="X10" s="18" t="str">
        <f t="shared" ca="1" si="0"/>
        <v>синий</v>
      </c>
      <c r="Y10" s="18" t="str">
        <f t="shared" ca="1" si="1"/>
        <v>синий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синий</v>
      </c>
      <c r="AA10" s="73" t="str">
        <f ca="1"/>
        <v>94-017-16-00</v>
      </c>
      <c r="AB10" s="75" t="str">
        <f ca="1">VLOOKUP(C10,Группа!A:B,2,FALSE)</f>
        <v>Шапка</v>
      </c>
      <c r="AC10" s="97" t="str">
        <f ca="1">IFERROR(VLOOKUP(S10,Размеры!A:C,3,FALSE),"")</f>
        <v>ONE</v>
      </c>
      <c r="AD10" s="97" t="str">
        <f ca="1">VLOOKUP(I10,ЦветПолный!A:B,2,FALSE)</f>
        <v>16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0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94-017-15</v>
      </c>
      <c r="B11" s="107" t="str">
        <f ca="1">_xlfn.LET(_xlpm.CAPS,0,_xlpm.Style,TRIM(_xlfn.XLOOKUP($A11,Строчный!$A:$A,Строчный!B:B,"ERR",0)),IF(_xlpm.CAPS=0,_xlpm.Style,LOWER(_xlpm.Style)))</f>
        <v>1501KC</v>
      </c>
      <c r="C11" s="81" t="str">
        <f ca="1">TRIM(PROPER(_xlfn.XLOOKUP($A11,Строчный!$A:$A,Строчный!C:C,"ERR",0)))</f>
        <v>Шапки</v>
      </c>
      <c r="D11" s="81" t="str">
        <f ca="1">_xlfn.LET(_xlpm.DATA,TRIM(_xlfn.XLOOKUP($A11,Строчный!$A:$A,Строчный!D:D,"ERR",0)),UPPER(MID(_xlpm.DATA,1,1))&amp;LOWER(MID(_xlpm.DATA,2,LEN(_xlpm.DATA)-1)))</f>
        <v>Шапка вязаная</v>
      </c>
      <c r="E11" s="81" t="str">
        <f ca="1">PROPER(TRIM(_xlfn.XLOOKUP($A11,Строчный!$A:$A,Строчный!E:E,"ERR",0)))</f>
        <v>Flexfit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FLEXFIT</v>
      </c>
      <c r="H11" s="81" t="str">
        <f ca="1">LOWER(TRIM(_xlfn.XLOOKUP($A11,Строчный!$A:$A,Строчный!H:H,"ERR",0)))</f>
        <v>caramel</v>
      </c>
      <c r="I11" s="81" t="str">
        <f ca="1">LOWER(TRIM(_xlfn.XLOOKUP($A11,Строчный!$A:$A,Строчный!I:I,"ERR",0)))</f>
        <v>светло-коричневый</v>
      </c>
      <c r="J11" s="81" t="str">
        <f ca="1">SUBSTITUTE(LOWER(TRIM(_xlfn.XLOOKUP($A11,Строчный!$A:$A,Строчный!J:J,"ERR",0))),"подклад","Подклад")</f>
        <v>100% гипоаллергенный акрил</v>
      </c>
      <c r="K11" s="81" t="str">
        <f ca="1">LOWER(TRIM(_xlfn.XLOOKUP($A11,Строчный!$A:$A,Строчный!K:K,"ERR",0)))</f>
        <v>акриловые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Корея, Республика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PROPER(TRIM(_xlfn.XLOOKUP($A11,Строчный!$A:$A,Строчный!Q:Q,"ERR",0)))</f>
        <v/>
      </c>
      <c r="Q11" s="90">
        <f ca="1">VALUE(_xlfn.XLOOKUP($A11,Строчный!$A:$A,Строчный!N:N,"ERR",0))</f>
        <v>381.65000000000003</v>
      </c>
      <c r="R11" s="89" t="str">
        <f ca="1">_xlfn.XLOOKUP($G11,Фабрика!A:A,Фабрика!B:B,"ERR",0)</f>
        <v>YupoongInc; 174, Gurodong-ro, Guro-gu, 08285 Seoul, South Korea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6</v>
      </c>
      <c r="U11" s="14" t="s">
        <v>265</v>
      </c>
      <c r="V11" s="101" t="str">
        <f t="shared" ca="1" si="3"/>
        <v>Шапка FLEXFIT арт. 1501KC (светло-коричневый)</v>
      </c>
      <c r="W11" s="100" t="str">
        <f t="shared" ca="1" si="4"/>
        <v>Шапка FLEXFIT арт. 1501KC (светло-коричневый) {caramel}</v>
      </c>
      <c r="X11" s="18" t="str">
        <f t="shared" ca="1" si="0"/>
        <v>коричневый</v>
      </c>
      <c r="Y11" s="18" t="str">
        <f t="shared" ca="1" si="1"/>
        <v>коричневый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коричневый</v>
      </c>
      <c r="AA11" s="73" t="str">
        <f ca="1"/>
        <v>94-017-15-00</v>
      </c>
      <c r="AB11" s="75" t="str">
        <f ca="1">VLOOKUP(C11,Группа!A:B,2,FALSE)</f>
        <v>Шапка</v>
      </c>
      <c r="AC11" s="97" t="str">
        <f ca="1">IFERROR(VLOOKUP(S11,Размеры!A:C,3,FALSE),"")</f>
        <v>ONE</v>
      </c>
      <c r="AD11" s="97" t="str">
        <f ca="1">VLOOKUP(I11,ЦветПолный!A:B,2,FALSE)</f>
        <v>15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0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94-017-14</v>
      </c>
      <c r="B12" s="107" t="str">
        <f ca="1">_xlfn.LET(_xlpm.CAPS,0,_xlpm.Style,TRIM(_xlfn.XLOOKUP($A12,Строчный!$A:$A,Строчный!B:B,"ERR",0)),IF(_xlpm.CAPS=0,_xlpm.Style,LOWER(_xlpm.Style)))</f>
        <v>1501KC</v>
      </c>
      <c r="C12" s="81" t="str">
        <f ca="1">TRIM(PROPER(_xlfn.XLOOKUP($A12,Строчный!$A:$A,Строчный!C:C,"ERR",0)))</f>
        <v>Шапки</v>
      </c>
      <c r="D12" s="81" t="str">
        <f ca="1">_xlfn.LET(_xlpm.DATA,TRIM(_xlfn.XLOOKUP($A12,Строчный!$A:$A,Строчный!D:D,"ERR",0)),UPPER(MID(_xlpm.DATA,1,1))&amp;LOWER(MID(_xlpm.DATA,2,LEN(_xlpm.DATA)-1)))</f>
        <v>Шапка вязаная</v>
      </c>
      <c r="E12" s="81" t="str">
        <f ca="1">PROPER(TRIM(_xlfn.XLOOKUP($A12,Строчный!$A:$A,Строчный!E:E,"ERR",0)))</f>
        <v>Flexfit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FLEXFIT</v>
      </c>
      <c r="H12" s="81" t="str">
        <f ca="1">LOWER(TRIM(_xlfn.XLOOKUP($A12,Строчный!$A:$A,Строчный!H:H,"ERR",0)))</f>
        <v>brown</v>
      </c>
      <c r="I12" s="81" t="str">
        <f ca="1">LOWER(TRIM(_xlfn.XLOOKUP($A12,Строчный!$A:$A,Строчный!I:I,"ERR",0)))</f>
        <v>коричневый</v>
      </c>
      <c r="J12" s="81" t="str">
        <f ca="1">SUBSTITUTE(LOWER(TRIM(_xlfn.XLOOKUP($A12,Строчный!$A:$A,Строчный!J:J,"ERR",0))),"подклад","Подклад")</f>
        <v>100% гипоаллергенный акрил</v>
      </c>
      <c r="K12" s="81" t="str">
        <f ca="1">LOWER(TRIM(_xlfn.XLOOKUP($A12,Строчный!$A:$A,Строчный!K:K,"ERR",0)))</f>
        <v>акриловые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Корея, Республика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PROPER(TRIM(_xlfn.XLOOKUP($A12,Строчный!$A:$A,Строчный!Q:Q,"ERR",0)))</f>
        <v/>
      </c>
      <c r="Q12" s="90">
        <f ca="1">VALUE(_xlfn.XLOOKUP($A12,Строчный!$A:$A,Строчный!N:N,"ERR",0))</f>
        <v>381.65</v>
      </c>
      <c r="R12" s="89" t="str">
        <f ca="1">_xlfn.XLOOKUP($G12,Фабрика!A:A,Фабрика!B:B,"ERR",0)</f>
        <v>YupoongInc; 174, Gurodong-ro, Guro-gu, 08285 Seoul, South Korea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8</v>
      </c>
      <c r="U12" s="14" t="s">
        <v>265</v>
      </c>
      <c r="V12" s="101" t="str">
        <f t="shared" ca="1" si="3"/>
        <v>Шапка FLEXFIT арт. 1501KC (коричневый)</v>
      </c>
      <c r="W12" s="100" t="str">
        <f t="shared" ca="1" si="4"/>
        <v>Шапка FLEXFIT арт. 1501KC (коричневый) {brown}</v>
      </c>
      <c r="X12" s="18" t="str">
        <f t="shared" ca="1" si="0"/>
        <v>коричневый</v>
      </c>
      <c r="Y12" s="18" t="str">
        <f t="shared" ca="1" si="1"/>
        <v>коричневый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коричневый</v>
      </c>
      <c r="AA12" s="73" t="str">
        <f ca="1"/>
        <v>94-017-14-00</v>
      </c>
      <c r="AB12" s="75" t="str">
        <f ca="1">VLOOKUP(C12,Группа!A:B,2,FALSE)</f>
        <v>Шапка</v>
      </c>
      <c r="AC12" s="97" t="str">
        <f ca="1">IFERROR(VLOOKUP(S12,Размеры!A:C,3,FALSE),"")</f>
        <v>ONE</v>
      </c>
      <c r="AD12" s="97" t="str">
        <f ca="1">VLOOKUP(I12,ЦветПолный!A:B,2,FALSE)</f>
        <v>14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0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94-017-13</v>
      </c>
      <c r="B13" s="107" t="str">
        <f ca="1">_xlfn.LET(_xlpm.CAPS,0,_xlpm.Style,TRIM(_xlfn.XLOOKUP($A13,Строчный!$A:$A,Строчный!B:B,"ERR",0)),IF(_xlpm.CAPS=0,_xlpm.Style,LOWER(_xlpm.Style)))</f>
        <v>1501KC</v>
      </c>
      <c r="C13" s="81" t="str">
        <f ca="1">TRIM(PROPER(_xlfn.XLOOKUP($A13,Строчный!$A:$A,Строчный!C:C,"ERR",0)))</f>
        <v>Шапки</v>
      </c>
      <c r="D13" s="81" t="str">
        <f ca="1">_xlfn.LET(_xlpm.DATA,TRIM(_xlfn.XLOOKUP($A13,Строчный!$A:$A,Строчный!D:D,"ERR",0)),UPPER(MID(_xlpm.DATA,1,1))&amp;LOWER(MID(_xlpm.DATA,2,LEN(_xlpm.DATA)-1)))</f>
        <v>Шапка вязаная</v>
      </c>
      <c r="E13" s="81" t="str">
        <f ca="1">PROPER(TRIM(_xlfn.XLOOKUP($A13,Строчный!$A:$A,Строчный!E:E,"ERR",0)))</f>
        <v>Flexfit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FLEXFIT</v>
      </c>
      <c r="H13" s="81" t="str">
        <f ca="1">LOWER(TRIM(_xlfn.XLOOKUP($A13,Строчный!$A:$A,Строчный!H:H,"ERR",0)))</f>
        <v>blaze orange</v>
      </c>
      <c r="I13" s="81" t="str">
        <f ca="1">LOWER(TRIM(_xlfn.XLOOKUP($A13,Строчный!$A:$A,Строчный!I:I,"ERR",0)))</f>
        <v>оранжевый</v>
      </c>
      <c r="J13" s="81" t="str">
        <f ca="1">SUBSTITUTE(LOWER(TRIM(_xlfn.XLOOKUP($A13,Строчный!$A:$A,Строчный!J:J,"ERR",0))),"подклад","Подклад")</f>
        <v>100% гипоаллергенный акрил</v>
      </c>
      <c r="K13" s="81" t="str">
        <f ca="1">LOWER(TRIM(_xlfn.XLOOKUP($A13,Строчный!$A:$A,Строчный!K:K,"ERR",0)))</f>
        <v>акриловые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Корея, Республика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PROPER(TRIM(_xlfn.XLOOKUP($A13,Строчный!$A:$A,Строчный!Q:Q,"ERR",0)))</f>
        <v/>
      </c>
      <c r="Q13" s="90">
        <f ca="1">VALUE(_xlfn.XLOOKUP($A13,Строчный!$A:$A,Строчный!N:N,"ERR",0))</f>
        <v>381.65000000000003</v>
      </c>
      <c r="R13" s="89" t="str">
        <f ca="1">_xlfn.XLOOKUP($G13,Фабрика!A:A,Фабрика!B:B,"ERR",0)</f>
        <v>YupoongInc; 174, Gurodong-ro, Guro-gu, 08285 Seoul, South Korea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6</v>
      </c>
      <c r="U13" s="14" t="s">
        <v>265</v>
      </c>
      <c r="V13" s="101" t="str">
        <f t="shared" ca="1" si="3"/>
        <v>Шапка FLEXFIT арт. 1501KC (оранжевый)</v>
      </c>
      <c r="W13" s="100" t="str">
        <f t="shared" ca="1" si="4"/>
        <v>Шапка FLEXFIT арт. 1501KC (оранжевый) {blaze orange}</v>
      </c>
      <c r="X13" s="18" t="str">
        <f t="shared" ca="1" si="0"/>
        <v>оранжевый</v>
      </c>
      <c r="Y13" s="18" t="str">
        <f t="shared" ca="1" si="1"/>
        <v>оранжевый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оранжевый</v>
      </c>
      <c r="AA13" s="73" t="str">
        <f ca="1"/>
        <v>94-017-13-00</v>
      </c>
      <c r="AB13" s="75" t="str">
        <f ca="1">VLOOKUP(C13,Группа!A:B,2,FALSE)</f>
        <v>Шапка</v>
      </c>
      <c r="AC13" s="97" t="str">
        <f ca="1">IFERROR(VLOOKUP(S13,Размеры!A:C,3,FALSE),"")</f>
        <v>ONE</v>
      </c>
      <c r="AD13" s="97" t="str">
        <f ca="1">VLOOKUP(I13,ЦветПолный!A:B,2,FALSE)</f>
        <v>13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0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94-017-12</v>
      </c>
      <c r="B14" s="107" t="str">
        <f ca="1">_xlfn.LET(_xlpm.CAPS,0,_xlpm.Style,TRIM(_xlfn.XLOOKUP($A14,Строчный!$A:$A,Строчный!B:B,"ERR",0)),IF(_xlpm.CAPS=0,_xlpm.Style,LOWER(_xlpm.Style)))</f>
        <v>1501KC</v>
      </c>
      <c r="C14" s="81" t="str">
        <f ca="1">TRIM(PROPER(_xlfn.XLOOKUP($A14,Строчный!$A:$A,Строчный!C:C,"ERR",0)))</f>
        <v>Шапки</v>
      </c>
      <c r="D14" s="81" t="str">
        <f ca="1">_xlfn.LET(_xlpm.DATA,TRIM(_xlfn.XLOOKUP($A14,Строчный!$A:$A,Строчный!D:D,"ERR",0)),UPPER(MID(_xlpm.DATA,1,1))&amp;LOWER(MID(_xlpm.DATA,2,LEN(_xlpm.DATA)-1)))</f>
        <v>Шапка вязаная</v>
      </c>
      <c r="E14" s="81" t="str">
        <f ca="1">PROPER(TRIM(_xlfn.XLOOKUP($A14,Строчный!$A:$A,Строчный!E:E,"ERR",0)))</f>
        <v>Flexfit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FLEXFIT</v>
      </c>
      <c r="H14" s="81" t="str">
        <f ca="1">LOWER(TRIM(_xlfn.XLOOKUP($A14,Строчный!$A:$A,Строчный!H:H,"ERR",0)))</f>
        <v>maroon</v>
      </c>
      <c r="I14" s="81" t="str">
        <f ca="1">LOWER(TRIM(_xlfn.XLOOKUP($A14,Строчный!$A:$A,Строчный!I:I,"ERR",0)))</f>
        <v>бордовый</v>
      </c>
      <c r="J14" s="81" t="str">
        <f ca="1">SUBSTITUTE(LOWER(TRIM(_xlfn.XLOOKUP($A14,Строчный!$A:$A,Строчный!J:J,"ERR",0))),"подклад","Подклад")</f>
        <v>100% гипоаллергенный акрил</v>
      </c>
      <c r="K14" s="81" t="str">
        <f ca="1">LOWER(TRIM(_xlfn.XLOOKUP($A14,Строчный!$A:$A,Строчный!K:K,"ERR",0)))</f>
        <v>акриловые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Корея, Республика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PROPER(TRIM(_xlfn.XLOOKUP($A14,Строчный!$A:$A,Строчный!Q:Q,"ERR",0)))</f>
        <v/>
      </c>
      <c r="Q14" s="90">
        <f ca="1">VALUE(_xlfn.XLOOKUP($A14,Строчный!$A:$A,Строчный!N:N,"ERR",0))</f>
        <v>381.65</v>
      </c>
      <c r="R14" s="89" t="str">
        <f ca="1">_xlfn.XLOOKUP($G14,Фабрика!A:A,Фабрика!B:B,"ERR",0)</f>
        <v>YupoongInc; 174, Gurodong-ro, Guro-gu, 08285 Seoul, South Korea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8</v>
      </c>
      <c r="U14" s="14" t="s">
        <v>265</v>
      </c>
      <c r="V14" s="101" t="str">
        <f t="shared" ca="1" si="3"/>
        <v>Шапка FLEXFIT арт. 1501KC (бордовый)</v>
      </c>
      <c r="W14" s="100" t="str">
        <f t="shared" ca="1" si="4"/>
        <v>Шапка FLEXFIT арт. 1501KC (бордовый) {maroon}</v>
      </c>
      <c r="X14" s="18" t="str">
        <f t="shared" ca="1" si="0"/>
        <v>бордовый</v>
      </c>
      <c r="Y14" s="18" t="str">
        <f t="shared" ca="1" si="1"/>
        <v>бордовый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бордовый</v>
      </c>
      <c r="AA14" s="73" t="str">
        <f ca="1"/>
        <v>94-017-12-00</v>
      </c>
      <c r="AB14" s="75" t="str">
        <f ca="1">VLOOKUP(C14,Группа!A:B,2,FALSE)</f>
        <v>Шапка</v>
      </c>
      <c r="AC14" s="97" t="str">
        <f ca="1">IFERROR(VLOOKUP(S14,Размеры!A:C,3,FALSE),"")</f>
        <v>ONE</v>
      </c>
      <c r="AD14" s="97" t="str">
        <f ca="1">VLOOKUP(I14,ЦветПолный!A:B,2,FALSE)</f>
        <v>12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0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94-017-11</v>
      </c>
      <c r="B15" s="107" t="str">
        <f ca="1">_xlfn.LET(_xlpm.CAPS,0,_xlpm.Style,TRIM(_xlfn.XLOOKUP($A15,Строчный!$A:$A,Строчный!B:B,"ERR",0)),IF(_xlpm.CAPS=0,_xlpm.Style,LOWER(_xlpm.Style)))</f>
        <v>1501KC</v>
      </c>
      <c r="C15" s="81" t="str">
        <f ca="1">TRIM(PROPER(_xlfn.XLOOKUP($A15,Строчный!$A:$A,Строчный!C:C,"ERR",0)))</f>
        <v>Шапки</v>
      </c>
      <c r="D15" s="81" t="str">
        <f ca="1">_xlfn.LET(_xlpm.DATA,TRIM(_xlfn.XLOOKUP($A15,Строчный!$A:$A,Строчный!D:D,"ERR",0)),UPPER(MID(_xlpm.DATA,1,1))&amp;LOWER(MID(_xlpm.DATA,2,LEN(_xlpm.DATA)-1)))</f>
        <v>Шапка вязаная</v>
      </c>
      <c r="E15" s="81" t="str">
        <f ca="1">PROPER(TRIM(_xlfn.XLOOKUP($A15,Строчный!$A:$A,Строчный!E:E,"ERR",0)))</f>
        <v>Flexfit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FLEXFIT</v>
      </c>
      <c r="H15" s="81" t="str">
        <f ca="1">LOWER(TRIM(_xlfn.XLOOKUP($A15,Строчный!$A:$A,Строчный!H:H,"ERR",0)))</f>
        <v>spruce</v>
      </c>
      <c r="I15" s="81" t="str">
        <f ca="1">LOWER(TRIM(_xlfn.XLOOKUP($A15,Строчный!$A:$A,Строчный!I:I,"ERR",0)))</f>
        <v>зеленый</v>
      </c>
      <c r="J15" s="81" t="str">
        <f ca="1">SUBSTITUTE(LOWER(TRIM(_xlfn.XLOOKUP($A15,Строчный!$A:$A,Строчный!J:J,"ERR",0))),"подклад","Подклад")</f>
        <v>100% гипоаллергенный акрил</v>
      </c>
      <c r="K15" s="81" t="str">
        <f ca="1">LOWER(TRIM(_xlfn.XLOOKUP($A15,Строчный!$A:$A,Строчный!K:K,"ERR",0)))</f>
        <v>акриловые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Корея, Республика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PROPER(TRIM(_xlfn.XLOOKUP($A15,Строчный!$A:$A,Строчный!Q:Q,"ERR",0)))</f>
        <v/>
      </c>
      <c r="Q15" s="90">
        <f ca="1">VALUE(_xlfn.XLOOKUP($A15,Строчный!$A:$A,Строчный!N:N,"ERR",0))</f>
        <v>381.65</v>
      </c>
      <c r="R15" s="89" t="str">
        <f ca="1">_xlfn.XLOOKUP($G15,Фабрика!A:A,Фабрика!B:B,"ERR",0)</f>
        <v>YupoongInc; 174, Gurodong-ro, Guro-gu, 08285 Seoul, South Korea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4</v>
      </c>
      <c r="U15" s="14" t="s">
        <v>265</v>
      </c>
      <c r="V15" s="101" t="str">
        <f t="shared" ca="1" si="3"/>
        <v>Шапка FLEXFIT арт. 1501KC (зеленый)</v>
      </c>
      <c r="W15" s="100" t="str">
        <f t="shared" ca="1" si="4"/>
        <v>Шапка FLEXFIT арт. 1501KC (зеленый) {spruce}</v>
      </c>
      <c r="X15" s="18" t="str">
        <f t="shared" ca="1" si="0"/>
        <v>зеленый</v>
      </c>
      <c r="Y15" s="18" t="str">
        <f t="shared" ca="1" si="1"/>
        <v>зеленый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зеленый</v>
      </c>
      <c r="AA15" s="73" t="str">
        <f ca="1"/>
        <v>94-017-11-00</v>
      </c>
      <c r="AB15" s="75" t="str">
        <f ca="1">VLOOKUP(C15,Группа!A:B,2,FALSE)</f>
        <v>Шапка</v>
      </c>
      <c r="AC15" s="97" t="str">
        <f ca="1">IFERROR(VLOOKUP(S15,Размеры!A:C,3,FALSE),"")</f>
        <v>ONE</v>
      </c>
      <c r="AD15" s="97" t="str">
        <f ca="1">VLOOKUP(I15,ЦветПолный!A:B,2,FALSE)</f>
        <v>11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0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94-017-06</v>
      </c>
      <c r="B16" s="107" t="str">
        <f ca="1">_xlfn.LET(_xlpm.CAPS,0,_xlpm.Style,TRIM(_xlfn.XLOOKUP($A16,Строчный!$A:$A,Строчный!B:B,"ERR",0)),IF(_xlpm.CAPS=0,_xlpm.Style,LOWER(_xlpm.Style)))</f>
        <v>1501KC</v>
      </c>
      <c r="C16" s="81" t="str">
        <f ca="1">TRIM(PROPER(_xlfn.XLOOKUP($A16,Строчный!$A:$A,Строчный!C:C,"ERR",0)))</f>
        <v>Шапки</v>
      </c>
      <c r="D16" s="81" t="str">
        <f ca="1">_xlfn.LET(_xlpm.DATA,TRIM(_xlfn.XLOOKUP($A16,Строчный!$A:$A,Строчный!D:D,"ERR",0)),UPPER(MID(_xlpm.DATA,1,1))&amp;LOWER(MID(_xlpm.DATA,2,LEN(_xlpm.DATA)-1)))</f>
        <v>Шапка вязаная</v>
      </c>
      <c r="E16" s="81" t="str">
        <f ca="1">PROPER(TRIM(_xlfn.XLOOKUP($A16,Строчный!$A:$A,Строчный!E:E,"ERR",0)))</f>
        <v>Flexfit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FLEXFIT</v>
      </c>
      <c r="H16" s="81" t="str">
        <f ca="1">LOWER(TRIM(_xlfn.XLOOKUP($A16,Строчный!$A:$A,Строчный!H:H,"ERR",0)))</f>
        <v>royal</v>
      </c>
      <c r="I16" s="81" t="str">
        <f ca="1">LOWER(TRIM(_xlfn.XLOOKUP($A16,Строчный!$A:$A,Строчный!I:I,"ERR",0)))</f>
        <v>синий</v>
      </c>
      <c r="J16" s="81" t="str">
        <f ca="1">SUBSTITUTE(LOWER(TRIM(_xlfn.XLOOKUP($A16,Строчный!$A:$A,Строчный!J:J,"ERR",0))),"подклад","Подклад")</f>
        <v>100% гипоаллергенный акрил</v>
      </c>
      <c r="K16" s="81" t="str">
        <f ca="1">LOWER(TRIM(_xlfn.XLOOKUP($A16,Строчный!$A:$A,Строчный!K:K,"ERR",0)))</f>
        <v>акриловые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Корея, Республика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PROPER(TRIM(_xlfn.XLOOKUP($A16,Строчный!$A:$A,Строчный!Q:Q,"ERR",0)))</f>
        <v/>
      </c>
      <c r="Q16" s="90">
        <f ca="1">VALUE(_xlfn.XLOOKUP($A16,Строчный!$A:$A,Строчный!N:N,"ERR",0))</f>
        <v>381.65</v>
      </c>
      <c r="R16" s="89" t="str">
        <f ca="1">_xlfn.XLOOKUP($G16,Фабрика!A:A,Фабрика!B:B,"ERR",0)</f>
        <v>YupoongInc; 174, Gurodong-ro, Guro-gu, 08285 Seoul, South Korea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4</v>
      </c>
      <c r="U16" s="14" t="s">
        <v>265</v>
      </c>
      <c r="V16" s="101" t="str">
        <f t="shared" ca="1" si="3"/>
        <v>Шапка FLEXFIT арт. 1501KC (синий)</v>
      </c>
      <c r="W16" s="100" t="str">
        <f t="shared" ca="1" si="4"/>
        <v>Шапка FLEXFIT арт. 1501KC (синий) {royal}</v>
      </c>
      <c r="X16" s="18" t="str">
        <f t="shared" ca="1" si="0"/>
        <v>синий</v>
      </c>
      <c r="Y16" s="18" t="str">
        <f t="shared" ca="1" si="1"/>
        <v>синий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синий</v>
      </c>
      <c r="AA16" s="73" t="str">
        <f ca="1"/>
        <v>94-017-06-00</v>
      </c>
      <c r="AB16" s="75" t="str">
        <f ca="1">VLOOKUP(C16,Группа!A:B,2,FALSE)</f>
        <v>Шапка</v>
      </c>
      <c r="AC16" s="97" t="str">
        <f ca="1">IFERROR(VLOOKUP(S16,Размеры!A:C,3,FALSE),"")</f>
        <v>ONE</v>
      </c>
      <c r="AD16" s="97" t="str">
        <f ca="1">VLOOKUP(I16,ЦветПолный!A:B,2,FALSE)</f>
        <v>06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0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94-017-05</v>
      </c>
      <c r="B17" s="107" t="str">
        <f ca="1">_xlfn.LET(_xlpm.CAPS,0,_xlpm.Style,TRIM(_xlfn.XLOOKUP($A17,Строчный!$A:$A,Строчный!B:B,"ERR",0)),IF(_xlpm.CAPS=0,_xlpm.Style,LOWER(_xlpm.Style)))</f>
        <v>1501KC</v>
      </c>
      <c r="C17" s="81" t="str">
        <f ca="1">TRIM(PROPER(_xlfn.XLOOKUP($A17,Строчный!$A:$A,Строчный!C:C,"ERR",0)))</f>
        <v>Шапки</v>
      </c>
      <c r="D17" s="81" t="str">
        <f ca="1">_xlfn.LET(_xlpm.DATA,TRIM(_xlfn.XLOOKUP($A17,Строчный!$A:$A,Строчный!D:D,"ERR",0)),UPPER(MID(_xlpm.DATA,1,1))&amp;LOWER(MID(_xlpm.DATA,2,LEN(_xlpm.DATA)-1)))</f>
        <v>Шапка вязаная</v>
      </c>
      <c r="E17" s="81" t="str">
        <f ca="1">PROPER(TRIM(_xlfn.XLOOKUP($A17,Строчный!$A:$A,Строчный!E:E,"ERR",0)))</f>
        <v>Flexfit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FLEXFIT</v>
      </c>
      <c r="H17" s="81" t="str">
        <f ca="1">LOWER(TRIM(_xlfn.XLOOKUP($A17,Строчный!$A:$A,Строчный!H:H,"ERR",0)))</f>
        <v>dark grey</v>
      </c>
      <c r="I17" s="81" t="str">
        <f ca="1">LOWER(TRIM(_xlfn.XLOOKUP($A17,Строчный!$A:$A,Строчный!I:I,"ERR",0)))</f>
        <v>темно-серый</v>
      </c>
      <c r="J17" s="81" t="str">
        <f ca="1">SUBSTITUTE(LOWER(TRIM(_xlfn.XLOOKUP($A17,Строчный!$A:$A,Строчный!J:J,"ERR",0))),"подклад","Подклад")</f>
        <v>100% гипоаллергенный акрил</v>
      </c>
      <c r="K17" s="81" t="str">
        <f ca="1">LOWER(TRIM(_xlfn.XLOOKUP($A17,Строчный!$A:$A,Строчный!K:K,"ERR",0)))</f>
        <v>акриловые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Корея, Республика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PROPER(TRIM(_xlfn.XLOOKUP($A17,Строчный!$A:$A,Строчный!Q:Q,"ERR",0)))</f>
        <v/>
      </c>
      <c r="Q17" s="90">
        <f ca="1">VALUE(_xlfn.XLOOKUP($A17,Строчный!$A:$A,Строчный!N:N,"ERR",0))</f>
        <v>381.65</v>
      </c>
      <c r="R17" s="89" t="str">
        <f ca="1">_xlfn.XLOOKUP($G17,Фабрика!A:A,Фабрика!B:B,"ERR",0)</f>
        <v>YupoongInc; 174, Gurodong-ro, Guro-gu, 08285 Seoul, South Korea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4</v>
      </c>
      <c r="U17" s="14" t="s">
        <v>265</v>
      </c>
      <c r="V17" s="101" t="str">
        <f t="shared" ca="1" si="3"/>
        <v>Шапка FLEXFIT арт. 1501KC (темно-серый)</v>
      </c>
      <c r="W17" s="100" t="str">
        <f t="shared" ca="1" si="4"/>
        <v>Шапка FLEXFIT арт. 1501KC (темно-серый) {dark grey}</v>
      </c>
      <c r="X17" s="18" t="str">
        <f t="shared" ca="1" si="0"/>
        <v>серый</v>
      </c>
      <c r="Y17" s="18" t="str">
        <f t="shared" ca="1" si="1"/>
        <v>серый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серый</v>
      </c>
      <c r="AA17" s="73" t="str">
        <f ca="1"/>
        <v>94-017-05-00</v>
      </c>
      <c r="AB17" s="75" t="str">
        <f ca="1">VLOOKUP(C17,Группа!A:B,2,FALSE)</f>
        <v>Шапка</v>
      </c>
      <c r="AC17" s="97" t="str">
        <f ca="1">IFERROR(VLOOKUP(S17,Размеры!A:C,3,FALSE),"")</f>
        <v>ONE</v>
      </c>
      <c r="AD17" s="97" t="str">
        <f ca="1">VLOOKUP(I17,ЦветПолный!A:B,2,FALSE)</f>
        <v>05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0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94-017-03</v>
      </c>
      <c r="B18" s="107" t="str">
        <f ca="1">_xlfn.LET(_xlpm.CAPS,0,_xlpm.Style,TRIM(_xlfn.XLOOKUP($A18,Строчный!$A:$A,Строчный!B:B,"ERR",0)),IF(_xlpm.CAPS=0,_xlpm.Style,LOWER(_xlpm.Style)))</f>
        <v>1501KC</v>
      </c>
      <c r="C18" s="81" t="str">
        <f ca="1">TRIM(PROPER(_xlfn.XLOOKUP($A18,Строчный!$A:$A,Строчный!C:C,"ERR",0)))</f>
        <v>Шапки</v>
      </c>
      <c r="D18" s="81" t="str">
        <f ca="1">_xlfn.LET(_xlpm.DATA,TRIM(_xlfn.XLOOKUP($A18,Строчный!$A:$A,Строчный!D:D,"ERR",0)),UPPER(MID(_xlpm.DATA,1,1))&amp;LOWER(MID(_xlpm.DATA,2,LEN(_xlpm.DATA)-1)))</f>
        <v>Шапка вязаная</v>
      </c>
      <c r="E18" s="81" t="str">
        <f ca="1">PROPER(TRIM(_xlfn.XLOOKUP($A18,Строчный!$A:$A,Строчный!E:E,"ERR",0)))</f>
        <v>Flexfit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FLEXFIT</v>
      </c>
      <c r="H18" s="81" t="str">
        <f ca="1">LOWER(TRIM(_xlfn.XLOOKUP($A18,Строчный!$A:$A,Строчный!H:H,"ERR",0)))</f>
        <v>olive</v>
      </c>
      <c r="I18" s="81" t="str">
        <f ca="1">LOWER(TRIM(_xlfn.XLOOKUP($A18,Строчный!$A:$A,Строчный!I:I,"ERR",0)))</f>
        <v>оливковый</v>
      </c>
      <c r="J18" s="81" t="str">
        <f ca="1">SUBSTITUTE(LOWER(TRIM(_xlfn.XLOOKUP($A18,Строчный!$A:$A,Строчный!J:J,"ERR",0))),"подклад","Подклад")</f>
        <v>100% гипоаллергенный акрил</v>
      </c>
      <c r="K18" s="81" t="str">
        <f ca="1">LOWER(TRIM(_xlfn.XLOOKUP($A18,Строчный!$A:$A,Строчный!K:K,"ERR",0)))</f>
        <v>акриловые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Корея, Республика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PROPER(TRIM(_xlfn.XLOOKUP($A18,Строчный!$A:$A,Строчный!Q:Q,"ERR",0)))</f>
        <v/>
      </c>
      <c r="Q18" s="90">
        <f ca="1">VALUE(_xlfn.XLOOKUP($A18,Строчный!$A:$A,Строчный!N:N,"ERR",0))</f>
        <v>381.65</v>
      </c>
      <c r="R18" s="89" t="str">
        <f ca="1">_xlfn.XLOOKUP($G18,Фабрика!A:A,Фабрика!B:B,"ERR",0)</f>
        <v>YupoongInc; 174, Gurodong-ro, Guro-gu, 08285 Seoul, South Korea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8</v>
      </c>
      <c r="U18" s="14" t="s">
        <v>265</v>
      </c>
      <c r="V18" s="101" t="str">
        <f t="shared" ca="1" si="3"/>
        <v>Шапка FLEXFIT арт. 1501KC (оливковый)</v>
      </c>
      <c r="W18" s="100" t="str">
        <f t="shared" ca="1" si="4"/>
        <v>Шапка FLEXFIT арт. 1501KC (оливковый) {olive}</v>
      </c>
      <c r="X18" s="18" t="str">
        <f t="shared" ca="1" si="0"/>
        <v>оливковый</v>
      </c>
      <c r="Y18" s="18" t="str">
        <f t="shared" ca="1" si="1"/>
        <v>оливковый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оливковый</v>
      </c>
      <c r="AA18" s="73" t="str">
        <f ca="1"/>
        <v>94-017-03-00</v>
      </c>
      <c r="AB18" s="75" t="str">
        <f ca="1">VLOOKUP(C18,Группа!A:B,2,FALSE)</f>
        <v>Шапка</v>
      </c>
      <c r="AC18" s="97" t="str">
        <f ca="1">IFERROR(VLOOKUP(S18,Размеры!A:C,3,FALSE),"")</f>
        <v>ONE</v>
      </c>
      <c r="AD18" s="97" t="str">
        <f ca="1">VLOOKUP(I18,ЦветПолный!A:B,2,FALSE)</f>
        <v>03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0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94-017-02</v>
      </c>
      <c r="B19" s="107" t="str">
        <f ca="1">_xlfn.LET(_xlpm.CAPS,0,_xlpm.Style,TRIM(_xlfn.XLOOKUP($A19,Строчный!$A:$A,Строчный!B:B,"ERR",0)),IF(_xlpm.CAPS=0,_xlpm.Style,LOWER(_xlpm.Style)))</f>
        <v>1501KC</v>
      </c>
      <c r="C19" s="81" t="str">
        <f ca="1">TRIM(PROPER(_xlfn.XLOOKUP($A19,Строчный!$A:$A,Строчный!C:C,"ERR",0)))</f>
        <v>Шапки</v>
      </c>
      <c r="D19" s="81" t="str">
        <f ca="1">_xlfn.LET(_xlpm.DATA,TRIM(_xlfn.XLOOKUP($A19,Строчный!$A:$A,Строчный!D:D,"ERR",0)),UPPER(MID(_xlpm.DATA,1,1))&amp;LOWER(MID(_xlpm.DATA,2,LEN(_xlpm.DATA)-1)))</f>
        <v>Шапка вязаная</v>
      </c>
      <c r="E19" s="81" t="str">
        <f ca="1">PROPER(TRIM(_xlfn.XLOOKUP($A19,Строчный!$A:$A,Строчный!E:E,"ERR",0)))</f>
        <v>Flexfit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FLEXFIT</v>
      </c>
      <c r="H19" s="81" t="str">
        <f ca="1">LOWER(TRIM(_xlfn.XLOOKUP($A19,Строчный!$A:$A,Строчный!H:H,"ERR",0)))</f>
        <v>sand</v>
      </c>
      <c r="I19" s="81" t="str">
        <f ca="1">LOWER(TRIM(_xlfn.XLOOKUP($A19,Строчный!$A:$A,Строчный!I:I,"ERR",0)))</f>
        <v>песочный</v>
      </c>
      <c r="J19" s="81" t="str">
        <f ca="1">SUBSTITUTE(LOWER(TRIM(_xlfn.XLOOKUP($A19,Строчный!$A:$A,Строчный!J:J,"ERR",0))),"подклад","Подклад")</f>
        <v>100% гипоаллергенный акрил</v>
      </c>
      <c r="K19" s="81" t="str">
        <f ca="1">LOWER(TRIM(_xlfn.XLOOKUP($A19,Строчный!$A:$A,Строчный!K:K,"ERR",0)))</f>
        <v>акриловые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Корея, Республика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PROPER(TRIM(_xlfn.XLOOKUP($A19,Строчный!$A:$A,Строчный!Q:Q,"ERR",0)))</f>
        <v/>
      </c>
      <c r="Q19" s="90">
        <f ca="1">VALUE(_xlfn.XLOOKUP($A19,Строчный!$A:$A,Строчный!N:N,"ERR",0))</f>
        <v>381.65</v>
      </c>
      <c r="R19" s="89" t="str">
        <f ca="1">_xlfn.XLOOKUP($G19,Фабрика!A:A,Фабрика!B:B,"ERR",0)</f>
        <v>YupoongInc; 174, Gurodong-ro, Guro-gu, 08285 Seoul, South Korea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4</v>
      </c>
      <c r="U19" s="14" t="s">
        <v>265</v>
      </c>
      <c r="V19" s="101" t="str">
        <f t="shared" ca="1" si="3"/>
        <v>Шапка FLEXFIT арт. 1501KC (песочный)</v>
      </c>
      <c r="W19" s="100" t="str">
        <f t="shared" ca="1" si="4"/>
        <v>Шапка FLEXFIT арт. 1501KC (песочный) {sand}</v>
      </c>
      <c r="X19" s="18" t="str">
        <f t="shared" ca="1" si="0"/>
        <v>песочный</v>
      </c>
      <c r="Y19" s="18" t="str">
        <f t="shared" ca="1" si="1"/>
        <v>песочный</v>
      </c>
      <c r="Z19" s="117" t="s">
        <v>52</v>
      </c>
      <c r="AA19" s="73" t="str">
        <f ca="1"/>
        <v>94-017-02-00</v>
      </c>
      <c r="AB19" s="75" t="str">
        <f ca="1">VLOOKUP(C19,Группа!A:B,2,FALSE)</f>
        <v>Шапка</v>
      </c>
      <c r="AC19" s="97" t="str">
        <f ca="1">IFERROR(VLOOKUP(S19,Размеры!A:C,3,FALSE),"")</f>
        <v>ONE</v>
      </c>
      <c r="AD19" s="97" t="str">
        <f ca="1">VLOOKUP(I19,ЦветПолный!A:B,2,FALSE)</f>
        <v>02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0</v>
      </c>
      <c r="AO19" s="97">
        <f ca="1">VLOOKUP(I19,ЦветПолный!A:C,3,0)</f>
        <v>1</v>
      </c>
      <c r="AP19" s="97">
        <f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94-017-01</v>
      </c>
      <c r="B20" s="107" t="str">
        <f ca="1">_xlfn.LET(_xlpm.CAPS,0,_xlpm.Style,TRIM(_xlfn.XLOOKUP($A20,Строчный!$A:$A,Строчный!B:B,"ERR",0)),IF(_xlpm.CAPS=0,_xlpm.Style,LOWER(_xlpm.Style)))</f>
        <v>1501KC</v>
      </c>
      <c r="C20" s="81" t="str">
        <f ca="1">TRIM(PROPER(_xlfn.XLOOKUP($A20,Строчный!$A:$A,Строчный!C:C,"ERR",0)))</f>
        <v>Шапки</v>
      </c>
      <c r="D20" s="81" t="str">
        <f ca="1">_xlfn.LET(_xlpm.DATA,TRIM(_xlfn.XLOOKUP($A20,Строчный!$A:$A,Строчный!D:D,"ERR",0)),UPPER(MID(_xlpm.DATA,1,1))&amp;LOWER(MID(_xlpm.DATA,2,LEN(_xlpm.DATA)-1)))</f>
        <v>Шапка вязаная</v>
      </c>
      <c r="E20" s="81" t="str">
        <f ca="1">PROPER(TRIM(_xlfn.XLOOKUP($A20,Строчный!$A:$A,Строчный!E:E,"ERR",0)))</f>
        <v>Flexfit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FLEXFIT</v>
      </c>
      <c r="H20" s="81" t="str">
        <f ca="1">LOWER(TRIM(_xlfn.XLOOKUP($A20,Строчный!$A:$A,Строчный!H:H,"ERR",0)))</f>
        <v>heather grey</v>
      </c>
      <c r="I20" s="81" t="str">
        <f ca="1">LOWER(TRIM(_xlfn.XLOOKUP($A20,Строчный!$A:$A,Строчный!I:I,"ERR",0)))</f>
        <v>светло-серый</v>
      </c>
      <c r="J20" s="81" t="str">
        <f ca="1">SUBSTITUTE(LOWER(TRIM(_xlfn.XLOOKUP($A20,Строчный!$A:$A,Строчный!J:J,"ERR",0))),"подклад","Подклад")</f>
        <v>100% гипоаллергенный акрил</v>
      </c>
      <c r="K20" s="81" t="str">
        <f ca="1">LOWER(TRIM(_xlfn.XLOOKUP($A20,Строчный!$A:$A,Строчный!K:K,"ERR",0)))</f>
        <v>акриловые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Корея, Республика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PROPER(TRIM(_xlfn.XLOOKUP($A20,Строчный!$A:$A,Строчный!Q:Q,"ERR",0)))</f>
        <v/>
      </c>
      <c r="Q20" s="90">
        <f ca="1">VALUE(_xlfn.XLOOKUP($A20,Строчный!$A:$A,Строчный!N:N,"ERR",0))</f>
        <v>381.65000000000003</v>
      </c>
      <c r="R20" s="89" t="str">
        <f ca="1">_xlfn.XLOOKUP($G20,Фабрика!A:A,Фабрика!B:B,"ERR",0)</f>
        <v>YupoongInc; 174, Gurodong-ro, Guro-gu, 08285 Seoul, South Korea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12</v>
      </c>
      <c r="U20" s="14" t="s">
        <v>265</v>
      </c>
      <c r="V20" s="101" t="str">
        <f t="shared" ca="1" si="3"/>
        <v>Шапка FLEXFIT арт. 1501KC (светло-серый)</v>
      </c>
      <c r="W20" s="100" t="str">
        <f t="shared" ca="1" si="4"/>
        <v>Шапка FLEXFIT арт. 1501KC (светло-серый) {heather grey}</v>
      </c>
      <c r="X20" s="18" t="str">
        <f t="shared" ca="1" si="0"/>
        <v>серый</v>
      </c>
      <c r="Y20" s="18" t="str">
        <f t="shared" ca="1" si="1"/>
        <v>серый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серый</v>
      </c>
      <c r="AA20" s="73" t="str">
        <f ca="1"/>
        <v>94-017-01-00</v>
      </c>
      <c r="AB20" s="75" t="str">
        <f ca="1">VLOOKUP(C20,Группа!A:B,2,FALSE)</f>
        <v>Шапка</v>
      </c>
      <c r="AC20" s="97" t="str">
        <f ca="1">IFERROR(VLOOKUP(S20,Размеры!A:C,3,FALSE),"")</f>
        <v>ONE</v>
      </c>
      <c r="AD20" s="97" t="str">
        <f ca="1">VLOOKUP(I20,ЦветПолный!A:B,2,FALSE)</f>
        <v>01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0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94-017-00</v>
      </c>
      <c r="B21" s="107" t="str">
        <f ca="1">_xlfn.LET(_xlpm.CAPS,0,_xlpm.Style,TRIM(_xlfn.XLOOKUP($A21,Строчный!$A:$A,Строчный!B:B,"ERR",0)),IF(_xlpm.CAPS=0,_xlpm.Style,LOWER(_xlpm.Style)))</f>
        <v>1501KC</v>
      </c>
      <c r="C21" s="81" t="str">
        <f ca="1">TRIM(PROPER(_xlfn.XLOOKUP($A21,Строчный!$A:$A,Строчный!C:C,"ERR",0)))</f>
        <v>Шапки</v>
      </c>
      <c r="D21" s="81" t="str">
        <f ca="1">_xlfn.LET(_xlpm.DATA,TRIM(_xlfn.XLOOKUP($A21,Строчный!$A:$A,Строчный!D:D,"ERR",0)),UPPER(MID(_xlpm.DATA,1,1))&amp;LOWER(MID(_xlpm.DATA,2,LEN(_xlpm.DATA)-1)))</f>
        <v>Шапка вязаная</v>
      </c>
      <c r="E21" s="81" t="str">
        <f ca="1">PROPER(TRIM(_xlfn.XLOOKUP($A21,Строчный!$A:$A,Строчный!E:E,"ERR",0)))</f>
        <v>Flexfit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FLEXFIT</v>
      </c>
      <c r="H21" s="81" t="str">
        <f ca="1">LOWER(TRIM(_xlfn.XLOOKUP($A21,Строчный!$A:$A,Строчный!H:H,"ERR",0)))</f>
        <v>gold</v>
      </c>
      <c r="I21" s="81" t="str">
        <f ca="1">LOWER(TRIM(_xlfn.XLOOKUP($A21,Строчный!$A:$A,Строчный!I:I,"ERR",0)))</f>
        <v>золотой</v>
      </c>
      <c r="J21" s="81" t="str">
        <f ca="1">SUBSTITUTE(LOWER(TRIM(_xlfn.XLOOKUP($A21,Строчный!$A:$A,Строчный!J:J,"ERR",0))),"подклад","Подклад")</f>
        <v>100% гипоаллергенный акрил</v>
      </c>
      <c r="K21" s="81" t="str">
        <f ca="1">LOWER(TRIM(_xlfn.XLOOKUP($A21,Строчный!$A:$A,Строчный!K:K,"ERR",0)))</f>
        <v>акриловые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Корея, Республика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PROPER(TRIM(_xlfn.XLOOKUP($A21,Строчный!$A:$A,Строчный!Q:Q,"ERR",0)))</f>
        <v/>
      </c>
      <c r="Q21" s="90">
        <f ca="1">VALUE(_xlfn.XLOOKUP($A21,Строчный!$A:$A,Строчный!N:N,"ERR",0))</f>
        <v>381.65000000000003</v>
      </c>
      <c r="R21" s="89" t="str">
        <f ca="1">_xlfn.XLOOKUP($G21,Фабрика!A:A,Фабрика!B:B,"ERR",0)</f>
        <v>YupoongInc; 174, Gurodong-ro, Guro-gu, 08285 Seoul, South Korea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6</v>
      </c>
      <c r="U21" s="14" t="s">
        <v>265</v>
      </c>
      <c r="V21" s="101" t="str">
        <f t="shared" ca="1" si="3"/>
        <v>Шапка FLEXFIT арт. 1501KC (золотой)</v>
      </c>
      <c r="W21" s="100" t="str">
        <f t="shared" ca="1" si="4"/>
        <v>Шапка FLEXFIT арт. 1501KC (золотой) {gold}</v>
      </c>
      <c r="X21" s="18" t="str">
        <f t="shared" ca="1" si="0"/>
        <v>золотой</v>
      </c>
      <c r="Y21" s="18" t="str">
        <f t="shared" ca="1" si="1"/>
        <v>золотой</v>
      </c>
      <c r="Z21" s="117" t="s">
        <v>25394</v>
      </c>
      <c r="AA21" s="73" t="str">
        <f ca="1"/>
        <v>94-017-00-00</v>
      </c>
      <c r="AB21" s="75" t="str">
        <f ca="1">VLOOKUP(C21,Группа!A:B,2,FALSE)</f>
        <v>Шапка</v>
      </c>
      <c r="AC21" s="97" t="str">
        <f ca="1">IFERROR(VLOOKUP(S21,Размеры!A:C,3,FALSE),"")</f>
        <v>ONE</v>
      </c>
      <c r="AD21" s="97" t="str">
        <f ca="1">VLOOKUP(I21,ЦветПолный!A:B,2,FALSE)</f>
        <v>00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0</v>
      </c>
      <c r="AO21" s="97">
        <f ca="1">VLOOKUP(I21,ЦветПолный!A:C,3,0)</f>
        <v>1</v>
      </c>
      <c r="AP21" s="97">
        <f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94-016-34</v>
      </c>
      <c r="B22" s="107" t="str">
        <f ca="1">_xlfn.LET(_xlpm.CAPS,0,_xlpm.Style,TRIM(_xlfn.XLOOKUP($A22,Строчный!$A:$A,Строчный!B:B,"ERR",0)),IF(_xlpm.CAPS=0,_xlpm.Style,LOWER(_xlpm.Style)))</f>
        <v>1500KC</v>
      </c>
      <c r="C22" s="81" t="str">
        <f ca="1">TRIM(PROPER(_xlfn.XLOOKUP($A22,Строчный!$A:$A,Строчный!C:C,"ERR",0)))</f>
        <v>Шапки</v>
      </c>
      <c r="D22" s="81" t="str">
        <f ca="1">_xlfn.LET(_xlpm.DATA,TRIM(_xlfn.XLOOKUP($A22,Строчный!$A:$A,Строчный!D:D,"ERR",0)),UPPER(MID(_xlpm.DATA,1,1))&amp;LOWER(MID(_xlpm.DATA,2,LEN(_xlpm.DATA)-1)))</f>
        <v>Шапка вязаная</v>
      </c>
      <c r="E22" s="81" t="str">
        <f ca="1">PROPER(TRIM(_xlfn.XLOOKUP($A22,Строчный!$A:$A,Строчный!E:E,"ERR",0)))</f>
        <v>Flexfit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FLEXFIT</v>
      </c>
      <c r="H22" s="81" t="str">
        <f ca="1">LOWER(TRIM(_xlfn.XLOOKUP($A22,Строчный!$A:$A,Строчный!H:H,"ERR",0)))</f>
        <v>baby pink</v>
      </c>
      <c r="I22" s="81" t="str">
        <f ca="1">LOWER(TRIM(_xlfn.XLOOKUP($A22,Строчный!$A:$A,Строчный!I:I,"ERR",0)))</f>
        <v>розовый</v>
      </c>
      <c r="J22" s="81" t="str">
        <f ca="1">SUBSTITUTE(LOWER(TRIM(_xlfn.XLOOKUP($A22,Строчный!$A:$A,Строчный!J:J,"ERR",0))),"подклад","Подклад")</f>
        <v>100% гипоаллергенный акрил</v>
      </c>
      <c r="K22" s="81" t="str">
        <f ca="1">LOWER(TRIM(_xlfn.XLOOKUP($A22,Строчный!$A:$A,Строчный!K:K,"ERR",0)))</f>
        <v>акриловые</v>
      </c>
      <c r="L22" s="81" t="str">
        <f ca="1">PROPER(TRIM(_xlfn.XLOOKUP($A22,Строчный!$A:$A,Строчный!L:L,"ERR",0)))</f>
        <v>Женский</v>
      </c>
      <c r="M22" s="113" t="str">
        <f ca="1">PROPER(TRIM(_xlfn.XLOOKUP($A22,Строчный!$A:$A,Строчный!M:M,"ERR",0)))</f>
        <v>Корея, Республика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PROPER(TRIM(_xlfn.XLOOKUP($A22,Строчный!$A:$A,Строчный!Q:Q,"ERR",0)))</f>
        <v/>
      </c>
      <c r="Q22" s="90">
        <f ca="1">VALUE(_xlfn.XLOOKUP($A22,Строчный!$A:$A,Строчный!N:N,"ERR",0))</f>
        <v>368.05</v>
      </c>
      <c r="R22" s="89" t="str">
        <f ca="1">_xlfn.XLOOKUP($G22,Фабрика!A:A,Фабрика!B:B,"ERR",0)</f>
        <v>YupoongInc; 174, Gurodong-ro, Guro-gu, 08285 Seoul, South Korea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4</v>
      </c>
      <c r="U22" s="14" t="s">
        <v>265</v>
      </c>
      <c r="V22" s="101" t="str">
        <f t="shared" ca="1" si="3"/>
        <v>Шапка FLEXFIT арт. 1500KC (розовый)</v>
      </c>
      <c r="W22" s="100" t="str">
        <f t="shared" ca="1" si="4"/>
        <v>Шапка FLEXFIT арт. 1500KC (розовый) {baby pink}</v>
      </c>
      <c r="X22" s="18" t="str">
        <f t="shared" ca="1" si="0"/>
        <v>розовый</v>
      </c>
      <c r="Y22" s="18" t="str">
        <f t="shared" ca="1" si="1"/>
        <v>розовый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розовый</v>
      </c>
      <c r="AA22" s="73" t="str">
        <f ca="1"/>
        <v>94-016-34-00</v>
      </c>
      <c r="AB22" s="75" t="str">
        <f ca="1">VLOOKUP(C22,Группа!A:B,2,FALSE)</f>
        <v>Шапка</v>
      </c>
      <c r="AC22" s="97" t="str">
        <f ca="1">IFERROR(VLOOKUP(S22,Размеры!A:C,3,FALSE),"")</f>
        <v>ONE</v>
      </c>
      <c r="AD22" s="97" t="str">
        <f ca="1">VLOOKUP(I22,ЦветПолный!A:B,2,FALSE)</f>
        <v>34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0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94-016-18</v>
      </c>
      <c r="B23" s="107" t="str">
        <f ca="1">_xlfn.LET(_xlpm.CAPS,0,_xlpm.Style,TRIM(_xlfn.XLOOKUP($A23,Строчный!$A:$A,Строчный!B:B,"ERR",0)),IF(_xlpm.CAPS=0,_xlpm.Style,LOWER(_xlpm.Style)))</f>
        <v>1500KC</v>
      </c>
      <c r="C23" s="81" t="str">
        <f ca="1">TRIM(PROPER(_xlfn.XLOOKUP($A23,Строчный!$A:$A,Строчный!C:C,"ERR",0)))</f>
        <v>Шапки</v>
      </c>
      <c r="D23" s="81" t="str">
        <f ca="1">_xlfn.LET(_xlpm.DATA,TRIM(_xlfn.XLOOKUP($A23,Строчный!$A:$A,Строчный!D:D,"ERR",0)),UPPER(MID(_xlpm.DATA,1,1))&amp;LOWER(MID(_xlpm.DATA,2,LEN(_xlpm.DATA)-1)))</f>
        <v>Шапка вязаная</v>
      </c>
      <c r="E23" s="81" t="str">
        <f ca="1">PROPER(TRIM(_xlfn.XLOOKUP($A23,Строчный!$A:$A,Строчный!E:E,"ERR",0)))</f>
        <v>Flexfit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FLEXFIT</v>
      </c>
      <c r="H23" s="81" t="str">
        <f ca="1">LOWER(TRIM(_xlfn.XLOOKUP($A23,Строчный!$A:$A,Строчный!H:H,"ERR",0)))</f>
        <v>red</v>
      </c>
      <c r="I23" s="81" t="str">
        <f ca="1">LOWER(TRIM(_xlfn.XLOOKUP($A23,Строчный!$A:$A,Строчный!I:I,"ERR",0)))</f>
        <v>красный</v>
      </c>
      <c r="J23" s="81" t="str">
        <f ca="1">SUBSTITUTE(LOWER(TRIM(_xlfn.XLOOKUP($A23,Строчный!$A:$A,Строчный!J:J,"ERR",0))),"подклад","Подклад")</f>
        <v>100% гипоаллергенный акрил</v>
      </c>
      <c r="K23" s="81" t="str">
        <f ca="1">LOWER(TRIM(_xlfn.XLOOKUP($A23,Строчный!$A:$A,Строчный!K:K,"ERR",0)))</f>
        <v>акриловые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Корея, Республика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PROPER(TRIM(_xlfn.XLOOKUP($A23,Строчный!$A:$A,Строчный!Q:Q,"ERR",0)))</f>
        <v/>
      </c>
      <c r="Q23" s="90">
        <f ca="1">VALUE(_xlfn.XLOOKUP($A23,Строчный!$A:$A,Строчный!N:N,"ERR",0))</f>
        <v>368.05</v>
      </c>
      <c r="R23" s="89" t="str">
        <f ca="1">_xlfn.XLOOKUP($G23,Фабрика!A:A,Фабрика!B:B,"ERR",0)</f>
        <v>YupoongInc; 174, Gurodong-ro, Guro-gu, 08285 Seoul, South Korea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4</v>
      </c>
      <c r="U23" s="14" t="s">
        <v>265</v>
      </c>
      <c r="V23" s="101" t="str">
        <f t="shared" ca="1" si="3"/>
        <v>Шапка FLEXFIT арт. 1500KC (красный)</v>
      </c>
      <c r="W23" s="100" t="str">
        <f t="shared" ca="1" si="4"/>
        <v>Шапка FLEXFIT арт. 1500KC (красный) {red}</v>
      </c>
      <c r="X23" s="18" t="str">
        <f t="shared" ca="1" si="0"/>
        <v>красный</v>
      </c>
      <c r="Y23" s="18" t="str">
        <f t="shared" ca="1" si="1"/>
        <v>красный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красный</v>
      </c>
      <c r="AA23" s="73" t="str">
        <f ca="1"/>
        <v>94-016-18-00</v>
      </c>
      <c r="AB23" s="75" t="str">
        <f ca="1">VLOOKUP(C23,Группа!A:B,2,FALSE)</f>
        <v>Шапка</v>
      </c>
      <c r="AC23" s="97" t="str">
        <f ca="1">IFERROR(VLOOKUP(S23,Размеры!A:C,3,FALSE),"")</f>
        <v>ONE</v>
      </c>
      <c r="AD23" s="97" t="str">
        <f ca="1">VLOOKUP(I23,ЦветПолный!A:B,2,FALSE)</f>
        <v>18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0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94-016-17</v>
      </c>
      <c r="B24" s="107" t="str">
        <f ca="1">_xlfn.LET(_xlpm.CAPS,0,_xlpm.Style,TRIM(_xlfn.XLOOKUP($A24,Строчный!$A:$A,Строчный!B:B,"ERR",0)),IF(_xlpm.CAPS=0,_xlpm.Style,LOWER(_xlpm.Style)))</f>
        <v>1500KC</v>
      </c>
      <c r="C24" s="81" t="str">
        <f ca="1">TRIM(PROPER(_xlfn.XLOOKUP($A24,Строчный!$A:$A,Строчный!C:C,"ERR",0)))</f>
        <v>Шапки</v>
      </c>
      <c r="D24" s="81" t="str">
        <f ca="1">_xlfn.LET(_xlpm.DATA,TRIM(_xlfn.XLOOKUP($A24,Строчный!$A:$A,Строчный!D:D,"ERR",0)),UPPER(MID(_xlpm.DATA,1,1))&amp;LOWER(MID(_xlpm.DATA,2,LEN(_xlpm.DATA)-1)))</f>
        <v>Шапка вязаная</v>
      </c>
      <c r="E24" s="81" t="str">
        <f ca="1">PROPER(TRIM(_xlfn.XLOOKUP($A24,Строчный!$A:$A,Строчный!E:E,"ERR",0)))</f>
        <v>Flexfit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FLEXFIT</v>
      </c>
      <c r="H24" s="81" t="str">
        <f ca="1">LOWER(TRIM(_xlfn.XLOOKUP($A24,Строчный!$A:$A,Строчный!H:H,"ERR",0)))</f>
        <v>white</v>
      </c>
      <c r="I24" s="81" t="str">
        <f ca="1">LOWER(TRIM(_xlfn.XLOOKUP($A24,Строчный!$A:$A,Строчный!I:I,"ERR",0)))</f>
        <v>белый</v>
      </c>
      <c r="J24" s="81" t="str">
        <f ca="1">SUBSTITUTE(LOWER(TRIM(_xlfn.XLOOKUP($A24,Строчный!$A:$A,Строчный!J:J,"ERR",0))),"подклад","Подклад")</f>
        <v>100% гипоаллергенный акрил</v>
      </c>
      <c r="K24" s="81" t="str">
        <f ca="1">LOWER(TRIM(_xlfn.XLOOKUP($A24,Строчный!$A:$A,Строчный!K:K,"ERR",0)))</f>
        <v>акриловые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Корея, Республика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PROPER(TRIM(_xlfn.XLOOKUP($A24,Строчный!$A:$A,Строчный!Q:Q,"ERR",0)))</f>
        <v/>
      </c>
      <c r="Q24" s="90">
        <f ca="1">VALUE(_xlfn.XLOOKUP($A24,Строчный!$A:$A,Строчный!N:N,"ERR",0))</f>
        <v>368.05</v>
      </c>
      <c r="R24" s="89" t="str">
        <f ca="1">_xlfn.XLOOKUP($G24,Фабрика!A:A,Фабрика!B:B,"ERR",0)</f>
        <v>YupoongInc; 174, Gurodong-ro, Guro-gu, 08285 Seoul, South Korea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3</v>
      </c>
      <c r="U24" s="14" t="s">
        <v>265</v>
      </c>
      <c r="V24" s="101" t="str">
        <f t="shared" ca="1" si="3"/>
        <v>Шапка FLEXFIT арт. 1500KC (белый)</v>
      </c>
      <c r="W24" s="100" t="str">
        <f t="shared" ca="1" si="4"/>
        <v>Шапка FLEXFIT арт. 1500KC (белый) {white}</v>
      </c>
      <c r="X24" s="18" t="str">
        <f t="shared" ca="1" si="0"/>
        <v>белый</v>
      </c>
      <c r="Y24" s="18" t="str">
        <f t="shared" ca="1" si="1"/>
        <v>белый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белый</v>
      </c>
      <c r="AA24" s="73" t="str">
        <f ca="1"/>
        <v>94-016-17-00</v>
      </c>
      <c r="AB24" s="75" t="str">
        <f ca="1">VLOOKUP(C24,Группа!A:B,2,FALSE)</f>
        <v>Шапка</v>
      </c>
      <c r="AC24" s="97" t="str">
        <f ca="1">IFERROR(VLOOKUP(S24,Размеры!A:C,3,FALSE),"")</f>
        <v>ONE</v>
      </c>
      <c r="AD24" s="97" t="str">
        <f ca="1">VLOOKUP(I24,ЦветПолный!A:B,2,FALSE)</f>
        <v>17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0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94-016-16</v>
      </c>
      <c r="B25" s="107" t="str">
        <f ca="1">_xlfn.LET(_xlpm.CAPS,0,_xlpm.Style,TRIM(_xlfn.XLOOKUP($A25,Строчный!$A:$A,Строчный!B:B,"ERR",0)),IF(_xlpm.CAPS=0,_xlpm.Style,LOWER(_xlpm.Style)))</f>
        <v>1500KC</v>
      </c>
      <c r="C25" s="81" t="str">
        <f ca="1">TRIM(PROPER(_xlfn.XLOOKUP($A25,Строчный!$A:$A,Строчный!C:C,"ERR",0)))</f>
        <v>Шапки</v>
      </c>
      <c r="D25" s="81" t="str">
        <f ca="1">_xlfn.LET(_xlpm.DATA,TRIM(_xlfn.XLOOKUP($A25,Строчный!$A:$A,Строчный!D:D,"ERR",0)),UPPER(MID(_xlpm.DATA,1,1))&amp;LOWER(MID(_xlpm.DATA,2,LEN(_xlpm.DATA)-1)))</f>
        <v>Шапка вязаная</v>
      </c>
      <c r="E25" s="81" t="str">
        <f ca="1">PROPER(TRIM(_xlfn.XLOOKUP($A25,Строчный!$A:$A,Строчный!E:E,"ERR",0)))</f>
        <v>Flexfit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FLEXFIT</v>
      </c>
      <c r="H25" s="81" t="str">
        <f ca="1">LOWER(TRIM(_xlfn.XLOOKUP($A25,Строчный!$A:$A,Строчный!H:H,"ERR",0)))</f>
        <v>navy</v>
      </c>
      <c r="I25" s="81" t="str">
        <f ca="1">LOWER(TRIM(_xlfn.XLOOKUP($A25,Строчный!$A:$A,Строчный!I:I,"ERR",0)))</f>
        <v>темно-синий</v>
      </c>
      <c r="J25" s="81" t="str">
        <f ca="1">SUBSTITUTE(LOWER(TRIM(_xlfn.XLOOKUP($A25,Строчный!$A:$A,Строчный!J:J,"ERR",0))),"подклад","Подклад")</f>
        <v>100% гипоаллергенный акрил</v>
      </c>
      <c r="K25" s="81" t="str">
        <f ca="1">LOWER(TRIM(_xlfn.XLOOKUP($A25,Строчный!$A:$A,Строчный!K:K,"ERR",0)))</f>
        <v>акриловые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Корея, Республика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PROPER(TRIM(_xlfn.XLOOKUP($A25,Строчный!$A:$A,Строчный!Q:Q,"ERR",0)))</f>
        <v/>
      </c>
      <c r="Q25" s="90">
        <f ca="1">VALUE(_xlfn.XLOOKUP($A25,Строчный!$A:$A,Строчный!N:N,"ERR",0))</f>
        <v>368.05</v>
      </c>
      <c r="R25" s="89" t="str">
        <f ca="1">_xlfn.XLOOKUP($G25,Фабрика!A:A,Фабрика!B:B,"ERR",0)</f>
        <v>YupoongInc; 174, Gurodong-ro, Guro-gu, 08285 Seoul, South Korea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6</v>
      </c>
      <c r="U25" s="14" t="s">
        <v>265</v>
      </c>
      <c r="V25" s="101" t="str">
        <f t="shared" ca="1" si="3"/>
        <v>Шапка FLEXFIT арт. 1500KC (темно-синий)</v>
      </c>
      <c r="W25" s="100" t="str">
        <f t="shared" ca="1" si="4"/>
        <v>Шапка FLEXFIT арт. 1500KC (темно-синий) {navy}</v>
      </c>
      <c r="X25" s="18" t="str">
        <f t="shared" ca="1" si="0"/>
        <v>синий</v>
      </c>
      <c r="Y25" s="18" t="str">
        <f t="shared" ca="1" si="1"/>
        <v>синий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синий</v>
      </c>
      <c r="AA25" s="73" t="str">
        <f ca="1"/>
        <v>94-016-16-00</v>
      </c>
      <c r="AB25" s="75" t="str">
        <f ca="1">VLOOKUP(C25,Группа!A:B,2,FALSE)</f>
        <v>Шапка</v>
      </c>
      <c r="AC25" s="97" t="str">
        <f ca="1">IFERROR(VLOOKUP(S25,Размеры!A:C,3,FALSE),"")</f>
        <v>ONE</v>
      </c>
      <c r="AD25" s="97" t="str">
        <f ca="1">VLOOKUP(I25,ЦветПолный!A:B,2,FALSE)</f>
        <v>16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0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94-016-14</v>
      </c>
      <c r="B26" s="107" t="str">
        <f ca="1">_xlfn.LET(_xlpm.CAPS,0,_xlpm.Style,TRIM(_xlfn.XLOOKUP($A26,Строчный!$A:$A,Строчный!B:B,"ERR",0)),IF(_xlpm.CAPS=0,_xlpm.Style,LOWER(_xlpm.Style)))</f>
        <v>1500KC</v>
      </c>
      <c r="C26" s="81" t="str">
        <f ca="1">TRIM(PROPER(_xlfn.XLOOKUP($A26,Строчный!$A:$A,Строчный!C:C,"ERR",0)))</f>
        <v>Шапки</v>
      </c>
      <c r="D26" s="81" t="str">
        <f ca="1">_xlfn.LET(_xlpm.DATA,TRIM(_xlfn.XLOOKUP($A26,Строчный!$A:$A,Строчный!D:D,"ERR",0)),UPPER(MID(_xlpm.DATA,1,1))&amp;LOWER(MID(_xlpm.DATA,2,LEN(_xlpm.DATA)-1)))</f>
        <v>Шапка вязаная</v>
      </c>
      <c r="E26" s="81" t="str">
        <f ca="1">PROPER(TRIM(_xlfn.XLOOKUP($A26,Строчный!$A:$A,Строчный!E:E,"ERR",0)))</f>
        <v>Flexfit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FLEXFIT</v>
      </c>
      <c r="H26" s="81" t="str">
        <f ca="1">LOWER(TRIM(_xlfn.XLOOKUP($A26,Строчный!$A:$A,Строчный!H:H,"ERR",0)))</f>
        <v>brown</v>
      </c>
      <c r="I26" s="81" t="str">
        <f ca="1">LOWER(TRIM(_xlfn.XLOOKUP($A26,Строчный!$A:$A,Строчный!I:I,"ERR",0)))</f>
        <v>коричневый</v>
      </c>
      <c r="J26" s="81" t="str">
        <f ca="1">SUBSTITUTE(LOWER(TRIM(_xlfn.XLOOKUP($A26,Строчный!$A:$A,Строчный!J:J,"ERR",0))),"подклад","Подклад")</f>
        <v>100% гипоаллергенный акрил</v>
      </c>
      <c r="K26" s="81" t="str">
        <f ca="1">LOWER(TRIM(_xlfn.XLOOKUP($A26,Строчный!$A:$A,Строчный!K:K,"ERR",0)))</f>
        <v>акриловые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Корея, Республика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PROPER(TRIM(_xlfn.XLOOKUP($A26,Строчный!$A:$A,Строчный!Q:Q,"ERR",0)))</f>
        <v/>
      </c>
      <c r="Q26" s="90">
        <f ca="1">VALUE(_xlfn.XLOOKUP($A26,Строчный!$A:$A,Строчный!N:N,"ERR",0))</f>
        <v>368.05</v>
      </c>
      <c r="R26" s="89" t="str">
        <f ca="1">_xlfn.XLOOKUP($G26,Фабрика!A:A,Фабрика!B:B,"ERR",0)</f>
        <v>YupoongInc; 174, Gurodong-ro, Guro-gu, 08285 Seoul, South Korea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5</v>
      </c>
      <c r="U26" s="14" t="s">
        <v>265</v>
      </c>
      <c r="V26" s="101" t="str">
        <f t="shared" ca="1" si="3"/>
        <v>Шапка FLEXFIT арт. 1500KC (коричневый)</v>
      </c>
      <c r="W26" s="100" t="str">
        <f t="shared" ca="1" si="4"/>
        <v>Шапка FLEXFIT арт. 1500KC (коричневый) {brown}</v>
      </c>
      <c r="X26" s="18" t="str">
        <f t="shared" ca="1" si="0"/>
        <v>коричневый</v>
      </c>
      <c r="Y26" s="18" t="str">
        <f t="shared" ca="1" si="1"/>
        <v>коричневый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коричневый</v>
      </c>
      <c r="AA26" s="73" t="str">
        <f ca="1"/>
        <v>94-016-14-00</v>
      </c>
      <c r="AB26" s="75" t="str">
        <f ca="1">VLOOKUP(C26,Группа!A:B,2,FALSE)</f>
        <v>Шапка</v>
      </c>
      <c r="AC26" s="97" t="str">
        <f ca="1">IFERROR(VLOOKUP(S26,Размеры!A:C,3,FALSE),"")</f>
        <v>ONE</v>
      </c>
      <c r="AD26" s="97" t="str">
        <f ca="1">VLOOKUP(I26,ЦветПолный!A:B,2,FALSE)</f>
        <v>14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0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94-016-12</v>
      </c>
      <c r="B27" s="107" t="str">
        <f ca="1">_xlfn.LET(_xlpm.CAPS,0,_xlpm.Style,TRIM(_xlfn.XLOOKUP($A27,Строчный!$A:$A,Строчный!B:B,"ERR",0)),IF(_xlpm.CAPS=0,_xlpm.Style,LOWER(_xlpm.Style)))</f>
        <v>1500KC</v>
      </c>
      <c r="C27" s="81" t="str">
        <f ca="1">TRIM(PROPER(_xlfn.XLOOKUP($A27,Строчный!$A:$A,Строчный!C:C,"ERR",0)))</f>
        <v>Шапки</v>
      </c>
      <c r="D27" s="81" t="str">
        <f ca="1">_xlfn.LET(_xlpm.DATA,TRIM(_xlfn.XLOOKUP($A27,Строчный!$A:$A,Строчный!D:D,"ERR",0)),UPPER(MID(_xlpm.DATA,1,1))&amp;LOWER(MID(_xlpm.DATA,2,LEN(_xlpm.DATA)-1)))</f>
        <v>Шапка вязаная</v>
      </c>
      <c r="E27" s="81" t="str">
        <f ca="1">PROPER(TRIM(_xlfn.XLOOKUP($A27,Строчный!$A:$A,Строчный!E:E,"ERR",0)))</f>
        <v>Flexfit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FLEXFIT</v>
      </c>
      <c r="H27" s="81" t="str">
        <f ca="1">LOWER(TRIM(_xlfn.XLOOKUP($A27,Строчный!$A:$A,Строчный!H:H,"ERR",0)))</f>
        <v>maroon</v>
      </c>
      <c r="I27" s="81" t="str">
        <f ca="1">LOWER(TRIM(_xlfn.XLOOKUP($A27,Строчный!$A:$A,Строчный!I:I,"ERR",0)))</f>
        <v>бордовый</v>
      </c>
      <c r="J27" s="81" t="str">
        <f ca="1">SUBSTITUTE(LOWER(TRIM(_xlfn.XLOOKUP($A27,Строчный!$A:$A,Строчный!J:J,"ERR",0))),"подклад","Подклад")</f>
        <v>100% гипоаллергенный акрил</v>
      </c>
      <c r="K27" s="81" t="str">
        <f ca="1">LOWER(TRIM(_xlfn.XLOOKUP($A27,Строчный!$A:$A,Строчный!K:K,"ERR",0)))</f>
        <v>акриловые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Корея, Республика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PROPER(TRIM(_xlfn.XLOOKUP($A27,Строчный!$A:$A,Строчный!Q:Q,"ERR",0)))</f>
        <v/>
      </c>
      <c r="Q27" s="90">
        <f ca="1">VALUE(_xlfn.XLOOKUP($A27,Строчный!$A:$A,Строчный!N:N,"ERR",0))</f>
        <v>368.05</v>
      </c>
      <c r="R27" s="89" t="str">
        <f ca="1">_xlfn.XLOOKUP($G27,Фабрика!A:A,Фабрика!B:B,"ERR",0)</f>
        <v>YupoongInc; 174, Gurodong-ro, Guro-gu, 08285 Seoul, South Korea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5</v>
      </c>
      <c r="U27" s="14" t="s">
        <v>265</v>
      </c>
      <c r="V27" s="101" t="str">
        <f t="shared" ca="1" si="3"/>
        <v>Шапка FLEXFIT арт. 1500KC (бордовый)</v>
      </c>
      <c r="W27" s="100" t="str">
        <f t="shared" ca="1" si="4"/>
        <v>Шапка FLEXFIT арт. 1500KC (бордовый) {maroon}</v>
      </c>
      <c r="X27" s="18" t="str">
        <f t="shared" ca="1" si="0"/>
        <v>бордовый</v>
      </c>
      <c r="Y27" s="18" t="str">
        <f t="shared" ca="1" si="1"/>
        <v>бордовый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бордовый</v>
      </c>
      <c r="AA27" s="73" t="str">
        <f ca="1"/>
        <v>94-016-12-00</v>
      </c>
      <c r="AB27" s="75" t="str">
        <f ca="1">VLOOKUP(C27,Группа!A:B,2,FALSE)</f>
        <v>Шапка</v>
      </c>
      <c r="AC27" s="97" t="str">
        <f ca="1">IFERROR(VLOOKUP(S27,Размеры!A:C,3,FALSE),"")</f>
        <v>ONE</v>
      </c>
      <c r="AD27" s="97" t="str">
        <f ca="1">VLOOKUP(I27,ЦветПолный!A:B,2,FALSE)</f>
        <v>12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0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94-016-09</v>
      </c>
      <c r="B28" s="107" t="str">
        <f ca="1">_xlfn.LET(_xlpm.CAPS,0,_xlpm.Style,TRIM(_xlfn.XLOOKUP($A28,Строчный!$A:$A,Строчный!B:B,"ERR",0)),IF(_xlpm.CAPS=0,_xlpm.Style,LOWER(_xlpm.Style)))</f>
        <v>1500KC</v>
      </c>
      <c r="C28" s="81" t="str">
        <f ca="1">TRIM(PROPER(_xlfn.XLOOKUP($A28,Строчный!$A:$A,Строчный!C:C,"ERR",0)))</f>
        <v>Шапки</v>
      </c>
      <c r="D28" s="81" t="str">
        <f ca="1">_xlfn.LET(_xlpm.DATA,TRIM(_xlfn.XLOOKUP($A28,Строчный!$A:$A,Строчный!D:D,"ERR",0)),UPPER(MID(_xlpm.DATA,1,1))&amp;LOWER(MID(_xlpm.DATA,2,LEN(_xlpm.DATA)-1)))</f>
        <v>Шапка вязаная</v>
      </c>
      <c r="E28" s="81" t="str">
        <f ca="1">PROPER(TRIM(_xlfn.XLOOKUP($A28,Строчный!$A:$A,Строчный!E:E,"ERR",0)))</f>
        <v>Flexfit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FLEXFIT</v>
      </c>
      <c r="H28" s="81" t="str">
        <f ca="1">LOWER(TRIM(_xlfn.XLOOKUP($A28,Строчный!$A:$A,Строчный!H:H,"ERR",0)))</f>
        <v>black</v>
      </c>
      <c r="I28" s="81" t="str">
        <f ca="1">LOWER(TRIM(_xlfn.XLOOKUP($A28,Строчный!$A:$A,Строчный!I:I,"ERR",0)))</f>
        <v>черный</v>
      </c>
      <c r="J28" s="81" t="str">
        <f ca="1">SUBSTITUTE(LOWER(TRIM(_xlfn.XLOOKUP($A28,Строчный!$A:$A,Строчный!J:J,"ERR",0))),"подклад","Подклад")</f>
        <v>100% гипоаллергенный акрил</v>
      </c>
      <c r="K28" s="81" t="str">
        <f ca="1">LOWER(TRIM(_xlfn.XLOOKUP($A28,Строчный!$A:$A,Строчный!K:K,"ERR",0)))</f>
        <v>акриловые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Корея, Республика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PROPER(TRIM(_xlfn.XLOOKUP($A28,Строчный!$A:$A,Строчный!Q:Q,"ERR",0)))</f>
        <v/>
      </c>
      <c r="Q28" s="90">
        <f ca="1">VALUE(_xlfn.XLOOKUP($A28,Строчный!$A:$A,Строчный!N:N,"ERR",0))</f>
        <v>368.05</v>
      </c>
      <c r="R28" s="89" t="str">
        <f ca="1">_xlfn.XLOOKUP($G28,Фабрика!A:A,Фабрика!B:B,"ERR",0)</f>
        <v>YupoongInc; 174, Gurodong-ro, Guro-gu, 08285 Seoul, South Korea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16</v>
      </c>
      <c r="U28" s="14" t="s">
        <v>265</v>
      </c>
      <c r="V28" s="101" t="str">
        <f t="shared" ca="1" si="3"/>
        <v>Шапка FLEXFIT арт. 1500KC (черный)</v>
      </c>
      <c r="W28" s="100" t="str">
        <f t="shared" ca="1" si="4"/>
        <v>Шапка FLEXFIT арт. 1500KC (черный) {black}</v>
      </c>
      <c r="X28" s="18" t="str">
        <f t="shared" ca="1" si="0"/>
        <v>черный</v>
      </c>
      <c r="Y28" s="18" t="str">
        <f t="shared" ca="1" si="1"/>
        <v>черный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черный</v>
      </c>
      <c r="AA28" s="73" t="str">
        <f ca="1"/>
        <v>94-016-09-00</v>
      </c>
      <c r="AB28" s="75" t="str">
        <f ca="1">VLOOKUP(C28,Группа!A:B,2,FALSE)</f>
        <v>Шапка</v>
      </c>
      <c r="AC28" s="97" t="str">
        <f ca="1">IFERROR(VLOOKUP(S28,Размеры!A:C,3,FALSE),"")</f>
        <v>ONE</v>
      </c>
      <c r="AD28" s="97" t="str">
        <f ca="1">VLOOKUP(I28,ЦветПолный!A:B,2,FALSE)</f>
        <v>09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0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94-016-06</v>
      </c>
      <c r="B29" s="107" t="str">
        <f ca="1">_xlfn.LET(_xlpm.CAPS,0,_xlpm.Style,TRIM(_xlfn.XLOOKUP($A29,Строчный!$A:$A,Строчный!B:B,"ERR",0)),IF(_xlpm.CAPS=0,_xlpm.Style,LOWER(_xlpm.Style)))</f>
        <v>1500KC</v>
      </c>
      <c r="C29" s="81" t="str">
        <f ca="1">TRIM(PROPER(_xlfn.XLOOKUP($A29,Строчный!$A:$A,Строчный!C:C,"ERR",0)))</f>
        <v>Шапки</v>
      </c>
      <c r="D29" s="81" t="str">
        <f ca="1">_xlfn.LET(_xlpm.DATA,TRIM(_xlfn.XLOOKUP($A29,Строчный!$A:$A,Строчный!D:D,"ERR",0)),UPPER(MID(_xlpm.DATA,1,1))&amp;LOWER(MID(_xlpm.DATA,2,LEN(_xlpm.DATA)-1)))</f>
        <v>Шапка вязаная</v>
      </c>
      <c r="E29" s="81" t="str">
        <f ca="1">PROPER(TRIM(_xlfn.XLOOKUP($A29,Строчный!$A:$A,Строчный!E:E,"ERR",0)))</f>
        <v>Flexfit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FLEXFIT</v>
      </c>
      <c r="H29" s="81" t="str">
        <f ca="1">LOWER(TRIM(_xlfn.XLOOKUP($A29,Строчный!$A:$A,Строчный!H:H,"ERR",0)))</f>
        <v>royal</v>
      </c>
      <c r="I29" s="81" t="str">
        <f ca="1">LOWER(TRIM(_xlfn.XLOOKUP($A29,Строчный!$A:$A,Строчный!I:I,"ERR",0)))</f>
        <v>синий</v>
      </c>
      <c r="J29" s="81" t="str">
        <f ca="1">SUBSTITUTE(LOWER(TRIM(_xlfn.XLOOKUP($A29,Строчный!$A:$A,Строчный!J:J,"ERR",0))),"подклад","Подклад")</f>
        <v>100% гипоаллергенный акрил</v>
      </c>
      <c r="K29" s="81" t="str">
        <f ca="1">LOWER(TRIM(_xlfn.XLOOKUP($A29,Строчный!$A:$A,Строчный!K:K,"ERR",0)))</f>
        <v>акриловые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Корея, Республика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PROPER(TRIM(_xlfn.XLOOKUP($A29,Строчный!$A:$A,Строчный!Q:Q,"ERR",0)))</f>
        <v/>
      </c>
      <c r="Q29" s="90">
        <f ca="1">VALUE(_xlfn.XLOOKUP($A29,Строчный!$A:$A,Строчный!N:N,"ERR",0))</f>
        <v>368.05</v>
      </c>
      <c r="R29" s="89" t="str">
        <f ca="1">_xlfn.XLOOKUP($G29,Фабрика!A:A,Фабрика!B:B,"ERR",0)</f>
        <v>YupoongInc; 174, Gurodong-ro, Guro-gu, 08285 Seoul, South Korea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4</v>
      </c>
      <c r="U29" s="14" t="s">
        <v>265</v>
      </c>
      <c r="V29" s="101" t="str">
        <f t="shared" ca="1" si="3"/>
        <v>Шапка FLEXFIT арт. 1500KC (синий)</v>
      </c>
      <c r="W29" s="100" t="str">
        <f t="shared" ca="1" si="4"/>
        <v>Шапка FLEXFIT арт. 1500KC (синий) {royal}</v>
      </c>
      <c r="X29" s="18" t="str">
        <f t="shared" ca="1" si="0"/>
        <v>синий</v>
      </c>
      <c r="Y29" s="18" t="str">
        <f t="shared" ca="1" si="1"/>
        <v>синий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синий</v>
      </c>
      <c r="AA29" s="73" t="str">
        <f ca="1"/>
        <v>94-016-06-00</v>
      </c>
      <c r="AB29" s="75" t="str">
        <f ca="1">VLOOKUP(C29,Группа!A:B,2,FALSE)</f>
        <v>Шапка</v>
      </c>
      <c r="AC29" s="97" t="str">
        <f ca="1">IFERROR(VLOOKUP(S29,Размеры!A:C,3,FALSE),"")</f>
        <v>ONE</v>
      </c>
      <c r="AD29" s="97" t="str">
        <f ca="1">VLOOKUP(I29,ЦветПолный!A:B,2,FALSE)</f>
        <v>06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0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94-016-05</v>
      </c>
      <c r="B30" s="107" t="str">
        <f ca="1">_xlfn.LET(_xlpm.CAPS,0,_xlpm.Style,TRIM(_xlfn.XLOOKUP($A30,Строчный!$A:$A,Строчный!B:B,"ERR",0)),IF(_xlpm.CAPS=0,_xlpm.Style,LOWER(_xlpm.Style)))</f>
        <v>1500KC</v>
      </c>
      <c r="C30" s="81" t="str">
        <f ca="1">TRIM(PROPER(_xlfn.XLOOKUP($A30,Строчный!$A:$A,Строчный!C:C,"ERR",0)))</f>
        <v>Шапки</v>
      </c>
      <c r="D30" s="81" t="str">
        <f ca="1">_xlfn.LET(_xlpm.DATA,TRIM(_xlfn.XLOOKUP($A30,Строчный!$A:$A,Строчный!D:D,"ERR",0)),UPPER(MID(_xlpm.DATA,1,1))&amp;LOWER(MID(_xlpm.DATA,2,LEN(_xlpm.DATA)-1)))</f>
        <v>Шапка вязаная</v>
      </c>
      <c r="E30" s="81" t="str">
        <f ca="1">PROPER(TRIM(_xlfn.XLOOKUP($A30,Строчный!$A:$A,Строчный!E:E,"ERR",0)))</f>
        <v>Flexfit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FLEXFIT</v>
      </c>
      <c r="H30" s="81" t="str">
        <f ca="1">LOWER(TRIM(_xlfn.XLOOKUP($A30,Строчный!$A:$A,Строчный!H:H,"ERR",0)))</f>
        <v>dark grey</v>
      </c>
      <c r="I30" s="81" t="str">
        <f ca="1">LOWER(TRIM(_xlfn.XLOOKUP($A30,Строчный!$A:$A,Строчный!I:I,"ERR",0)))</f>
        <v>темно-серый</v>
      </c>
      <c r="J30" s="81" t="str">
        <f ca="1">SUBSTITUTE(LOWER(TRIM(_xlfn.XLOOKUP($A30,Строчный!$A:$A,Строчный!J:J,"ERR",0))),"подклад","Подклад")</f>
        <v>100% гипоаллергенный акрил</v>
      </c>
      <c r="K30" s="81" t="str">
        <f ca="1">LOWER(TRIM(_xlfn.XLOOKUP($A30,Строчный!$A:$A,Строчный!K:K,"ERR",0)))</f>
        <v>акриловые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Корея, Республика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PROPER(TRIM(_xlfn.XLOOKUP($A30,Строчный!$A:$A,Строчный!Q:Q,"ERR",0)))</f>
        <v/>
      </c>
      <c r="Q30" s="90">
        <f ca="1">VALUE(_xlfn.XLOOKUP($A30,Строчный!$A:$A,Строчный!N:N,"ERR",0))</f>
        <v>368.05</v>
      </c>
      <c r="R30" s="89" t="str">
        <f ca="1">_xlfn.XLOOKUP($G30,Фабрика!A:A,Фабрика!B:B,"ERR",0)</f>
        <v>YupoongInc; 174, Gurodong-ro, Guro-gu, 08285 Seoul, South Korea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4</v>
      </c>
      <c r="U30" s="14" t="s">
        <v>265</v>
      </c>
      <c r="V30" s="101" t="str">
        <f t="shared" ca="1" si="3"/>
        <v>Шапка FLEXFIT арт. 1500KC (темно-серый)</v>
      </c>
      <c r="W30" s="100" t="str">
        <f t="shared" ca="1" si="4"/>
        <v>Шапка FLEXFIT арт. 1500KC (темно-серый) {dark grey}</v>
      </c>
      <c r="X30" s="18" t="str">
        <f t="shared" ca="1" si="0"/>
        <v>серый</v>
      </c>
      <c r="Y30" s="18" t="str">
        <f t="shared" ca="1" si="1"/>
        <v>серый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серый</v>
      </c>
      <c r="AA30" s="73" t="str">
        <f ca="1"/>
        <v>94-016-05-00</v>
      </c>
      <c r="AB30" s="75" t="str">
        <f ca="1">VLOOKUP(C30,Группа!A:B,2,FALSE)</f>
        <v>Шапка</v>
      </c>
      <c r="AC30" s="97" t="str">
        <f ca="1">IFERROR(VLOOKUP(S30,Размеры!A:C,3,FALSE),"")</f>
        <v>ONE</v>
      </c>
      <c r="AD30" s="97" t="str">
        <f ca="1">VLOOKUP(I30,ЦветПолный!A:B,2,FALSE)</f>
        <v>05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0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94-016-03</v>
      </c>
      <c r="B31" s="107" t="str">
        <f ca="1">_xlfn.LET(_xlpm.CAPS,0,_xlpm.Style,TRIM(_xlfn.XLOOKUP($A31,Строчный!$A:$A,Строчный!B:B,"ERR",0)),IF(_xlpm.CAPS=0,_xlpm.Style,LOWER(_xlpm.Style)))</f>
        <v>1500KC</v>
      </c>
      <c r="C31" s="81" t="str">
        <f ca="1">TRIM(PROPER(_xlfn.XLOOKUP($A31,Строчный!$A:$A,Строчный!C:C,"ERR",0)))</f>
        <v>Шапки</v>
      </c>
      <c r="D31" s="81" t="str">
        <f ca="1">_xlfn.LET(_xlpm.DATA,TRIM(_xlfn.XLOOKUP($A31,Строчный!$A:$A,Строчный!D:D,"ERR",0)),UPPER(MID(_xlpm.DATA,1,1))&amp;LOWER(MID(_xlpm.DATA,2,LEN(_xlpm.DATA)-1)))</f>
        <v>Шапка вязаная</v>
      </c>
      <c r="E31" s="81" t="str">
        <f ca="1">PROPER(TRIM(_xlfn.XLOOKUP($A31,Строчный!$A:$A,Строчный!E:E,"ERR",0)))</f>
        <v>Flexfit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FLEXFIT</v>
      </c>
      <c r="H31" s="81" t="str">
        <f ca="1">LOWER(TRIM(_xlfn.XLOOKUP($A31,Строчный!$A:$A,Строчный!H:H,"ERR",0)))</f>
        <v>olive</v>
      </c>
      <c r="I31" s="81" t="str">
        <f ca="1">LOWER(TRIM(_xlfn.XLOOKUP($A31,Строчный!$A:$A,Строчный!I:I,"ERR",0)))</f>
        <v>оливковый</v>
      </c>
      <c r="J31" s="81" t="str">
        <f ca="1">SUBSTITUTE(LOWER(TRIM(_xlfn.XLOOKUP($A31,Строчный!$A:$A,Строчный!J:J,"ERR",0))),"подклад","Подклад")</f>
        <v>100% гипоаллергенный акрил</v>
      </c>
      <c r="K31" s="81" t="str">
        <f ca="1">LOWER(TRIM(_xlfn.XLOOKUP($A31,Строчный!$A:$A,Строчный!K:K,"ERR",0)))</f>
        <v>акриловые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Корея, Республика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PROPER(TRIM(_xlfn.XLOOKUP($A31,Строчный!$A:$A,Строчный!Q:Q,"ERR",0)))</f>
        <v/>
      </c>
      <c r="Q31" s="90">
        <f ca="1">VALUE(_xlfn.XLOOKUP($A31,Строчный!$A:$A,Строчный!N:N,"ERR",0))</f>
        <v>368.05</v>
      </c>
      <c r="R31" s="89" t="str">
        <f ca="1">_xlfn.XLOOKUP($G31,Фабрика!A:A,Фабрика!B:B,"ERR",0)</f>
        <v>YupoongInc; 174, Gurodong-ro, Guro-gu, 08285 Seoul, South Korea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5</v>
      </c>
      <c r="U31" s="14" t="s">
        <v>265</v>
      </c>
      <c r="V31" s="101" t="str">
        <f t="shared" ca="1" si="3"/>
        <v>Шапка FLEXFIT арт. 1500KC (оливковый)</v>
      </c>
      <c r="W31" s="100" t="str">
        <f t="shared" ca="1" si="4"/>
        <v>Шапка FLEXFIT арт. 1500KC (оливковый) {olive}</v>
      </c>
      <c r="X31" s="18" t="str">
        <f t="shared" ca="1" si="0"/>
        <v>оливковый</v>
      </c>
      <c r="Y31" s="18" t="str">
        <f t="shared" ca="1" si="1"/>
        <v>оливковый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оливковый</v>
      </c>
      <c r="AA31" s="73" t="str">
        <f ca="1"/>
        <v>94-016-03-00</v>
      </c>
      <c r="AB31" s="75" t="str">
        <f ca="1">VLOOKUP(C31,Группа!A:B,2,FALSE)</f>
        <v>Шапка</v>
      </c>
      <c r="AC31" s="97" t="str">
        <f ca="1">IFERROR(VLOOKUP(S31,Размеры!A:C,3,FALSE),"")</f>
        <v>ONE</v>
      </c>
      <c r="AD31" s="97" t="str">
        <f ca="1">VLOOKUP(I31,ЦветПолный!A:B,2,FALSE)</f>
        <v>03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0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94-016-01</v>
      </c>
      <c r="B32" s="107" t="str">
        <f ca="1">_xlfn.LET(_xlpm.CAPS,0,_xlpm.Style,TRIM(_xlfn.XLOOKUP($A32,Строчный!$A:$A,Строчный!B:B,"ERR",0)),IF(_xlpm.CAPS=0,_xlpm.Style,LOWER(_xlpm.Style)))</f>
        <v>1500KC</v>
      </c>
      <c r="C32" s="81" t="str">
        <f ca="1">TRIM(PROPER(_xlfn.XLOOKUP($A32,Строчный!$A:$A,Строчный!C:C,"ERR",0)))</f>
        <v>Шапки</v>
      </c>
      <c r="D32" s="81" t="str">
        <f ca="1">_xlfn.LET(_xlpm.DATA,TRIM(_xlfn.XLOOKUP($A32,Строчный!$A:$A,Строчный!D:D,"ERR",0)),UPPER(MID(_xlpm.DATA,1,1))&amp;LOWER(MID(_xlpm.DATA,2,LEN(_xlpm.DATA)-1)))</f>
        <v>Шапка вязаная</v>
      </c>
      <c r="E32" s="81" t="str">
        <f ca="1">PROPER(TRIM(_xlfn.XLOOKUP($A32,Строчный!$A:$A,Строчный!E:E,"ERR",0)))</f>
        <v>Flexfit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FLEXFIT</v>
      </c>
      <c r="H32" s="81" t="str">
        <f ca="1">LOWER(TRIM(_xlfn.XLOOKUP($A32,Строчный!$A:$A,Строчный!H:H,"ERR",0)))</f>
        <v>heather grey</v>
      </c>
      <c r="I32" s="81" t="str">
        <f ca="1">LOWER(TRIM(_xlfn.XLOOKUP($A32,Строчный!$A:$A,Строчный!I:I,"ERR",0)))</f>
        <v>светло-серый</v>
      </c>
      <c r="J32" s="81" t="str">
        <f ca="1">SUBSTITUTE(LOWER(TRIM(_xlfn.XLOOKUP($A32,Строчный!$A:$A,Строчный!J:J,"ERR",0))),"подклад","Подклад")</f>
        <v>100% гипоаллергенный акрил</v>
      </c>
      <c r="K32" s="81" t="str">
        <f ca="1">LOWER(TRIM(_xlfn.XLOOKUP($A32,Строчный!$A:$A,Строчный!K:K,"ERR",0)))</f>
        <v>акриловые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Корея, Республика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PROPER(TRIM(_xlfn.XLOOKUP($A32,Строчный!$A:$A,Строчный!Q:Q,"ERR",0)))</f>
        <v/>
      </c>
      <c r="Q32" s="90">
        <f ca="1">VALUE(_xlfn.XLOOKUP($A32,Строчный!$A:$A,Строчный!N:N,"ERR",0))</f>
        <v>368.05</v>
      </c>
      <c r="R32" s="89" t="str">
        <f ca="1">_xlfn.XLOOKUP($G32,Фабрика!A:A,Фабрика!B:B,"ERR",0)</f>
        <v>YupoongInc; 174, Gurodong-ro, Guro-gu, 08285 Seoul, South Korea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2</v>
      </c>
      <c r="U32" s="14" t="s">
        <v>265</v>
      </c>
      <c r="V32" s="101" t="str">
        <f t="shared" ca="1" si="3"/>
        <v>Шапка FLEXFIT арт. 1500KC (светло-серый)</v>
      </c>
      <c r="W32" s="100" t="str">
        <f t="shared" ca="1" si="4"/>
        <v>Шапка FLEXFIT арт. 1500KC (светло-серый) {heather grey}</v>
      </c>
      <c r="X32" s="18" t="str">
        <f t="shared" ca="1" si="0"/>
        <v>серый</v>
      </c>
      <c r="Y32" s="18" t="str">
        <f t="shared" ca="1" si="1"/>
        <v>серый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серый</v>
      </c>
      <c r="AA32" s="73" t="str">
        <f ca="1"/>
        <v>94-016-01-00</v>
      </c>
      <c r="AB32" s="75" t="str">
        <f ca="1">VLOOKUP(C32,Группа!A:B,2,FALSE)</f>
        <v>Шапка</v>
      </c>
      <c r="AC32" s="97" t="str">
        <f ca="1">IFERROR(VLOOKUP(S32,Размеры!A:C,3,FALSE),"")</f>
        <v>ONE</v>
      </c>
      <c r="AD32" s="97" t="str">
        <f ca="1">VLOOKUP(I32,ЦветПолный!A:B,2,FALSE)</f>
        <v>01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0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94-016-00</v>
      </c>
      <c r="B33" s="107" t="str">
        <f ca="1">_xlfn.LET(_xlpm.CAPS,0,_xlpm.Style,TRIM(_xlfn.XLOOKUP($A33,Строчный!$A:$A,Строчный!B:B,"ERR",0)),IF(_xlpm.CAPS=0,_xlpm.Style,LOWER(_xlpm.Style)))</f>
        <v>1500KC</v>
      </c>
      <c r="C33" s="81" t="str">
        <f ca="1">TRIM(PROPER(_xlfn.XLOOKUP($A33,Строчный!$A:$A,Строчный!C:C,"ERR",0)))</f>
        <v>Шапки</v>
      </c>
      <c r="D33" s="81" t="str">
        <f ca="1">_xlfn.LET(_xlpm.DATA,TRIM(_xlfn.XLOOKUP($A33,Строчный!$A:$A,Строчный!D:D,"ERR",0)),UPPER(MID(_xlpm.DATA,1,1))&amp;LOWER(MID(_xlpm.DATA,2,LEN(_xlpm.DATA)-1)))</f>
        <v>Шапка вязаная</v>
      </c>
      <c r="E33" s="81" t="str">
        <f ca="1">PROPER(TRIM(_xlfn.XLOOKUP($A33,Строчный!$A:$A,Строчный!E:E,"ERR",0)))</f>
        <v>Flexfit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FLEXFIT</v>
      </c>
      <c r="H33" s="81" t="str">
        <f ca="1">LOWER(TRIM(_xlfn.XLOOKUP($A33,Строчный!$A:$A,Строчный!H:H,"ERR",0)))</f>
        <v>gold</v>
      </c>
      <c r="I33" s="81" t="str">
        <f ca="1">LOWER(TRIM(_xlfn.XLOOKUP($A33,Строчный!$A:$A,Строчный!I:I,"ERR",0)))</f>
        <v>золотой</v>
      </c>
      <c r="J33" s="81" t="str">
        <f ca="1">SUBSTITUTE(LOWER(TRIM(_xlfn.XLOOKUP($A33,Строчный!$A:$A,Строчный!J:J,"ERR",0))),"подклад","Подклад")</f>
        <v>100% гипоаллергенный акрил</v>
      </c>
      <c r="K33" s="81" t="str">
        <f ca="1">LOWER(TRIM(_xlfn.XLOOKUP($A33,Строчный!$A:$A,Строчный!K:K,"ERR",0)))</f>
        <v>акриловые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Корея, Республика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PROPER(TRIM(_xlfn.XLOOKUP($A33,Строчный!$A:$A,Строчный!Q:Q,"ERR",0)))</f>
        <v/>
      </c>
      <c r="Q33" s="90">
        <f ca="1">VALUE(_xlfn.XLOOKUP($A33,Строчный!$A:$A,Строчный!N:N,"ERR",0))</f>
        <v>368.05</v>
      </c>
      <c r="R33" s="89" t="str">
        <f ca="1">_xlfn.XLOOKUP($G33,Фабрика!A:A,Фабрика!B:B,"ERR",0)</f>
        <v>YupoongInc; 174, Gurodong-ro, Guro-gu, 08285 Seoul, South Korea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4</v>
      </c>
      <c r="U33" s="14" t="s">
        <v>265</v>
      </c>
      <c r="V33" s="101" t="str">
        <f t="shared" ca="1" si="3"/>
        <v>Шапка FLEXFIT арт. 1500KC (золотой)</v>
      </c>
      <c r="W33" s="100" t="str">
        <f t="shared" ca="1" si="4"/>
        <v>Шапка FLEXFIT арт. 1500KC (золотой) {gold}</v>
      </c>
      <c r="X33" s="18" t="str">
        <f t="shared" ca="1" si="0"/>
        <v>золотой</v>
      </c>
      <c r="Y33" s="18" t="str">
        <f t="shared" ca="1" si="1"/>
        <v>золотой</v>
      </c>
      <c r="Z33" s="117" t="s">
        <v>25394</v>
      </c>
      <c r="AA33" s="73" t="str">
        <f ca="1"/>
        <v>94-016-00-00</v>
      </c>
      <c r="AB33" s="75" t="str">
        <f ca="1">VLOOKUP(C33,Группа!A:B,2,FALSE)</f>
        <v>Шапка</v>
      </c>
      <c r="AC33" s="97" t="str">
        <f ca="1">IFERROR(VLOOKUP(S33,Размеры!A:C,3,FALSE),"")</f>
        <v>ONE</v>
      </c>
      <c r="AD33" s="97" t="str">
        <f ca="1">VLOOKUP(I33,ЦветПолный!A:B,2,FALSE)</f>
        <v>00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0</v>
      </c>
      <c r="AO33" s="97">
        <f ca="1">VLOOKUP(I33,ЦветПолный!A:C,3,0)</f>
        <v>1</v>
      </c>
      <c r="AP33" s="97">
        <f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94-015-11</v>
      </c>
      <c r="B34" s="107" t="str">
        <f ca="1">_xlfn.LET(_xlpm.CAPS,0,_xlpm.Style,TRIM(_xlfn.XLOOKUP($A34,Строчный!$A:$A,Строчный!B:B,"ERR",0)),IF(_xlpm.CAPS=0,_xlpm.Style,LOWER(_xlpm.Style)))</f>
        <v>6606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 с сеточкой</v>
      </c>
      <c r="E34" s="81" t="str">
        <f ca="1">PROPER(TRIM(_xlfn.XLOOKUP($A34,Строчный!$A:$A,Строчный!E:E,"ERR",0)))</f>
        <v>Flexfit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FLEXFIT</v>
      </c>
      <c r="H34" s="81" t="str">
        <f ca="1">LOWER(TRIM(_xlfn.XLOOKUP($A34,Строчный!$A:$A,Строчный!H:H,"ERR",0)))</f>
        <v>evergreen</v>
      </c>
      <c r="I34" s="81" t="str">
        <f ca="1">LOWER(TRIM(_xlfn.XLOOKUP($A34,Строчный!$A:$A,Строчный!I:I,"ERR",0)))</f>
        <v>зеленый</v>
      </c>
      <c r="J34" s="81" t="str">
        <f ca="1">SUBSTITUTE(LOWER(TRIM(_xlfn.XLOOKUP($A34,Строчный!$A:$A,Строчный!J:J,"ERR",0))),"подклад","Подклад")</f>
        <v>65% полиэстер - 35% хлопок</v>
      </c>
      <c r="K34" s="81" t="str">
        <f ca="1">LOWER(TRIM(_xlfn.XLOOKUP($A34,Строчный!$A:$A,Строчный!K:K,"ERR",0)))</f>
        <v/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Корея, Республика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PROPER(TRIM(_xlfn.XLOOKUP($A34,Строчный!$A:$A,Строчный!Q:Q,"ERR",0)))</f>
        <v/>
      </c>
      <c r="Q34" s="90">
        <f ca="1">VALUE(_xlfn.XLOOKUP($A34,Строчный!$A:$A,Строчный!N:N,"ERR",0))</f>
        <v>661.11</v>
      </c>
      <c r="R34" s="89" t="str">
        <f ca="1">_xlfn.XLOOKUP($G34,Фабрика!A:A,Фабрика!B:B,"ERR",0)</f>
        <v>YupoongInc; 174, Gurodong-ro, Guro-gu, 08285 Seoul, South Korea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2</v>
      </c>
      <c r="U34" s="14" t="s">
        <v>265</v>
      </c>
      <c r="V34" s="101" t="str">
        <f t="shared" ca="1" si="3"/>
        <v>Бейсболка FLEXFIT арт. 6606 (зеленый)</v>
      </c>
      <c r="W34" s="100" t="str">
        <f t="shared" ca="1" si="4"/>
        <v>Бейсболка FLEXFIT арт. 6606 (зеленый) {evergreen}</v>
      </c>
      <c r="X34" s="18" t="str">
        <f t="shared" ref="X34:X51" ca="1" si="5">IFERROR(MID(I34,FIND("-",I34)+1,LEN(I34)),IFERROR(MID(I34,1,FIND("/",I34)-2),I34))</f>
        <v>зеленый</v>
      </c>
      <c r="Y34" s="18" t="str">
        <f t="shared" ref="Y34:Y51" ca="1" si="6">IFERROR(MID(I34,FIND("-",I34)+1,LEN(I34)),IFERROR(MID(I34,FIND("/",I34)+2,LEN(I34)),I34))</f>
        <v>зеленый</v>
      </c>
      <c r="Z34" s="117" t="s">
        <v>25394</v>
      </c>
      <c r="AA34" s="73" t="str">
        <f ca="1"/>
        <v>94-015-11-00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11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0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94-015-09</v>
      </c>
      <c r="B35" s="107" t="str">
        <f ca="1">_xlfn.LET(_xlpm.CAPS,0,_xlpm.Style,TRIM(_xlfn.XLOOKUP($A35,Строчный!$A:$A,Строчный!B:B,"ERR",0)),IF(_xlpm.CAPS=0,_xlpm.Style,LOWER(_xlpm.Style)))</f>
        <v>6606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 с сеточкой</v>
      </c>
      <c r="E35" s="81" t="str">
        <f ca="1">PROPER(TRIM(_xlfn.XLOOKUP($A35,Строчный!$A:$A,Строчный!E:E,"ERR",0)))</f>
        <v>Flexfit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FLEXFIT</v>
      </c>
      <c r="H35" s="81" t="str">
        <f ca="1">LOWER(TRIM(_xlfn.XLOOKUP($A35,Строчный!$A:$A,Строчный!H:H,"ERR",0)))</f>
        <v>black</v>
      </c>
      <c r="I35" s="81" t="str">
        <f ca="1">LOWER(TRIM(_xlfn.XLOOKUP($A35,Строчный!$A:$A,Строчный!I:I,"ERR",0)))</f>
        <v>черный</v>
      </c>
      <c r="J35" s="81" t="str">
        <f ca="1">SUBSTITUTE(LOWER(TRIM(_xlfn.XLOOKUP($A35,Строчный!$A:$A,Строчный!J:J,"ERR",0))),"подклад","Подклад")</f>
        <v>65% полиэстер - 35% хлопок</v>
      </c>
      <c r="K35" s="81" t="str">
        <f ca="1">LOWER(TRIM(_xlfn.XLOOKUP($A35,Строчный!$A:$A,Строчный!K:K,"ERR",0)))</f>
        <v/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Корея, Республика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PROPER(TRIM(_xlfn.XLOOKUP($A35,Строчный!$A:$A,Строчный!Q:Q,"ERR",0)))</f>
        <v/>
      </c>
      <c r="Q35" s="90">
        <f ca="1">VALUE(_xlfn.XLOOKUP($A35,Строчный!$A:$A,Строчный!N:N,"ERR",0))</f>
        <v>661.11</v>
      </c>
      <c r="R35" s="89" t="str">
        <f ca="1">_xlfn.XLOOKUP($G35,Фабрика!A:A,Фабрика!B:B,"ERR",0)</f>
        <v>YupoongInc; 174, Gurodong-ro, Guro-gu, 08285 Seoul, South Korea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11</v>
      </c>
      <c r="U35" s="14" t="s">
        <v>265</v>
      </c>
      <c r="V35" s="101" t="str">
        <f t="shared" ca="1" si="3"/>
        <v>Бейсболка FLEXFIT арт. 6606 (черный)</v>
      </c>
      <c r="W35" s="100" t="str">
        <f t="shared" ca="1" si="4"/>
        <v>Бейсболка FLEXFIT арт. 6606 (черный) {black}</v>
      </c>
      <c r="X35" s="18" t="str">
        <f t="shared" ca="1" si="5"/>
        <v>черный</v>
      </c>
      <c r="Y35" s="18" t="str">
        <f t="shared" ca="1" si="6"/>
        <v>черный</v>
      </c>
      <c r="Z35" s="117" t="s">
        <v>25394</v>
      </c>
      <c r="AA35" s="73" t="str">
        <f ca="1"/>
        <v>94-015-09-00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09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0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94-014-41</v>
      </c>
      <c r="B36" s="107" t="str">
        <f ca="1">_xlfn.LET(_xlpm.CAPS,0,_xlpm.Style,TRIM(_xlfn.XLOOKUP($A36,Строчный!$A:$A,Строчный!B:B,"ERR",0)),IF(_xlpm.CAPS=0,_xlpm.Style,LOWER(_xlpm.Style)))</f>
        <v>6533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 с сеточкой</v>
      </c>
      <c r="E36" s="81" t="str">
        <f ca="1">PROPER(TRIM(_xlfn.XLOOKUP($A36,Строчный!$A:$A,Строчный!E:E,"ERR",0)))</f>
        <v>Flexfit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FLEXFIT</v>
      </c>
      <c r="H36" s="81" t="str">
        <f ca="1">LOWER(TRIM(_xlfn.XLOOKUP($A36,Строчный!$A:$A,Строчный!H:H,"ERR",0)))</f>
        <v>purple</v>
      </c>
      <c r="I36" s="81" t="str">
        <f ca="1">LOWER(TRIM(_xlfn.XLOOKUP($A36,Строчный!$A:$A,Строчный!I:I,"ERR",0)))</f>
        <v>фиолетовый</v>
      </c>
      <c r="J36" s="81" t="str">
        <f ca="1">SUBSTITUTE(LOWER(TRIM(_xlfn.XLOOKUP($A36,Строчный!$A:$A,Строчный!J:J,"ERR",0))),"подклад","Подклад")</f>
        <v>44% полиэстер - 42% нейлон - 7% хлопок - 7% полиуретан</v>
      </c>
      <c r="K36" s="81" t="str">
        <f ca="1">LOWER(TRIM(_xlfn.XLOOKUP($A36,Строчный!$A:$A,Строчный!K:K,"ERR",0)))</f>
        <v/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Корея, Республика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PROPER(TRIM(_xlfn.XLOOKUP($A36,Строчный!$A:$A,Строчный!Q:Q,"ERR",0)))</f>
        <v/>
      </c>
      <c r="Q36" s="90">
        <f ca="1">VALUE(_xlfn.XLOOKUP($A36,Строчный!$A:$A,Строчный!N:N,"ERR",0))</f>
        <v>716.67</v>
      </c>
      <c r="R36" s="89" t="str">
        <f ca="1">_xlfn.XLOOKUP($G36,Фабрика!A:A,Фабрика!B:B,"ERR",0)</f>
        <v>YupoongInc; 174, Gurodong-ro, Guro-gu, 08285 Seoul, South Korea</v>
      </c>
      <c r="S36" s="80" t="str">
        <f ca="1">_xlfn.XLOOKUP(RIGHT(AA36,2),Размеры!D:D,Размеры!A:A,"ERR",0)</f>
        <v>56</v>
      </c>
      <c r="T36" s="80">
        <f ca="1">VALUE(_xlfn.XLOOKUP($AA36,Строчный!$S:$S,Строчный!U:U,"ERR",0))</f>
        <v>4</v>
      </c>
      <c r="U36" s="14" t="s">
        <v>265</v>
      </c>
      <c r="V36" s="101" t="str">
        <f t="shared" ca="1" si="3"/>
        <v>Бейсболка FLEXFIT арт. 6533 (фиолетовый)</v>
      </c>
      <c r="W36" s="100" t="str">
        <f t="shared" ca="1" si="4"/>
        <v>Бейсболка FLEXFIT арт. 6533 (фиолетовый) {purple}</v>
      </c>
      <c r="X36" s="18" t="str">
        <f t="shared" ca="1" si="5"/>
        <v>фиолетовый</v>
      </c>
      <c r="Y36" s="18" t="str">
        <f t="shared" ca="1" si="6"/>
        <v>фиолетовый</v>
      </c>
      <c r="Z36" s="117" t="s">
        <v>25394</v>
      </c>
      <c r="AA36" s="73" t="str">
        <f ca="1"/>
        <v>94-014-41-56</v>
      </c>
      <c r="AB36" s="75" t="str">
        <f ca="1">VLOOKUP(C36,Группа!A:B,2,FALSE)</f>
        <v>Бейсболка</v>
      </c>
      <c r="AC36" s="97" t="str">
        <f ca="1">IFERROR(VLOOKUP(S36,Размеры!A:C,3,FALSE),"")</f>
        <v>56 S/M</v>
      </c>
      <c r="AD36" s="97" t="str">
        <f ca="1">VLOOKUP(I36,ЦветПолный!A:B,2,FALSE)</f>
        <v>41</v>
      </c>
      <c r="AE36" s="97" t="str">
        <f ca="1">IFERROR(VLOOKUP(S36,Размеры!A:D,4,FALSE),"")</f>
        <v>56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0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0</v>
      </c>
      <c r="AO36" s="97">
        <f ca="1">VLOOKUP(I36,ЦветПолный!A:C,3,0)</f>
        <v>1</v>
      </c>
      <c r="AP36" s="97">
        <f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94-014-12</v>
      </c>
      <c r="B37" s="107" t="str">
        <f ca="1">_xlfn.LET(_xlpm.CAPS,0,_xlpm.Style,TRIM(_xlfn.XLOOKUP($A37,Строчный!$A:$A,Строчный!B:B,"ERR",0)),IF(_xlpm.CAPS=0,_xlpm.Style,LOWER(_xlpm.Style)))</f>
        <v>6533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 с сеточкой</v>
      </c>
      <c r="E37" s="81" t="str">
        <f ca="1">PROPER(TRIM(_xlfn.XLOOKUP($A37,Строчный!$A:$A,Строчный!E:E,"ERR",0)))</f>
        <v>Flexfit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FLEXFIT</v>
      </c>
      <c r="H37" s="81" t="str">
        <f ca="1">LOWER(TRIM(_xlfn.XLOOKUP($A37,Строчный!$A:$A,Строчный!H:H,"ERR",0)))</f>
        <v>maroon</v>
      </c>
      <c r="I37" s="81" t="str">
        <f ca="1">LOWER(TRIM(_xlfn.XLOOKUP($A37,Строчный!$A:$A,Строчный!I:I,"ERR",0)))</f>
        <v>бордовый</v>
      </c>
      <c r="J37" s="81" t="str">
        <f ca="1">SUBSTITUTE(LOWER(TRIM(_xlfn.XLOOKUP($A37,Строчный!$A:$A,Строчный!J:J,"ERR",0))),"подклад","Подклад")</f>
        <v>44% полиэстер - 42% нейлон - 7% хлопок - 7% полиуретан</v>
      </c>
      <c r="K37" s="81" t="str">
        <f ca="1">LOWER(TRIM(_xlfn.XLOOKUP($A37,Строчный!$A:$A,Строчный!K:K,"ERR",0)))</f>
        <v/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Корея, Республика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PROPER(TRIM(_xlfn.XLOOKUP($A37,Строчный!$A:$A,Строчный!Q:Q,"ERR",0)))</f>
        <v/>
      </c>
      <c r="Q37" s="90">
        <f ca="1">VALUE(_xlfn.XLOOKUP($A37,Строчный!$A:$A,Строчный!N:N,"ERR",0))</f>
        <v>716.67</v>
      </c>
      <c r="R37" s="89" t="str">
        <f ca="1">_xlfn.XLOOKUP($G37,Фабрика!A:A,Фабрика!B:B,"ERR",0)</f>
        <v>YupoongInc; 174, Gurodong-ro, Guro-gu, 08285 Seoul, South Korea</v>
      </c>
      <c r="S37" s="80" t="str">
        <f ca="1">_xlfn.XLOOKUP(RIGHT(AA37,2),Размеры!D:D,Размеры!A:A,"ERR",0)</f>
        <v>60</v>
      </c>
      <c r="T37" s="80">
        <f ca="1">VALUE(_xlfn.XLOOKUP($AA37,Строчный!$S:$S,Строчный!U:U,"ERR",0))</f>
        <v>7</v>
      </c>
      <c r="U37" s="14" t="s">
        <v>265</v>
      </c>
      <c r="V37" s="101" t="str">
        <f t="shared" ca="1" si="3"/>
        <v>Бейсболка FLEXFIT арт. 6533 (бордовый)</v>
      </c>
      <c r="W37" s="100" t="str">
        <f t="shared" ca="1" si="4"/>
        <v>Бейсболка FLEXFIT арт. 6533 (бордовый) {maroon}</v>
      </c>
      <c r="X37" s="18" t="str">
        <f t="shared" ca="1" si="5"/>
        <v>бордовый</v>
      </c>
      <c r="Y37" s="18" t="str">
        <f t="shared" ca="1" si="6"/>
        <v>бордовый</v>
      </c>
      <c r="Z37" s="117" t="s">
        <v>25394</v>
      </c>
      <c r="AA37" s="73" t="str">
        <f ca="1"/>
        <v>94-014-12-60</v>
      </c>
      <c r="AB37" s="75" t="str">
        <f ca="1">VLOOKUP(C37,Группа!A:B,2,FALSE)</f>
        <v>Бейсболка</v>
      </c>
      <c r="AC37" s="97" t="str">
        <f ca="1">IFERROR(VLOOKUP(S37,Размеры!A:C,3,FALSE),"")</f>
        <v>60 L/XL</v>
      </c>
      <c r="AD37" s="97" t="str">
        <f ca="1">VLOOKUP(I37,ЦветПолный!A:B,2,FALSE)</f>
        <v>12</v>
      </c>
      <c r="AE37" s="97" t="str">
        <f ca="1">IFERROR(VLOOKUP(S37,Размеры!A:D,4,FALSE),"")</f>
        <v>60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0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0</v>
      </c>
      <c r="AO37" s="97">
        <f ca="1">VLOOKUP(I37,ЦветПолный!A:C,3,0)</f>
        <v>1</v>
      </c>
      <c r="AP37" s="97">
        <f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94-014-12</v>
      </c>
      <c r="B38" s="107" t="str">
        <f ca="1">_xlfn.LET(_xlpm.CAPS,0,_xlpm.Style,TRIM(_xlfn.XLOOKUP($A38,Строчный!$A:$A,Строчный!B:B,"ERR",0)),IF(_xlpm.CAPS=0,_xlpm.Style,LOWER(_xlpm.Style)))</f>
        <v>6533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 с сеточкой</v>
      </c>
      <c r="E38" s="81" t="str">
        <f ca="1">PROPER(TRIM(_xlfn.XLOOKUP($A38,Строчный!$A:$A,Строчный!E:E,"ERR",0)))</f>
        <v>Flexfit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FLEXFIT</v>
      </c>
      <c r="H38" s="81" t="str">
        <f ca="1">LOWER(TRIM(_xlfn.XLOOKUP($A38,Строчный!$A:$A,Строчный!H:H,"ERR",0)))</f>
        <v>maroon</v>
      </c>
      <c r="I38" s="81" t="str">
        <f ca="1">LOWER(TRIM(_xlfn.XLOOKUP($A38,Строчный!$A:$A,Строчный!I:I,"ERR",0)))</f>
        <v>бордовый</v>
      </c>
      <c r="J38" s="81" t="str">
        <f ca="1">SUBSTITUTE(LOWER(TRIM(_xlfn.XLOOKUP($A38,Строчный!$A:$A,Строчный!J:J,"ERR",0))),"подклад","Подклад")</f>
        <v>44% полиэстер - 42% нейлон - 7% хлопок - 7% полиуретан</v>
      </c>
      <c r="K38" s="81" t="str">
        <f ca="1">LOWER(TRIM(_xlfn.XLOOKUP($A38,Строчный!$A:$A,Строчный!K:K,"ERR",0)))</f>
        <v/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Корея, Республика</v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PROPER(TRIM(_xlfn.XLOOKUP($A38,Строчный!$A:$A,Строчный!Q:Q,"ERR",0)))</f>
        <v/>
      </c>
      <c r="Q38" s="90">
        <f ca="1">VALUE(_xlfn.XLOOKUP($A38,Строчный!$A:$A,Строчный!N:N,"ERR",0))</f>
        <v>716.67</v>
      </c>
      <c r="R38" s="89" t="str">
        <f ca="1">_xlfn.XLOOKUP($G38,Фабрика!A:A,Фабрика!B:B,"ERR",0)</f>
        <v>YupoongInc; 174, Gurodong-ro, Guro-gu, 08285 Seoul, South Korea</v>
      </c>
      <c r="S38" s="80" t="str">
        <f ca="1">_xlfn.XLOOKUP(RIGHT(AA38,2),Размеры!D:D,Размеры!A:A,"ERR",0)</f>
        <v>56</v>
      </c>
      <c r="T38" s="80">
        <f ca="1">VALUE(_xlfn.XLOOKUP($AA38,Строчный!$S:$S,Строчный!U:U,"ERR",0))</f>
        <v>5</v>
      </c>
      <c r="U38" s="14" t="s">
        <v>265</v>
      </c>
      <c r="V38" s="101" t="str">
        <f t="shared" ca="1" si="3"/>
        <v>Бейсболка FLEXFIT арт. 6533 (бордовый)</v>
      </c>
      <c r="W38" s="100" t="str">
        <f t="shared" ca="1" si="4"/>
        <v>Бейсболка FLEXFIT арт. 6533 (бордовый) {maroon}</v>
      </c>
      <c r="X38" s="18" t="str">
        <f t="shared" ca="1" si="5"/>
        <v>бордовый</v>
      </c>
      <c r="Y38" s="18" t="str">
        <f t="shared" ca="1" si="6"/>
        <v>бордовый</v>
      </c>
      <c r="Z38" s="117" t="s">
        <v>25394</v>
      </c>
      <c r="AA38" s="73" t="str">
        <f ca="1"/>
        <v>94-014-12-56</v>
      </c>
      <c r="AB38" s="75" t="str">
        <f ca="1">VLOOKUP(C38,Группа!A:B,2,FALSE)</f>
        <v>Бейсболка</v>
      </c>
      <c r="AC38" s="97" t="str">
        <f ca="1">IFERROR(VLOOKUP(S38,Размеры!A:C,3,FALSE),"")</f>
        <v>56 S/M</v>
      </c>
      <c r="AD38" s="97" t="str">
        <f ca="1">VLOOKUP(I38,ЦветПолный!A:B,2,FALSE)</f>
        <v>12</v>
      </c>
      <c r="AE38" s="97" t="str">
        <f ca="1">IFERROR(VLOOKUP(S38,Размеры!A:D,4,FALSE),"")</f>
        <v>56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0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0</v>
      </c>
      <c r="AO38" s="97">
        <f ca="1">VLOOKUP(I38,ЦветПолный!A:C,3,0)</f>
        <v>1</v>
      </c>
      <c r="AP38" s="97">
        <f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94-014-05</v>
      </c>
      <c r="B39" s="107" t="str">
        <f ca="1">_xlfn.LET(_xlpm.CAPS,0,_xlpm.Style,TRIM(_xlfn.XLOOKUP($A39,Строчный!$A:$A,Строчный!B:B,"ERR",0)),IF(_xlpm.CAPS=0,_xlpm.Style,LOWER(_xlpm.Style)))</f>
        <v>6533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 с сеточкой</v>
      </c>
      <c r="E39" s="81" t="str">
        <f ca="1">PROPER(TRIM(_xlfn.XLOOKUP($A39,Строчный!$A:$A,Строчный!E:E,"ERR",0)))</f>
        <v>Flexfit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FLEXFIT</v>
      </c>
      <c r="H39" s="81" t="str">
        <f ca="1">LOWER(TRIM(_xlfn.XLOOKUP($A39,Строчный!$A:$A,Строчный!H:H,"ERR",0)))</f>
        <v>dark grey</v>
      </c>
      <c r="I39" s="81" t="str">
        <f ca="1">LOWER(TRIM(_xlfn.XLOOKUP($A39,Строчный!$A:$A,Строчный!I:I,"ERR",0)))</f>
        <v>темно-серый</v>
      </c>
      <c r="J39" s="81" t="str">
        <f ca="1">SUBSTITUTE(LOWER(TRIM(_xlfn.XLOOKUP($A39,Строчный!$A:$A,Строчный!J:J,"ERR",0))),"подклад","Подклад")</f>
        <v>44% полиэстер - 42% нейлон - 7% хлопок - 7% полиуретан</v>
      </c>
      <c r="K39" s="81" t="str">
        <f ca="1">LOWER(TRIM(_xlfn.XLOOKUP($A39,Строчный!$A:$A,Строчный!K:K,"ERR",0)))</f>
        <v/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Корея, Республика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PROPER(TRIM(_xlfn.XLOOKUP($A39,Строчный!$A:$A,Строчный!Q:Q,"ERR",0)))</f>
        <v/>
      </c>
      <c r="Q39" s="90">
        <f ca="1">VALUE(_xlfn.XLOOKUP($A39,Строчный!$A:$A,Строчный!N:N,"ERR",0))</f>
        <v>716.67</v>
      </c>
      <c r="R39" s="89" t="str">
        <f ca="1">_xlfn.XLOOKUP($G39,Фабрика!A:A,Фабрика!B:B,"ERR",0)</f>
        <v>YupoongInc; 174, Gurodong-ro, Guro-gu, 08285 Seoul, South Korea</v>
      </c>
      <c r="S39" s="80" t="str">
        <f ca="1">_xlfn.XLOOKUP(RIGHT(AA39,2),Размеры!D:D,Размеры!A:A,"ERR",0)</f>
        <v>60</v>
      </c>
      <c r="T39" s="80">
        <f ca="1">VALUE(_xlfn.XLOOKUP($AA39,Строчный!$S:$S,Строчный!U:U,"ERR",0))</f>
        <v>7</v>
      </c>
      <c r="U39" s="14" t="s">
        <v>265</v>
      </c>
      <c r="V39" s="101" t="str">
        <f t="shared" ca="1" si="3"/>
        <v>Бейсболка FLEXFIT арт. 6533 (темно-серый)</v>
      </c>
      <c r="W39" s="100" t="str">
        <f t="shared" ca="1" si="4"/>
        <v>Бейсболка FLEXFIT арт. 6533 (темно-серый) {dark grey}</v>
      </c>
      <c r="X39" s="18" t="str">
        <f t="shared" ca="1" si="5"/>
        <v>серый</v>
      </c>
      <c r="Y39" s="18" t="str">
        <f t="shared" ca="1" si="6"/>
        <v>серый</v>
      </c>
      <c r="Z39" s="117" t="s">
        <v>25394</v>
      </c>
      <c r="AA39" s="73" t="str">
        <f ca="1"/>
        <v>94-014-05-60</v>
      </c>
      <c r="AB39" s="75" t="str">
        <f ca="1">VLOOKUP(C39,Группа!A:B,2,FALSE)</f>
        <v>Бейсболка</v>
      </c>
      <c r="AC39" s="97" t="str">
        <f ca="1">IFERROR(VLOOKUP(S39,Размеры!A:C,3,FALSE),"")</f>
        <v>60 L/XL</v>
      </c>
      <c r="AD39" s="97" t="str">
        <f ca="1">VLOOKUP(I39,ЦветПолный!A:B,2,FALSE)</f>
        <v>05</v>
      </c>
      <c r="AE39" s="97" t="str">
        <f ca="1">IFERROR(VLOOKUP(S39,Размеры!A:D,4,FALSE),"")</f>
        <v>60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0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0</v>
      </c>
      <c r="AO39" s="97">
        <f ca="1">VLOOKUP(I39,ЦветПолный!A:C,3,0)</f>
        <v>1</v>
      </c>
      <c r="AP39" s="97">
        <f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94-014-05</v>
      </c>
      <c r="B40" s="107" t="str">
        <f ca="1">_xlfn.LET(_xlpm.CAPS,0,_xlpm.Style,TRIM(_xlfn.XLOOKUP($A40,Строчный!$A:$A,Строчный!B:B,"ERR",0)),IF(_xlpm.CAPS=0,_xlpm.Style,LOWER(_xlpm.Style)))</f>
        <v>6533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 с сеточкой</v>
      </c>
      <c r="E40" s="81" t="str">
        <f ca="1">PROPER(TRIM(_xlfn.XLOOKUP($A40,Строчный!$A:$A,Строчный!E:E,"ERR",0)))</f>
        <v>Flexfit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FLEXFIT</v>
      </c>
      <c r="H40" s="81" t="str">
        <f ca="1">LOWER(TRIM(_xlfn.XLOOKUP($A40,Строчный!$A:$A,Строчный!H:H,"ERR",0)))</f>
        <v>dark grey</v>
      </c>
      <c r="I40" s="81" t="str">
        <f ca="1">LOWER(TRIM(_xlfn.XLOOKUP($A40,Строчный!$A:$A,Строчный!I:I,"ERR",0)))</f>
        <v>темно-серый</v>
      </c>
      <c r="J40" s="81" t="str">
        <f ca="1">SUBSTITUTE(LOWER(TRIM(_xlfn.XLOOKUP($A40,Строчный!$A:$A,Строчный!J:J,"ERR",0))),"подклад","Подклад")</f>
        <v>44% полиэстер - 42% нейлон - 7% хлопок - 7% полиуретан</v>
      </c>
      <c r="K40" s="81" t="str">
        <f ca="1">LOWER(TRIM(_xlfn.XLOOKUP($A40,Строчный!$A:$A,Строчный!K:K,"ERR",0)))</f>
        <v/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Корея, Республика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PROPER(TRIM(_xlfn.XLOOKUP($A40,Строчный!$A:$A,Строчный!Q:Q,"ERR",0)))</f>
        <v/>
      </c>
      <c r="Q40" s="90">
        <f ca="1">VALUE(_xlfn.XLOOKUP($A40,Строчный!$A:$A,Строчный!N:N,"ERR",0))</f>
        <v>716.67</v>
      </c>
      <c r="R40" s="89" t="str">
        <f ca="1">_xlfn.XLOOKUP($G40,Фабрика!A:A,Фабрика!B:B,"ERR",0)</f>
        <v>YupoongInc; 174, Gurodong-ro, Guro-gu, 08285 Seoul, South Korea</v>
      </c>
      <c r="S40" s="80" t="str">
        <f ca="1">_xlfn.XLOOKUP(RIGHT(AA40,2),Размеры!D:D,Размеры!A:A,"ERR",0)</f>
        <v>56</v>
      </c>
      <c r="T40" s="80">
        <f ca="1">VALUE(_xlfn.XLOOKUP($AA40,Строчный!$S:$S,Строчный!U:U,"ERR",0))</f>
        <v>6</v>
      </c>
      <c r="U40" s="14" t="s">
        <v>265</v>
      </c>
      <c r="V40" s="101" t="str">
        <f t="shared" ca="1" si="3"/>
        <v>Бейсболка FLEXFIT арт. 6533 (темно-серый)</v>
      </c>
      <c r="W40" s="100" t="str">
        <f t="shared" ca="1" si="4"/>
        <v>Бейсболка FLEXFIT арт. 6533 (темно-серый) {dark grey}</v>
      </c>
      <c r="X40" s="18" t="str">
        <f t="shared" ca="1" si="5"/>
        <v>серый</v>
      </c>
      <c r="Y40" s="18" t="str">
        <f t="shared" ca="1" si="6"/>
        <v>серый</v>
      </c>
      <c r="Z40" s="117" t="s">
        <v>25394</v>
      </c>
      <c r="AA40" s="73" t="str">
        <f ca="1"/>
        <v>94-014-05-56</v>
      </c>
      <c r="AB40" s="75" t="str">
        <f ca="1">VLOOKUP(C40,Группа!A:B,2,FALSE)</f>
        <v>Бейсболка</v>
      </c>
      <c r="AC40" s="97" t="str">
        <f ca="1">IFERROR(VLOOKUP(S40,Размеры!A:C,3,FALSE),"")</f>
        <v>56 S/M</v>
      </c>
      <c r="AD40" s="97" t="str">
        <f ca="1">VLOOKUP(I40,ЦветПолный!A:B,2,FALSE)</f>
        <v>05</v>
      </c>
      <c r="AE40" s="97" t="str">
        <f ca="1">IFERROR(VLOOKUP(S40,Размеры!A:D,4,FALSE),"")</f>
        <v>56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0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0</v>
      </c>
      <c r="AO40" s="97">
        <f ca="1">VLOOKUP(I40,ЦветПолный!A:C,3,0)</f>
        <v>1</v>
      </c>
      <c r="AP40" s="97">
        <f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94-013-14</v>
      </c>
      <c r="B41" s="107" t="str">
        <f ca="1">_xlfn.LET(_xlpm.CAPS,0,_xlpm.Style,TRIM(_xlfn.XLOOKUP($A41,Строчный!$A:$A,Строчный!B:B,"ERR",0)),IF(_xlpm.CAPS=0,_xlpm.Style,LOWER(_xlpm.Style)))</f>
        <v>6511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 с сеточкой</v>
      </c>
      <c r="E41" s="81" t="str">
        <f ca="1">PROPER(TRIM(_xlfn.XLOOKUP($A41,Строчный!$A:$A,Строчный!E:E,"ERR",0)))</f>
        <v>Flexfit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FLEXFIT</v>
      </c>
      <c r="H41" s="81" t="str">
        <f ca="1">LOWER(TRIM(_xlfn.XLOOKUP($A41,Строчный!$A:$A,Строчный!H:H,"ERR",0)))</f>
        <v>brown</v>
      </c>
      <c r="I41" s="81" t="str">
        <f ca="1">LOWER(TRIM(_xlfn.XLOOKUP($A41,Строчный!$A:$A,Строчный!I:I,"ERR",0)))</f>
        <v>коричневый</v>
      </c>
      <c r="J41" s="81" t="str">
        <f ca="1">SUBSTITUTE(LOWER(TRIM(_xlfn.XLOOKUP($A41,Строчный!$A:$A,Строчный!J:J,"ERR",0))),"подклад","Подклад")</f>
        <v>55% полиэстер - 43% хлопок - 2% полиуретан</v>
      </c>
      <c r="K41" s="81" t="str">
        <f ca="1">LOWER(TRIM(_xlfn.XLOOKUP($A41,Строчный!$A:$A,Строчный!K:K,"ERR",0)))</f>
        <v/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Корея, Республика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PROPER(TRIM(_xlfn.XLOOKUP($A41,Строчный!$A:$A,Строчный!Q:Q,"ERR",0)))</f>
        <v/>
      </c>
      <c r="Q41" s="90">
        <f ca="1">VALUE(_xlfn.XLOOKUP($A41,Строчный!$A:$A,Строчный!N:N,"ERR",0))</f>
        <v>716.67</v>
      </c>
      <c r="R41" s="89" t="str">
        <f ca="1">_xlfn.XLOOKUP($G41,Фабрика!A:A,Фабрика!B:B,"ERR",0)</f>
        <v>YupoongInc; 174, Gurodong-ro, Guro-gu, 08285 Seoul, South Korea</v>
      </c>
      <c r="S41" s="80" t="str">
        <f ca="1">_xlfn.XLOOKUP(RIGHT(AA41,2),Размеры!D:D,Размеры!A:A,"ERR",0)</f>
        <v>56</v>
      </c>
      <c r="T41" s="80">
        <f ca="1">VALUE(_xlfn.XLOOKUP($AA41,Строчный!$S:$S,Строчный!U:U,"ERR",0))</f>
        <v>3</v>
      </c>
      <c r="U41" s="14" t="s">
        <v>265</v>
      </c>
      <c r="V41" s="101" t="str">
        <f t="shared" ca="1" si="3"/>
        <v>Бейсболка FLEXFIT арт. 6511 (коричневый)</v>
      </c>
      <c r="W41" s="100" t="str">
        <f t="shared" ca="1" si="4"/>
        <v>Бейсболка FLEXFIT арт. 6511 (коричневый) {brown}</v>
      </c>
      <c r="X41" s="18" t="str">
        <f t="shared" ca="1" si="5"/>
        <v>коричневый</v>
      </c>
      <c r="Y41" s="18" t="str">
        <f t="shared" ca="1" si="6"/>
        <v>коричневый</v>
      </c>
      <c r="Z41" s="117" t="s">
        <v>25394</v>
      </c>
      <c r="AA41" s="73" t="str">
        <f ca="1"/>
        <v>94-013-14-56</v>
      </c>
      <c r="AB41" s="75" t="str">
        <f ca="1">VLOOKUP(C41,Группа!A:B,2,FALSE)</f>
        <v>Бейсболка</v>
      </c>
      <c r="AC41" s="97" t="str">
        <f ca="1">IFERROR(VLOOKUP(S41,Размеры!A:C,3,FALSE),"")</f>
        <v>56 S/M</v>
      </c>
      <c r="AD41" s="97" t="str">
        <f ca="1">VLOOKUP(I41,ЦветПолный!A:B,2,FALSE)</f>
        <v>14</v>
      </c>
      <c r="AE41" s="97" t="str">
        <f ca="1">IFERROR(VLOOKUP(S41,Размеры!A:D,4,FALSE),"")</f>
        <v>56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0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0</v>
      </c>
      <c r="AO41" s="97">
        <f ca="1">VLOOKUP(I41,ЦветПолный!A:C,3,0)</f>
        <v>1</v>
      </c>
      <c r="AP41" s="97">
        <f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94-012-18</v>
      </c>
      <c r="B42" s="107" t="str">
        <f ca="1">_xlfn.LET(_xlpm.CAPS,0,_xlpm.Style,TRIM(_xlfn.XLOOKUP($A42,Строчный!$A:$A,Строчный!B:B,"ERR",0)),IF(_xlpm.CAPS=0,_xlpm.Style,LOWER(_xlpm.Style)))</f>
        <v>6320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 с сеточкой</v>
      </c>
      <c r="E42" s="81" t="str">
        <f ca="1">PROPER(TRIM(_xlfn.XLOOKUP($A42,Строчный!$A:$A,Строчный!E:E,"ERR",0)))</f>
        <v>Flexfit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FLEXFIT</v>
      </c>
      <c r="H42" s="81" t="str">
        <f ca="1">LOWER(TRIM(_xlfn.XLOOKUP($A42,Строчный!$A:$A,Строчный!H:H,"ERR",0)))</f>
        <v>red</v>
      </c>
      <c r="I42" s="81" t="str">
        <f ca="1">LOWER(TRIM(_xlfn.XLOOKUP($A42,Строчный!$A:$A,Строчный!I:I,"ERR",0)))</f>
        <v>красный</v>
      </c>
      <c r="J42" s="81" t="str">
        <f ca="1">SUBSTITUTE(LOWER(TRIM(_xlfn.XLOOKUP($A42,Строчный!$A:$A,Строчный!J:J,"ERR",0))),"подклад","Подклад")</f>
        <v>100% полиэстер</v>
      </c>
      <c r="K42" s="81" t="str">
        <f ca="1">LOWER(TRIM(_xlfn.XLOOKUP($A42,Строчный!$A:$A,Строчный!K:K,"ERR",0)))</f>
        <v/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Корея, Республика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PROPER(TRIM(_xlfn.XLOOKUP($A42,Строчный!$A:$A,Строчный!Q:Q,"ERR",0)))</f>
        <v/>
      </c>
      <c r="Q42" s="90">
        <f ca="1">VALUE(_xlfn.XLOOKUP($A42,Строчный!$A:$A,Строчный!N:N,"ERR",0))</f>
        <v>605.55999999999995</v>
      </c>
      <c r="R42" s="89" t="str">
        <f ca="1">_xlfn.XLOOKUP($G42,Фабрика!A:A,Фабрика!B:B,"ERR",0)</f>
        <v>YupoongInc; 174, Gurodong-ro, Guro-gu, 08285 Seoul, South Korea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2</v>
      </c>
      <c r="U42" s="14" t="s">
        <v>265</v>
      </c>
      <c r="V42" s="101" t="str">
        <f t="shared" ca="1" si="3"/>
        <v>Бейсболка FLEXFIT арт. 6320 (красный)</v>
      </c>
      <c r="W42" s="100" t="str">
        <f t="shared" ca="1" si="4"/>
        <v>Бейсболка FLEXFIT арт. 6320 (красный) {red}</v>
      </c>
      <c r="X42" s="18" t="str">
        <f t="shared" ca="1" si="5"/>
        <v>красный</v>
      </c>
      <c r="Y42" s="18" t="str">
        <f t="shared" ca="1" si="6"/>
        <v>красный</v>
      </c>
      <c r="Z42" s="117" t="s">
        <v>25394</v>
      </c>
      <c r="AA42" s="73" t="str">
        <f ca="1"/>
        <v>94-012-18-00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18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0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94-012-06</v>
      </c>
      <c r="B43" s="107" t="str">
        <f ca="1">_xlfn.LET(_xlpm.CAPS,0,_xlpm.Style,TRIM(_xlfn.XLOOKUP($A43,Строчный!$A:$A,Строчный!B:B,"ERR",0)),IF(_xlpm.CAPS=0,_xlpm.Style,LOWER(_xlpm.Style)))</f>
        <v>6320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 с сеточкой</v>
      </c>
      <c r="E43" s="81" t="str">
        <f ca="1">PROPER(TRIM(_xlfn.XLOOKUP($A43,Строчный!$A:$A,Строчный!E:E,"ERR",0)))</f>
        <v>Flexfit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FLEXFIT</v>
      </c>
      <c r="H43" s="81" t="str">
        <f ca="1">LOWER(TRIM(_xlfn.XLOOKUP($A43,Строчный!$A:$A,Строчный!H:H,"ERR",0)))</f>
        <v>royal</v>
      </c>
      <c r="I43" s="81" t="str">
        <f ca="1">LOWER(TRIM(_xlfn.XLOOKUP($A43,Строчный!$A:$A,Строчный!I:I,"ERR",0)))</f>
        <v>синий</v>
      </c>
      <c r="J43" s="81" t="str">
        <f ca="1">SUBSTITUTE(LOWER(TRIM(_xlfn.XLOOKUP($A43,Строчный!$A:$A,Строчный!J:J,"ERR",0))),"подклад","Подклад")</f>
        <v>100% полиэстер</v>
      </c>
      <c r="K43" s="81" t="str">
        <f ca="1">LOWER(TRIM(_xlfn.XLOOKUP($A43,Строчный!$A:$A,Строчный!K:K,"ERR",0)))</f>
        <v/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Корея, Республика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PROPER(TRIM(_xlfn.XLOOKUP($A43,Строчный!$A:$A,Строчный!Q:Q,"ERR",0)))</f>
        <v/>
      </c>
      <c r="Q43" s="90">
        <f ca="1">VALUE(_xlfn.XLOOKUP($A43,Строчный!$A:$A,Строчный!N:N,"ERR",0))</f>
        <v>605.55999999999995</v>
      </c>
      <c r="R43" s="89" t="str">
        <f ca="1">_xlfn.XLOOKUP($G43,Фабрика!A:A,Фабрика!B:B,"ERR",0)</f>
        <v>YupoongInc; 174, Gurodong-ro, Guro-gu, 08285 Seoul, South Korea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2</v>
      </c>
      <c r="U43" s="14" t="s">
        <v>265</v>
      </c>
      <c r="V43" s="101" t="str">
        <f t="shared" ca="1" si="3"/>
        <v>Бейсболка FLEXFIT арт. 6320 (синий)</v>
      </c>
      <c r="W43" s="100" t="str">
        <f t="shared" ca="1" si="4"/>
        <v>Бейсболка FLEXFIT арт. 6320 (синий) {royal}</v>
      </c>
      <c r="X43" s="18" t="str">
        <f t="shared" ca="1" si="5"/>
        <v>синий</v>
      </c>
      <c r="Y43" s="18" t="str">
        <f t="shared" ca="1" si="6"/>
        <v>синий</v>
      </c>
      <c r="Z43" s="117" t="s">
        <v>25394</v>
      </c>
      <c r="AA43" s="73" t="str">
        <f ca="1"/>
        <v>94-012-06-00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06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0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1</v>
      </c>
      <c r="AO43" s="97">
        <f ca="1">VLOOKUP(I43,ЦветПолный!A:C,3,0)</f>
        <v>1</v>
      </c>
      <c r="AP43" s="97">
        <f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94-011-14</v>
      </c>
      <c r="B44" s="107" t="str">
        <f ca="1">_xlfn.LET(_xlpm.CAPS,0,_xlpm.Style,TRIM(_xlfn.XLOOKUP($A44,Строчный!$A:$A,Строчный!B:B,"ERR",0)),IF(_xlpm.CAPS=0,_xlpm.Style,LOWER(_xlpm.Style)))</f>
        <v>6277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</v>
      </c>
      <c r="E44" s="81" t="str">
        <f ca="1">PROPER(TRIM(_xlfn.XLOOKUP($A44,Строчный!$A:$A,Строчный!E:E,"ERR",0)))</f>
        <v>Flexfit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FLEXFIT</v>
      </c>
      <c r="H44" s="81" t="str">
        <f ca="1">LOWER(TRIM(_xlfn.XLOOKUP($A44,Строчный!$A:$A,Строчный!H:H,"ERR",0)))</f>
        <v>brown</v>
      </c>
      <c r="I44" s="81" t="str">
        <f ca="1">LOWER(TRIM(_xlfn.XLOOKUP($A44,Строчный!$A:$A,Строчный!I:I,"ERR",0)))</f>
        <v>коричневый</v>
      </c>
      <c r="J44" s="81" t="str">
        <f ca="1">SUBSTITUTE(LOWER(TRIM(_xlfn.XLOOKUP($A44,Строчный!$A:$A,Строчный!J:J,"ERR",0))),"подклад","Подклад")</f>
        <v>63% полиэстер - 34% хлопок - 3% полиуретан</v>
      </c>
      <c r="K44" s="81" t="str">
        <f ca="1">LOWER(TRIM(_xlfn.XLOOKUP($A44,Строчный!$A:$A,Строчный!K:K,"ERR",0)))</f>
        <v/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Корея, Республика</v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PROPER(TRIM(_xlfn.XLOOKUP($A44,Строчный!$A:$A,Строчный!Q:Q,"ERR",0)))</f>
        <v/>
      </c>
      <c r="Q44" s="90">
        <f ca="1">VALUE(_xlfn.XLOOKUP($A44,Строчный!$A:$A,Строчный!N:N,"ERR",0))</f>
        <v>716.67</v>
      </c>
      <c r="R44" s="89" t="str">
        <f ca="1">_xlfn.XLOOKUP($G44,Фабрика!A:A,Фабрика!B:B,"ERR",0)</f>
        <v>YupoongInc; 174, Gurodong-ro, Guro-gu, 08285 Seoul, South Korea</v>
      </c>
      <c r="S44" s="80" t="str">
        <f ca="1">_xlfn.XLOOKUP(RIGHT(AA44,2),Размеры!D:D,Размеры!A:A,"ERR",0)</f>
        <v>60</v>
      </c>
      <c r="T44" s="80">
        <f ca="1">VALUE(_xlfn.XLOOKUP($AA44,Строчный!$S:$S,Строчный!U:U,"ERR",0))</f>
        <v>3</v>
      </c>
      <c r="U44" s="14" t="s">
        <v>265</v>
      </c>
      <c r="V44" s="101" t="str">
        <f t="shared" ca="1" si="3"/>
        <v>Бейсболка FLEXFIT арт. 6277 (коричневый)</v>
      </c>
      <c r="W44" s="100" t="str">
        <f t="shared" ca="1" si="4"/>
        <v>Бейсболка FLEXFIT арт. 6277 (коричневый) {brown}</v>
      </c>
      <c r="X44" s="18" t="str">
        <f t="shared" ca="1" si="5"/>
        <v>коричневый</v>
      </c>
      <c r="Y44" s="18" t="str">
        <f t="shared" ca="1" si="6"/>
        <v>коричневый</v>
      </c>
      <c r="Z44" s="117" t="s">
        <v>25394</v>
      </c>
      <c r="AA44" s="73" t="str">
        <f ca="1"/>
        <v>94-011-14-60</v>
      </c>
      <c r="AB44" s="75" t="str">
        <f ca="1">VLOOKUP(C44,Группа!A:B,2,FALSE)</f>
        <v>Бейсболка</v>
      </c>
      <c r="AC44" s="97" t="str">
        <f ca="1">IFERROR(VLOOKUP(S44,Размеры!A:C,3,FALSE),"")</f>
        <v>60 L/XL</v>
      </c>
      <c r="AD44" s="97" t="str">
        <f ca="1">VLOOKUP(I44,ЦветПолный!A:B,2,FALSE)</f>
        <v>14</v>
      </c>
      <c r="AE44" s="97" t="str">
        <f ca="1">IFERROR(VLOOKUP(S44,Размеры!A:D,4,FALSE),"")</f>
        <v>60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0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0</v>
      </c>
      <c r="AO44" s="97">
        <f ca="1">VLOOKUP(I44,ЦветПолный!A:C,3,0)</f>
        <v>1</v>
      </c>
      <c r="AP44" s="97">
        <f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94-011-14</v>
      </c>
      <c r="B45" s="107" t="str">
        <f ca="1">_xlfn.LET(_xlpm.CAPS,0,_xlpm.Style,TRIM(_xlfn.XLOOKUP($A45,Строчный!$A:$A,Строчный!B:B,"ERR",0)),IF(_xlpm.CAPS=0,_xlpm.Style,LOWER(_xlpm.Style)))</f>
        <v>6277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</v>
      </c>
      <c r="E45" s="81" t="str">
        <f ca="1">PROPER(TRIM(_xlfn.XLOOKUP($A45,Строчный!$A:$A,Строчный!E:E,"ERR",0)))</f>
        <v>Flexfit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FLEXFIT</v>
      </c>
      <c r="H45" s="81" t="str">
        <f ca="1">LOWER(TRIM(_xlfn.XLOOKUP($A45,Строчный!$A:$A,Строчный!H:H,"ERR",0)))</f>
        <v>brown</v>
      </c>
      <c r="I45" s="81" t="str">
        <f ca="1">LOWER(TRIM(_xlfn.XLOOKUP($A45,Строчный!$A:$A,Строчный!I:I,"ERR",0)))</f>
        <v>коричневый</v>
      </c>
      <c r="J45" s="81" t="str">
        <f ca="1">SUBSTITUTE(LOWER(TRIM(_xlfn.XLOOKUP($A45,Строчный!$A:$A,Строчный!J:J,"ERR",0))),"подклад","Подклад")</f>
        <v>63% полиэстер - 34% хлопок - 3% полиуретан</v>
      </c>
      <c r="K45" s="81" t="str">
        <f ca="1">LOWER(TRIM(_xlfn.XLOOKUP($A45,Строчный!$A:$A,Строчный!K:K,"ERR",0)))</f>
        <v/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Корея, Республика</v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PROPER(TRIM(_xlfn.XLOOKUP($A45,Строчный!$A:$A,Строчный!Q:Q,"ERR",0)))</f>
        <v/>
      </c>
      <c r="Q45" s="90">
        <f ca="1">VALUE(_xlfn.XLOOKUP($A45,Строчный!$A:$A,Строчный!N:N,"ERR",0))</f>
        <v>716.67</v>
      </c>
      <c r="R45" s="89" t="str">
        <f ca="1">_xlfn.XLOOKUP($G45,Фабрика!A:A,Фабрика!B:B,"ERR",0)</f>
        <v>YupoongInc; 174, Gurodong-ro, Guro-gu, 08285 Seoul, South Korea</v>
      </c>
      <c r="S45" s="80" t="str">
        <f ca="1">_xlfn.XLOOKUP(RIGHT(AA45,2),Размеры!D:D,Размеры!A:A,"ERR",0)</f>
        <v>56</v>
      </c>
      <c r="T45" s="80">
        <f ca="1">VALUE(_xlfn.XLOOKUP($AA45,Строчный!$S:$S,Строчный!U:U,"ERR",0))</f>
        <v>3</v>
      </c>
      <c r="U45" s="14" t="s">
        <v>265</v>
      </c>
      <c r="V45" s="101" t="str">
        <f t="shared" ca="1" si="3"/>
        <v>Бейсболка FLEXFIT арт. 6277 (коричневый)</v>
      </c>
      <c r="W45" s="100" t="str">
        <f t="shared" ca="1" si="4"/>
        <v>Бейсболка FLEXFIT арт. 6277 (коричневый) {brown}</v>
      </c>
      <c r="X45" s="18" t="str">
        <f t="shared" ca="1" si="5"/>
        <v>коричневый</v>
      </c>
      <c r="Y45" s="18" t="str">
        <f t="shared" ca="1" si="6"/>
        <v>коричневый</v>
      </c>
      <c r="Z45" s="117" t="s">
        <v>25394</v>
      </c>
      <c r="AA45" s="73" t="str">
        <f ca="1"/>
        <v>94-011-14-56</v>
      </c>
      <c r="AB45" s="75" t="str">
        <f ca="1">VLOOKUP(C45,Группа!A:B,2,FALSE)</f>
        <v>Бейсболка</v>
      </c>
      <c r="AC45" s="97" t="str">
        <f ca="1">IFERROR(VLOOKUP(S45,Размеры!A:C,3,FALSE),"")</f>
        <v>56 S/M</v>
      </c>
      <c r="AD45" s="97" t="str">
        <f ca="1">VLOOKUP(I45,ЦветПолный!A:B,2,FALSE)</f>
        <v>14</v>
      </c>
      <c r="AE45" s="97" t="str">
        <f ca="1">IFERROR(VLOOKUP(S45,Размеры!A:D,4,FALSE),"")</f>
        <v>56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0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0</v>
      </c>
      <c r="AO45" s="97">
        <f ca="1">VLOOKUP(I45,ЦветПолный!A:C,3,0)</f>
        <v>1</v>
      </c>
      <c r="AP45" s="97">
        <f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94-011-00</v>
      </c>
      <c r="B46" s="107" t="str">
        <f ca="1">_xlfn.LET(_xlpm.CAPS,0,_xlpm.Style,TRIM(_xlfn.XLOOKUP($A46,Строчный!$A:$A,Строчный!B:B,"ERR",0)),IF(_xlpm.CAPS=0,_xlpm.Style,LOWER(_xlpm.Style)))</f>
        <v>6277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</v>
      </c>
      <c r="E46" s="81" t="str">
        <f ca="1">PROPER(TRIM(_xlfn.XLOOKUP($A46,Строчный!$A:$A,Строчный!E:E,"ERR",0)))</f>
        <v>Flexfit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FLEXFIT</v>
      </c>
      <c r="H46" s="81" t="str">
        <f ca="1">LOWER(TRIM(_xlfn.XLOOKUP($A46,Строчный!$A:$A,Строчный!H:H,"ERR",0)))</f>
        <v>gold</v>
      </c>
      <c r="I46" s="81" t="str">
        <f ca="1">LOWER(TRIM(_xlfn.XLOOKUP($A46,Строчный!$A:$A,Строчный!I:I,"ERR",0)))</f>
        <v>золотой</v>
      </c>
      <c r="J46" s="81" t="str">
        <f ca="1">SUBSTITUTE(LOWER(TRIM(_xlfn.XLOOKUP($A46,Строчный!$A:$A,Строчный!J:J,"ERR",0))),"подклад","Подклад")</f>
        <v>63% полиэстер - 34% хлопок - 3% полиуретан</v>
      </c>
      <c r="K46" s="81" t="str">
        <f ca="1">LOWER(TRIM(_xlfn.XLOOKUP($A46,Строчный!$A:$A,Строчный!K:K,"ERR",0)))</f>
        <v/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Корея, Республика</v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PROPER(TRIM(_xlfn.XLOOKUP($A46,Строчный!$A:$A,Строчный!Q:Q,"ERR",0)))</f>
        <v/>
      </c>
      <c r="Q46" s="90">
        <f ca="1">VALUE(_xlfn.XLOOKUP($A46,Строчный!$A:$A,Строчный!N:N,"ERR",0))</f>
        <v>716.67</v>
      </c>
      <c r="R46" s="89" t="str">
        <f ca="1">_xlfn.XLOOKUP($G46,Фабрика!A:A,Фабрика!B:B,"ERR",0)</f>
        <v>YupoongInc; 174, Gurodong-ro, Guro-gu, 08285 Seoul, South Korea</v>
      </c>
      <c r="S46" s="80" t="str">
        <f ca="1">_xlfn.XLOOKUP(RIGHT(AA46,2),Размеры!D:D,Размеры!A:A,"ERR",0)</f>
        <v>60</v>
      </c>
      <c r="T46" s="80">
        <f ca="1">VALUE(_xlfn.XLOOKUP($AA46,Строчный!$S:$S,Строчный!U:U,"ERR",0))</f>
        <v>2</v>
      </c>
      <c r="U46" s="14" t="s">
        <v>265</v>
      </c>
      <c r="V46" s="101" t="str">
        <f t="shared" ca="1" si="3"/>
        <v>Бейсболка FLEXFIT арт. 6277 (золотой)</v>
      </c>
      <c r="W46" s="100" t="str">
        <f t="shared" ca="1" si="4"/>
        <v>Бейсболка FLEXFIT арт. 6277 (золотой) {gold}</v>
      </c>
      <c r="X46" s="18" t="str">
        <f t="shared" ca="1" si="5"/>
        <v>золотой</v>
      </c>
      <c r="Y46" s="18" t="str">
        <f t="shared" ca="1" si="6"/>
        <v>золотой</v>
      </c>
      <c r="Z46" s="117" t="s">
        <v>25394</v>
      </c>
      <c r="AA46" s="73" t="str">
        <f ca="1"/>
        <v>94-011-00-60</v>
      </c>
      <c r="AB46" s="75" t="str">
        <f ca="1">VLOOKUP(C46,Группа!A:B,2,FALSE)</f>
        <v>Бейсболка</v>
      </c>
      <c r="AC46" s="97" t="str">
        <f ca="1">IFERROR(VLOOKUP(S46,Размеры!A:C,3,FALSE),"")</f>
        <v>60 L/XL</v>
      </c>
      <c r="AD46" s="97" t="str">
        <f ca="1">VLOOKUP(I46,ЦветПолный!A:B,2,FALSE)</f>
        <v>00</v>
      </c>
      <c r="AE46" s="97" t="str">
        <f ca="1">IFERROR(VLOOKUP(S46,Размеры!A:D,4,FALSE),"")</f>
        <v>60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0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0</v>
      </c>
      <c r="AO46" s="97">
        <f ca="1">VLOOKUP(I46,ЦветПолный!A:C,3,0)</f>
        <v>1</v>
      </c>
      <c r="AP46" s="97">
        <f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94-011-00</v>
      </c>
      <c r="B47" s="107" t="str">
        <f ca="1">_xlfn.LET(_xlpm.CAPS,0,_xlpm.Style,TRIM(_xlfn.XLOOKUP($A47,Строчный!$A:$A,Строчный!B:B,"ERR",0)),IF(_xlpm.CAPS=0,_xlpm.Style,LOWER(_xlpm.Style)))</f>
        <v>6277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</v>
      </c>
      <c r="E47" s="81" t="str">
        <f ca="1">PROPER(TRIM(_xlfn.XLOOKUP($A47,Строчный!$A:$A,Строчный!E:E,"ERR",0)))</f>
        <v>Flexfit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FLEXFIT</v>
      </c>
      <c r="H47" s="81" t="str">
        <f ca="1">LOWER(TRIM(_xlfn.XLOOKUP($A47,Строчный!$A:$A,Строчный!H:H,"ERR",0)))</f>
        <v>gold</v>
      </c>
      <c r="I47" s="81" t="str">
        <f ca="1">LOWER(TRIM(_xlfn.XLOOKUP($A47,Строчный!$A:$A,Строчный!I:I,"ERR",0)))</f>
        <v>золотой</v>
      </c>
      <c r="J47" s="81" t="str">
        <f ca="1">SUBSTITUTE(LOWER(TRIM(_xlfn.XLOOKUP($A47,Строчный!$A:$A,Строчный!J:J,"ERR",0))),"подклад","Подклад")</f>
        <v>63% полиэстер - 34% хлопок - 3% полиуретан</v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Корея, Республика</v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PROPER(TRIM(_xlfn.XLOOKUP($A47,Строчный!$A:$A,Строчный!Q:Q,"ERR",0)))</f>
        <v/>
      </c>
      <c r="Q47" s="90">
        <f ca="1">VALUE(_xlfn.XLOOKUP($A47,Строчный!$A:$A,Строчный!N:N,"ERR",0))</f>
        <v>716.67</v>
      </c>
      <c r="R47" s="89" t="str">
        <f ca="1">_xlfn.XLOOKUP($G47,Фабрика!A:A,Фабрика!B:B,"ERR",0)</f>
        <v>YupoongInc; 174, Gurodong-ro, Guro-gu, 08285 Seoul, South Korea</v>
      </c>
      <c r="S47" s="80" t="str">
        <f ca="1">_xlfn.XLOOKUP(RIGHT(AA47,2),Размеры!D:D,Размеры!A:A,"ERR",0)</f>
        <v>56</v>
      </c>
      <c r="T47" s="80">
        <f ca="1">VALUE(_xlfn.XLOOKUP($AA47,Строчный!$S:$S,Строчный!U:U,"ERR",0))</f>
        <v>2</v>
      </c>
      <c r="U47" s="14" t="s">
        <v>265</v>
      </c>
      <c r="V47" s="101" t="str">
        <f t="shared" ca="1" si="3"/>
        <v>Бейсболка FLEXFIT арт. 6277 (золотой)</v>
      </c>
      <c r="W47" s="100" t="str">
        <f t="shared" ca="1" si="4"/>
        <v>Бейсболка FLEXFIT арт. 6277 (золотой) {gold}</v>
      </c>
      <c r="X47" s="18" t="str">
        <f t="shared" ca="1" si="5"/>
        <v>золотой</v>
      </c>
      <c r="Y47" s="18" t="str">
        <f t="shared" ca="1" si="6"/>
        <v>золотой</v>
      </c>
      <c r="Z47" s="117" t="s">
        <v>25394</v>
      </c>
      <c r="AA47" s="73" t="str">
        <f ca="1"/>
        <v>94-011-00-56</v>
      </c>
      <c r="AB47" s="75" t="str">
        <f ca="1">VLOOKUP(C47,Группа!A:B,2,FALSE)</f>
        <v>Бейсболка</v>
      </c>
      <c r="AC47" s="97" t="str">
        <f ca="1">IFERROR(VLOOKUP(S47,Размеры!A:C,3,FALSE),"")</f>
        <v>56 S/M</v>
      </c>
      <c r="AD47" s="97" t="str">
        <f ca="1">VLOOKUP(I47,ЦветПолный!A:B,2,FALSE)</f>
        <v>00</v>
      </c>
      <c r="AE47" s="97" t="str">
        <f ca="1">IFERROR(VLOOKUP(S47,Размеры!A:D,4,FALSE),"")</f>
        <v>56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0</v>
      </c>
      <c r="AO47" s="97">
        <f ca="1">VLOOKUP(I47,ЦветПолный!A:C,3,0)</f>
        <v>1</v>
      </c>
      <c r="AP47" s="97">
        <f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94-010-00</v>
      </c>
      <c r="B48" s="107" t="str">
        <f ca="1">_xlfn.LET(_xlpm.CAPS,0,_xlpm.Style,TRIM(_xlfn.XLOOKUP($A48,Строчный!$A:$A,Строчный!B:B,"ERR",0)),IF(_xlpm.CAPS=0,_xlpm.Style,LOWER(_xlpm.Style)))</f>
        <v>6089TC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 с прямым козырьком</v>
      </c>
      <c r="E48" s="81" t="str">
        <f ca="1">PROPER(TRIM(_xlfn.XLOOKUP($A48,Строчный!$A:$A,Строчный!E:E,"ERR",0)))</f>
        <v>Flexfit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FLEXFIT</v>
      </c>
      <c r="H48" s="81" t="str">
        <f ca="1">LOWER(TRIM(_xlfn.XLOOKUP($A48,Строчный!$A:$A,Строчный!H:H,"ERR",0)))</f>
        <v>camo/black</v>
      </c>
      <c r="I48" s="81" t="str">
        <f ca="1">LOWER(TRIM(_xlfn.XLOOKUP($A48,Строчный!$A:$A,Строчный!I:I,"ERR",0)))</f>
        <v>камуфляж / черный</v>
      </c>
      <c r="J48" s="81" t="str">
        <f ca="1">SUBSTITUTE(LOWER(TRIM(_xlfn.XLOOKUP($A48,Строчный!$A:$A,Строчный!J:J,"ERR",0))),"подклад","Подклад")</f>
        <v>80% акрил - 20% шерсть</v>
      </c>
      <c r="K48" s="81" t="str">
        <f ca="1">LOWER(TRIM(_xlfn.XLOOKUP($A48,Строчный!$A:$A,Строчный!K:K,"ERR",0)))</f>
        <v>акриловые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Корея, Республика</v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PROPER(TRIM(_xlfn.XLOOKUP($A48,Строчный!$A:$A,Строчный!Q:Q,"ERR",0)))</f>
        <v/>
      </c>
      <c r="Q48" s="90">
        <f ca="1">VALUE(_xlfn.XLOOKUP($A48,Строчный!$A:$A,Строчный!N:N,"ERR",0))</f>
        <v>661.11</v>
      </c>
      <c r="R48" s="89" t="str">
        <f ca="1">_xlfn.XLOOKUP($G48,Фабрика!A:A,Фабрика!B:B,"ERR",0)</f>
        <v>YupoongInc; 174, Gurodong-ro, Guro-gu, 08285 Seoul, South Korea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10</v>
      </c>
      <c r="U48" s="14" t="s">
        <v>265</v>
      </c>
      <c r="V48" s="101" t="str">
        <f t="shared" ca="1" si="3"/>
        <v>Бейсболка FLEXFIT арт. 6089TC (камуфляж / черный)</v>
      </c>
      <c r="W48" s="100" t="str">
        <f t="shared" ca="1" si="4"/>
        <v>Бейсболка FLEXFIT арт. 6089TC (камуфляж / черный) {camo/black}</v>
      </c>
      <c r="X48" s="18" t="str">
        <f t="shared" ca="1" si="5"/>
        <v>камуфляж</v>
      </c>
      <c r="Y48" s="18" t="str">
        <f t="shared" ca="1" si="6"/>
        <v>черный</v>
      </c>
      <c r="Z48" s="117" t="s">
        <v>54</v>
      </c>
      <c r="AA48" s="73" t="str">
        <f ca="1"/>
        <v>94-010-00-00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00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94-009-72</v>
      </c>
      <c r="B49" s="107" t="str">
        <f ca="1">_xlfn.LET(_xlpm.CAPS,0,_xlpm.Style,TRIM(_xlfn.XLOOKUP($A49,Строчный!$A:$A,Строчный!B:B,"ERR",0)),IF(_xlpm.CAPS=0,_xlpm.Style,LOWER(_xlpm.Style)))</f>
        <v>6089MT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 с прямым козырьком</v>
      </c>
      <c r="E49" s="81" t="str">
        <f ca="1">PROPER(TRIM(_xlfn.XLOOKUP($A49,Строчный!$A:$A,Строчный!E:E,"ERR",0)))</f>
        <v>Flexfit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FLEXFIT</v>
      </c>
      <c r="H49" s="81" t="str">
        <f ca="1">LOWER(TRIM(_xlfn.XLOOKUP($A49,Строчный!$A:$A,Строчный!H:H,"ERR",0)))</f>
        <v>black/red</v>
      </c>
      <c r="I49" s="81" t="str">
        <f ca="1">LOWER(TRIM(_xlfn.XLOOKUP($A49,Строчный!$A:$A,Строчный!I:I,"ERR",0)))</f>
        <v>черный / красный</v>
      </c>
      <c r="J49" s="81" t="str">
        <f ca="1">SUBSTITUTE(LOWER(TRIM(_xlfn.XLOOKUP($A49,Строчный!$A:$A,Строчный!J:J,"ERR",0))),"подклад","Подклад")</f>
        <v>80% акрил - 20% шерсть</v>
      </c>
      <c r="K49" s="81" t="str">
        <f ca="1">LOWER(TRIM(_xlfn.XLOOKUP($A49,Строчный!$A:$A,Строчный!K:K,"ERR",0)))</f>
        <v>акриловые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Корея, Республика</v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PROPER(TRIM(_xlfn.XLOOKUP($A49,Строчный!$A:$A,Строчный!Q:Q,"ERR",0)))</f>
        <v/>
      </c>
      <c r="Q49" s="90">
        <f ca="1">VALUE(_xlfn.XLOOKUP($A49,Строчный!$A:$A,Строчный!N:N,"ERR",0))</f>
        <v>661.11</v>
      </c>
      <c r="R49" s="89" t="str">
        <f ca="1">_xlfn.XLOOKUP($G49,Фабрика!A:A,Фабрика!B:B,"ERR",0)</f>
        <v>YupoongInc; 174, Gurodong-ro, Guro-gu, 08285 Seoul, South Korea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4</v>
      </c>
      <c r="U49" s="14" t="s">
        <v>265</v>
      </c>
      <c r="V49" s="101" t="str">
        <f t="shared" ca="1" si="3"/>
        <v>Бейсболка FLEXFIT арт. 6089MT (черный / красный)</v>
      </c>
      <c r="W49" s="100" t="str">
        <f t="shared" ca="1" si="4"/>
        <v>Бейсболка FLEXFIT арт. 6089MT (черный / красный) {black/red}</v>
      </c>
      <c r="X49" s="18" t="str">
        <f t="shared" ca="1" si="5"/>
        <v>черный</v>
      </c>
      <c r="Y49" s="18" t="str">
        <f t="shared" ca="1" si="6"/>
        <v>красный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черный</v>
      </c>
      <c r="AA49" s="73" t="str">
        <f ca="1"/>
        <v>94-009-72-00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72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94-009-71</v>
      </c>
      <c r="B50" s="107" t="str">
        <f ca="1">_xlfn.LET(_xlpm.CAPS,0,_xlpm.Style,TRIM(_xlfn.XLOOKUP($A50,Строчный!$A:$A,Строчный!B:B,"ERR",0)),IF(_xlpm.CAPS=0,_xlpm.Style,LOWER(_xlpm.Style)))</f>
        <v>6089MT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 с прямым козырьком</v>
      </c>
      <c r="E50" s="81" t="str">
        <f ca="1">PROPER(TRIM(_xlfn.XLOOKUP($A50,Строчный!$A:$A,Строчный!E:E,"ERR",0)))</f>
        <v>Flexfit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FLEXFIT</v>
      </c>
      <c r="H50" s="81" t="str">
        <f ca="1">LOWER(TRIM(_xlfn.XLOOKUP($A50,Строчный!$A:$A,Строчный!H:H,"ERR",0)))</f>
        <v>navy/red</v>
      </c>
      <c r="I50" s="81" t="str">
        <f ca="1">LOWER(TRIM(_xlfn.XLOOKUP($A50,Строчный!$A:$A,Строчный!I:I,"ERR",0)))</f>
        <v>темно-синий / красный</v>
      </c>
      <c r="J50" s="81" t="str">
        <f ca="1">SUBSTITUTE(LOWER(TRIM(_xlfn.XLOOKUP($A50,Строчный!$A:$A,Строчный!J:J,"ERR",0))),"подклад","Подклад")</f>
        <v>80% акрил - 20% шерсть</v>
      </c>
      <c r="K50" s="81" t="str">
        <f ca="1">LOWER(TRIM(_xlfn.XLOOKUP($A50,Строчный!$A:$A,Строчный!K:K,"ERR",0)))</f>
        <v>акриловые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Корея, Республика</v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PROPER(TRIM(_xlfn.XLOOKUP($A50,Строчный!$A:$A,Строчный!Q:Q,"ERR",0)))</f>
        <v/>
      </c>
      <c r="Q50" s="90">
        <f ca="1">VALUE(_xlfn.XLOOKUP($A50,Строчный!$A:$A,Строчный!N:N,"ERR",0))</f>
        <v>661.11</v>
      </c>
      <c r="R50" s="89" t="str">
        <f ca="1">_xlfn.XLOOKUP($G50,Фабрика!A:A,Фабрика!B:B,"ERR",0)</f>
        <v>YupoongInc; 174, Gurodong-ro, Guro-gu, 08285 Seoul, South Korea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4</v>
      </c>
      <c r="U50" s="14" t="s">
        <v>265</v>
      </c>
      <c r="V50" s="101" t="str">
        <f t="shared" ca="1" si="3"/>
        <v>Бейсболка FLEXFIT арт. 6089MT (темно-синий / красный)</v>
      </c>
      <c r="W50" s="100" t="str">
        <f t="shared" ca="1" si="4"/>
        <v>Бейсболка FLEXFIT арт. 6089MT (темно-синий / красный) {navy/red}</v>
      </c>
      <c r="X50" s="18" t="str">
        <f t="shared" ca="1" si="5"/>
        <v>синий / красный</v>
      </c>
      <c r="Y50" s="18" t="str">
        <f t="shared" ca="1" si="6"/>
        <v>синий / красный</v>
      </c>
      <c r="Z50" s="117" t="s">
        <v>27</v>
      </c>
      <c r="AA50" s="73" t="str">
        <f ca="1"/>
        <v>94-009-71-00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71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1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94-009-45</v>
      </c>
      <c r="B51" s="107" t="str">
        <f ca="1">_xlfn.LET(_xlpm.CAPS,0,_xlpm.Style,TRIM(_xlfn.XLOOKUP($A51,Строчный!$A:$A,Строчный!B:B,"ERR",0)),IF(_xlpm.CAPS=0,_xlpm.Style,LOWER(_xlpm.Style)))</f>
        <v>6089MT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 с прямым козырьком</v>
      </c>
      <c r="E51" s="81" t="str">
        <f ca="1">PROPER(TRIM(_xlfn.XLOOKUP($A51,Строчный!$A:$A,Строчный!E:E,"ERR",0)))</f>
        <v>Flexfit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FLEXFIT</v>
      </c>
      <c r="H51" s="81" t="str">
        <f ca="1">LOWER(TRIM(_xlfn.XLOOKUP($A51,Строчный!$A:$A,Строчный!H:H,"ERR",0)))</f>
        <v>royal/orange</v>
      </c>
      <c r="I51" s="81" t="str">
        <f ca="1">LOWER(TRIM(_xlfn.XLOOKUP($A51,Строчный!$A:$A,Строчный!I:I,"ERR",0)))</f>
        <v>синий / оранжевый</v>
      </c>
      <c r="J51" s="81" t="str">
        <f ca="1">SUBSTITUTE(LOWER(TRIM(_xlfn.XLOOKUP($A51,Строчный!$A:$A,Строчный!J:J,"ERR",0))),"подклад","Подклад")</f>
        <v>80% акрил - 20% шерсть</v>
      </c>
      <c r="K51" s="81" t="str">
        <f ca="1">LOWER(TRIM(_xlfn.XLOOKUP($A51,Строчный!$A:$A,Строчный!K:K,"ERR",0)))</f>
        <v>акриловые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Корея, Республика</v>
      </c>
      <c r="N51" s="81" t="str">
        <f ca="1">UPPER(TRIM(_xlfn.XLOOKUP($A51,Строчный!$A:$A,Строчный!O:O,"ERR",0)))</f>
        <v/>
      </c>
      <c r="O51" s="102" t="str">
        <f ca="1">PROPER(TRIM(_xlfn.XLOOKUP($A51,Строчный!$A:$A,Строчный!P:P,"ERR",0)))</f>
        <v/>
      </c>
      <c r="P51" s="81" t="str">
        <f ca="1">PROPER(TRIM(_xlfn.XLOOKUP($A51,Строчный!$A:$A,Строчный!Q:Q,"ERR",0)))</f>
        <v/>
      </c>
      <c r="Q51" s="90">
        <f ca="1">VALUE(_xlfn.XLOOKUP($A51,Строчный!$A:$A,Строчный!N:N,"ERR",0))</f>
        <v>661.11</v>
      </c>
      <c r="R51" s="89" t="str">
        <f ca="1">_xlfn.XLOOKUP($G51,Фабрика!A:A,Фабрика!B:B,"ERR",0)</f>
        <v>YupoongInc; 174, Gurodong-ro, Guro-gu, 08285 Seoul, South Korea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4</v>
      </c>
      <c r="U51" s="14" t="s">
        <v>265</v>
      </c>
      <c r="V51" s="101" t="str">
        <f t="shared" ca="1" si="3"/>
        <v>Бейсболка FLEXFIT арт. 6089MT (синий / оранжевый)</v>
      </c>
      <c r="W51" s="100" t="str">
        <f t="shared" ca="1" si="4"/>
        <v>Бейсболка FLEXFIT арт. 6089MT (синий / оранжевый) {royal/orange}</v>
      </c>
      <c r="X51" s="18" t="str">
        <f t="shared" ca="1" si="5"/>
        <v>синий</v>
      </c>
      <c r="Y51" s="18" t="str">
        <f t="shared" ca="1" si="6"/>
        <v>оранжевый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синий</v>
      </c>
      <c r="AA51" s="73" t="str">
        <f ca="1"/>
        <v>94-009-45-00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45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1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94-009-11</v>
      </c>
      <c r="B52" s="107" t="str">
        <f ca="1">_xlfn.LET(_xlpm.CAPS,0,_xlpm.Style,TRIM(_xlfn.XLOOKUP($A52,Строчный!$A:$A,Строчный!B:B,"ERR",0)),IF(_xlpm.CAPS=0,_xlpm.Style,LOWER(_xlpm.Style)))</f>
        <v>6089MT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 с прямым козырьком</v>
      </c>
      <c r="E52" s="81" t="str">
        <f ca="1">PROPER(TRIM(_xlfn.XLOOKUP($A52,Строчный!$A:$A,Строчный!E:E,"ERR",0)))</f>
        <v>Flexfit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FLEXFIT</v>
      </c>
      <c r="H52" s="81" t="str">
        <f ca="1">LOWER(TRIM(_xlfn.XLOOKUP($A52,Строчный!$A:$A,Строчный!H:H,"ERR",0)))</f>
        <v>heather/black</v>
      </c>
      <c r="I52" s="81" t="str">
        <f ca="1">LOWER(TRIM(_xlfn.XLOOKUP($A52,Строчный!$A:$A,Строчный!I:I,"ERR",0)))</f>
        <v>светло-серый / черный</v>
      </c>
      <c r="J52" s="81" t="str">
        <f ca="1">SUBSTITUTE(LOWER(TRIM(_xlfn.XLOOKUP($A52,Строчный!$A:$A,Строчный!J:J,"ERR",0))),"подклад","Подклад")</f>
        <v>80% акрил - 20% шерсть</v>
      </c>
      <c r="K52" s="81" t="str">
        <f ca="1">LOWER(TRIM(_xlfn.XLOOKUP($A52,Строчный!$A:$A,Строчный!K:K,"ERR",0)))</f>
        <v>акриловые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Корея, Республика</v>
      </c>
      <c r="N52" s="81" t="str">
        <f ca="1">UPPER(TRIM(_xlfn.XLOOKUP($A52,Строчный!$A:$A,Строчный!O:O,"ERR",0)))</f>
        <v/>
      </c>
      <c r="O52" s="102" t="str">
        <f ca="1">PROPER(TRIM(_xlfn.XLOOKUP($A52,Строчный!$A:$A,Строчный!P:P,"ERR",0)))</f>
        <v/>
      </c>
      <c r="P52" s="81" t="str">
        <f ca="1">PROPER(TRIM(_xlfn.XLOOKUP($A52,Строчный!$A:$A,Строчный!Q:Q,"ERR",0)))</f>
        <v/>
      </c>
      <c r="Q52" s="90">
        <f ca="1">VALUE(_xlfn.XLOOKUP($A52,Строчный!$A:$A,Строчный!N:N,"ERR",0))</f>
        <v>661.11</v>
      </c>
      <c r="R52" s="89" t="str">
        <f ca="1">_xlfn.XLOOKUP($G52,Фабрика!A:A,Фабрика!B:B,"ERR",0)</f>
        <v>YupoongInc; 174, Gurodong-ro, Guro-gu, 08285 Seoul, South Korea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6</v>
      </c>
      <c r="U52" s="14" t="s">
        <v>265</v>
      </c>
      <c r="V52" s="101" t="str">
        <f t="shared" ca="1" si="3"/>
        <v>Бейсболка FLEXFIT арт. 6089MT (светло-серый / черный)</v>
      </c>
      <c r="W52" s="100" t="str">
        <f t="shared" ca="1" si="4"/>
        <v>Бейсболка FLEXFIT арт. 6089MT (светло-серый / черный) {heather/black}</v>
      </c>
      <c r="X52" s="18" t="str">
        <f t="shared" ref="X52:X53" ca="1" si="7">IFERROR(MID(I52,FIND("-",I52)+1,LEN(I52)),IFERROR(MID(I52,1,FIND("/",I52)-2),I52))</f>
        <v>серый / черный</v>
      </c>
      <c r="Y52" s="18" t="str">
        <f t="shared" ref="Y52:Y53" ca="1" si="8">IFERROR(MID(I52,FIND("-",I52)+1,LEN(I52)),IFERROR(MID(I52,FIND("/",I52)+2,LEN(I52)),I52))</f>
        <v>серый / черный</v>
      </c>
      <c r="Z52" s="117" t="s">
        <v>28</v>
      </c>
      <c r="AA52" s="73" t="str">
        <f ca="1"/>
        <v>94-009-11-00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11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94-009-10</v>
      </c>
      <c r="B53" s="107" t="str">
        <f ca="1">_xlfn.LET(_xlpm.CAPS,0,_xlpm.Style,TRIM(_xlfn.XLOOKUP($A53,Строчный!$A:$A,Строчный!B:B,"ERR",0)),IF(_xlpm.CAPS=0,_xlpm.Style,LOWER(_xlpm.Style)))</f>
        <v>6089MT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 с прямым козырьком</v>
      </c>
      <c r="E53" s="81" t="str">
        <f ca="1">PROPER(TRIM(_xlfn.XLOOKUP($A53,Строчный!$A:$A,Строчный!E:E,"ERR",0)))</f>
        <v>Flexfit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FLEXFIT</v>
      </c>
      <c r="H53" s="81" t="str">
        <f ca="1">LOWER(TRIM(_xlfn.XLOOKUP($A53,Строчный!$A:$A,Строчный!H:H,"ERR",0)))</f>
        <v>black/silver</v>
      </c>
      <c r="I53" s="81" t="str">
        <f ca="1">LOWER(TRIM(_xlfn.XLOOKUP($A53,Строчный!$A:$A,Строчный!I:I,"ERR",0)))</f>
        <v>черный / серый</v>
      </c>
      <c r="J53" s="81" t="str">
        <f ca="1">SUBSTITUTE(LOWER(TRIM(_xlfn.XLOOKUP($A53,Строчный!$A:$A,Строчный!J:J,"ERR",0))),"подклад","Подклад")</f>
        <v>80% акрил - 20% шерсть</v>
      </c>
      <c r="K53" s="81" t="str">
        <f ca="1">LOWER(TRIM(_xlfn.XLOOKUP($A53,Строчный!$A:$A,Строчный!K:K,"ERR",0)))</f>
        <v>акриловые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Корея, Республика</v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PROPER(TRIM(_xlfn.XLOOKUP($A53,Строчный!$A:$A,Строчный!Q:Q,"ERR",0)))</f>
        <v/>
      </c>
      <c r="Q53" s="90">
        <f ca="1">VALUE(_xlfn.XLOOKUP($A53,Строчный!$A:$A,Строчный!N:N,"ERR",0))</f>
        <v>661.11</v>
      </c>
      <c r="R53" s="89" t="str">
        <f ca="1">_xlfn.XLOOKUP($G53,Фабрика!A:A,Фабрика!B:B,"ERR",0)</f>
        <v>YupoongInc; 174, Gurodong-ro, Guro-gu, 08285 Seoul, South Korea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8</v>
      </c>
      <c r="U53" s="14" t="s">
        <v>265</v>
      </c>
      <c r="V53" s="101" t="str">
        <f t="shared" ca="1" si="3"/>
        <v>Бейсболка FLEXFIT арт. 6089MT (черный / серый)</v>
      </c>
      <c r="W53" s="100" t="str">
        <f t="shared" ca="1" si="4"/>
        <v>Бейсболка FLEXFIT арт. 6089MT (черный / серый) {black/silver}</v>
      </c>
      <c r="X53" s="18" t="str">
        <f t="shared" ca="1" si="7"/>
        <v>черный</v>
      </c>
      <c r="Y53" s="18" t="str">
        <f t="shared" ca="1" si="8"/>
        <v>серый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94-009-10-00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10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94-009-09</v>
      </c>
      <c r="B54" s="107" t="str">
        <f ca="1">_xlfn.LET(_xlpm.CAPS,0,_xlpm.Style,TRIM(_xlfn.XLOOKUP($A54,Строчный!$A:$A,Строчный!B:B,"ERR",0)),IF(_xlpm.CAPS=0,_xlpm.Style,LOWER(_xlpm.Style)))</f>
        <v>6089MT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 с прямым козырьком</v>
      </c>
      <c r="E54" s="81" t="str">
        <f ca="1">PROPER(TRIM(_xlfn.XLOOKUP($A54,Строчный!$A:$A,Строчный!E:E,"ERR",0)))</f>
        <v>Flexfit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FLEXFIT</v>
      </c>
      <c r="H54" s="81" t="str">
        <f ca="1">LOWER(TRIM(_xlfn.XLOOKUP($A54,Строчный!$A:$A,Строчный!H:H,"ERR",0)))</f>
        <v>dark heather/black</v>
      </c>
      <c r="I54" s="81" t="str">
        <f ca="1">LOWER(TRIM(_xlfn.XLOOKUP($A54,Строчный!$A:$A,Строчный!I:I,"ERR",0)))</f>
        <v>серый / черный</v>
      </c>
      <c r="J54" s="81" t="str">
        <f ca="1">SUBSTITUTE(LOWER(TRIM(_xlfn.XLOOKUP($A54,Строчный!$A:$A,Строчный!J:J,"ERR",0))),"подклад","Подклад")</f>
        <v>80% акрил - 20% шерсть</v>
      </c>
      <c r="K54" s="81" t="str">
        <f ca="1">LOWER(TRIM(_xlfn.XLOOKUP($A54,Строчный!$A:$A,Строчный!K:K,"ERR",0)))</f>
        <v>акриловые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Корея, Республика</v>
      </c>
      <c r="N54" s="81" t="str">
        <f ca="1">UPPER(TRIM(_xlfn.XLOOKUP($A54,Строчный!$A:$A,Строчный!O:O,"ERR",0)))</f>
        <v/>
      </c>
      <c r="O54" s="102" t="str">
        <f ca="1">PROPER(TRIM(_xlfn.XLOOKUP($A54,Строчный!$A:$A,Строчный!P:P,"ERR",0)))</f>
        <v/>
      </c>
      <c r="P54" s="81" t="str">
        <f ca="1">PROPER(TRIM(_xlfn.XLOOKUP($A54,Строчный!$A:$A,Строчный!Q:Q,"ERR",0)))</f>
        <v/>
      </c>
      <c r="Q54" s="90">
        <f ca="1">VALUE(_xlfn.XLOOKUP($A54,Строчный!$A:$A,Строчный!N:N,"ERR",0))</f>
        <v>661.11</v>
      </c>
      <c r="R54" s="89" t="str">
        <f ca="1">_xlfn.XLOOKUP($G54,Фабрика!A:A,Фабрика!B:B,"ERR",0)</f>
        <v>YupoongInc; 174, Gurodong-ro, Guro-gu, 08285 Seoul, South Korea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6</v>
      </c>
      <c r="U54" s="14" t="s">
        <v>265</v>
      </c>
      <c r="V54" s="101" t="str">
        <f t="shared" ca="1" si="3"/>
        <v>Бейсболка FLEXFIT арт. 6089MT (серый / черный)</v>
      </c>
      <c r="W54" s="100" t="str">
        <f t="shared" ca="1" si="4"/>
        <v>Бейсболка FLEXFIT арт. 6089MT (серый / черный) {dark heather/black}</v>
      </c>
      <c r="X54" s="18" t="str">
        <f t="shared" ref="X54:X91" ca="1" si="9">IFERROR(MID(I54,FIND("-",I54)+1,LEN(I54)),IFERROR(MID(I54,1,FIND("/",I54)-2),I54))</f>
        <v>серый</v>
      </c>
      <c r="Y54" s="18" t="str">
        <f t="shared" ref="Y54:Y91" ca="1" si="10">IFERROR(MID(I54,FIND("-",I54)+1,LEN(I54)),IFERROR(MID(I54,FIND("/",I54)+2,LEN(I54)),I54))</f>
        <v>черный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серый</v>
      </c>
      <c r="AA54" s="73" t="str">
        <f ca="1"/>
        <v>94-009-09-00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09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94-009-08</v>
      </c>
      <c r="B55" s="107" t="str">
        <f ca="1">_xlfn.LET(_xlpm.CAPS,0,_xlpm.Style,TRIM(_xlfn.XLOOKUP($A55,Строчный!$A:$A,Строчный!B:B,"ERR",0)),IF(_xlpm.CAPS=0,_xlpm.Style,LOWER(_xlpm.Style)))</f>
        <v>6089MT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 с прямым козырьком</v>
      </c>
      <c r="E55" s="81" t="str">
        <f ca="1">PROPER(TRIM(_xlfn.XLOOKUP($A55,Строчный!$A:$A,Строчный!E:E,"ERR",0)))</f>
        <v>Flexfit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FLEXFIT</v>
      </c>
      <c r="H55" s="81" t="str">
        <f ca="1">LOWER(TRIM(_xlfn.XLOOKUP($A55,Строчный!$A:$A,Строчный!H:H,"ERR",0)))</f>
        <v>dark heather/red</v>
      </c>
      <c r="I55" s="81" t="str">
        <f ca="1">LOWER(TRIM(_xlfn.XLOOKUP($A55,Строчный!$A:$A,Строчный!I:I,"ERR",0)))</f>
        <v>серый / красный</v>
      </c>
      <c r="J55" s="81" t="str">
        <f ca="1">SUBSTITUTE(LOWER(TRIM(_xlfn.XLOOKUP($A55,Строчный!$A:$A,Строчный!J:J,"ERR",0))),"подклад","Подклад")</f>
        <v>80% акрил - 20% шерсть</v>
      </c>
      <c r="K55" s="81" t="str">
        <f ca="1">LOWER(TRIM(_xlfn.XLOOKUP($A55,Строчный!$A:$A,Строчный!K:K,"ERR",0)))</f>
        <v>акриловые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Корея, Республика</v>
      </c>
      <c r="N55" s="81" t="str">
        <f ca="1">UPPER(TRIM(_xlfn.XLOOKUP($A55,Строчный!$A:$A,Строчный!O:O,"ERR",0)))</f>
        <v/>
      </c>
      <c r="O55" s="102" t="str">
        <f ca="1">PROPER(TRIM(_xlfn.XLOOKUP($A55,Строчный!$A:$A,Строчный!P:P,"ERR",0)))</f>
        <v/>
      </c>
      <c r="P55" s="81" t="str">
        <f ca="1">PROPER(TRIM(_xlfn.XLOOKUP($A55,Строчный!$A:$A,Строчный!Q:Q,"ERR",0)))</f>
        <v/>
      </c>
      <c r="Q55" s="90">
        <f ca="1">VALUE(_xlfn.XLOOKUP($A55,Строчный!$A:$A,Строчный!N:N,"ERR",0))</f>
        <v>661.11</v>
      </c>
      <c r="R55" s="89" t="str">
        <f ca="1">_xlfn.XLOOKUP($G55,Фабрика!A:A,Фабрика!B:B,"ERR",0)</f>
        <v>YupoongInc; 174, Gurodong-ro, Guro-gu, 08285 Seoul, South Korea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4</v>
      </c>
      <c r="U55" s="14" t="s">
        <v>265</v>
      </c>
      <c r="V55" s="101" t="str">
        <f t="shared" ca="1" si="3"/>
        <v>Бейсболка FLEXFIT арт. 6089MT (серый / красный)</v>
      </c>
      <c r="W55" s="100" t="str">
        <f t="shared" ca="1" si="4"/>
        <v>Бейсболка FLEXFIT арт. 6089MT (серый / красный) {dark heather/red}</v>
      </c>
      <c r="X55" s="18" t="str">
        <f t="shared" ca="1" si="9"/>
        <v>серый</v>
      </c>
      <c r="Y55" s="18" t="str">
        <f t="shared" ca="1" si="10"/>
        <v>красный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серый</v>
      </c>
      <c r="AA55" s="73" t="str">
        <f ca="1"/>
        <v>94-009-08-00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08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94-008-00</v>
      </c>
      <c r="B56" s="107" t="str">
        <f ca="1">_xlfn.LET(_xlpm.CAPS,0,_xlpm.Style,TRIM(_xlfn.XLOOKUP($A56,Строчный!$A:$A,Строчный!B:B,"ERR",0)),IF(_xlpm.CAPS=0,_xlpm.Style,LOWER(_xlpm.Style)))</f>
        <v>6089MC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 с прямым козырьком</v>
      </c>
      <c r="E56" s="81" t="str">
        <f ca="1">PROPER(TRIM(_xlfn.XLOOKUP($A56,Строчный!$A:$A,Строчный!E:E,"ERR",0)))</f>
        <v>Flexfit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FLEXFIT</v>
      </c>
      <c r="H56" s="81" t="str">
        <f ca="1">LOWER(TRIM(_xlfn.XLOOKUP($A56,Строчный!$A:$A,Строчный!H:H,"ERR",0)))</f>
        <v>multicam</v>
      </c>
      <c r="I56" s="81" t="str">
        <f ca="1">LOWER(TRIM(_xlfn.XLOOKUP($A56,Строчный!$A:$A,Строчный!I:I,"ERR",0)))</f>
        <v>камуфляж</v>
      </c>
      <c r="J56" s="81" t="str">
        <f ca="1">SUBSTITUTE(LOWER(TRIM(_xlfn.XLOOKUP($A56,Строчный!$A:$A,Строчный!J:J,"ERR",0))),"подклад","Подклад")</f>
        <v>98% хлопок - 2% полиуретан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Корея, Республика</v>
      </c>
      <c r="N56" s="81" t="str">
        <f ca="1">UPPER(TRIM(_xlfn.XLOOKUP($A56,Строчный!$A:$A,Строчный!O:O,"ERR",0)))</f>
        <v/>
      </c>
      <c r="O56" s="102" t="str">
        <f ca="1">PROPER(TRIM(_xlfn.XLOOKUP($A56,Строчный!$A:$A,Строчный!P:P,"ERR",0)))</f>
        <v/>
      </c>
      <c r="P56" s="81" t="str">
        <f ca="1">PROPER(TRIM(_xlfn.XLOOKUP($A56,Строчный!$A:$A,Строчный!Q:Q,"ERR",0)))</f>
        <v/>
      </c>
      <c r="Q56" s="90">
        <f ca="1">VALUE(_xlfn.XLOOKUP($A56,Строчный!$A:$A,Строчный!N:N,"ERR",0))</f>
        <v>716.67</v>
      </c>
      <c r="R56" s="89" t="str">
        <f ca="1">_xlfn.XLOOKUP($G56,Фабрика!A:A,Фабрика!B:B,"ERR",0)</f>
        <v>YupoongInc; 174, Gurodong-ro, Guro-gu, 08285 Seoul, South Korea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6</v>
      </c>
      <c r="U56" s="14" t="s">
        <v>265</v>
      </c>
      <c r="V56" s="101" t="str">
        <f t="shared" ca="1" si="3"/>
        <v>Бейсболка FLEXFIT арт. 6089MC (камуфляж)</v>
      </c>
      <c r="W56" s="100" t="str">
        <f t="shared" ca="1" si="4"/>
        <v>Бейсболка FLEXFIT арт. 6089MC (камуфляж) {multicam}</v>
      </c>
      <c r="X56" s="18" t="str">
        <f t="shared" ca="1" si="9"/>
        <v>камуфляж</v>
      </c>
      <c r="Y56" s="18" t="str">
        <f t="shared" ca="1" si="10"/>
        <v>камуфляж</v>
      </c>
      <c r="Z56" s="117" t="s">
        <v>54</v>
      </c>
      <c r="AA56" s="73" t="str">
        <f ca="1"/>
        <v>94-008-00-00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00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0</v>
      </c>
      <c r="AO56" s="97">
        <f ca="1">VLOOKUP(I56,ЦветПолный!A:C,3,0)</f>
        <v>1</v>
      </c>
      <c r="AP56" s="97">
        <f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94-007-19</v>
      </c>
      <c r="B57" s="107" t="str">
        <f ca="1">_xlfn.LET(_xlpm.CAPS,0,_xlpm.Style,TRIM(_xlfn.XLOOKUP($A57,Строчный!$A:$A,Строчный!B:B,"ERR",0)),IF(_xlpm.CAPS=0,_xlpm.Style,LOWER(_xlpm.Style)))</f>
        <v>6089M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 с прямым козырьком</v>
      </c>
      <c r="E57" s="81" t="str">
        <f ca="1">PROPER(TRIM(_xlfn.XLOOKUP($A57,Строчный!$A:$A,Строчный!E:E,"ERR",0)))</f>
        <v>Flexfit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FLEXFIT</v>
      </c>
      <c r="H57" s="81" t="str">
        <f ca="1">LOWER(TRIM(_xlfn.XLOOKUP($A57,Строчный!$A:$A,Строчный!H:H,"ERR",0)))</f>
        <v>dark navy</v>
      </c>
      <c r="I57" s="81" t="str">
        <f ca="1">LOWER(TRIM(_xlfn.XLOOKUP($A57,Строчный!$A:$A,Строчный!I:I,"ERR",0)))</f>
        <v>светло-синий</v>
      </c>
      <c r="J57" s="81" t="str">
        <f ca="1">SUBSTITUTE(LOWER(TRIM(_xlfn.XLOOKUP($A57,Строчный!$A:$A,Строчный!J:J,"ERR",0))),"подклад","Подклад")</f>
        <v>80% акрил - 20% шерсть</v>
      </c>
      <c r="K57" s="81" t="str">
        <f ca="1">LOWER(TRIM(_xlfn.XLOOKUP($A57,Строчный!$A:$A,Строчный!K:K,"ERR",0)))</f>
        <v/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Корея, Республика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PROPER(TRIM(_xlfn.XLOOKUP($A57,Строчный!$A:$A,Строчный!Q:Q,"ERR",0)))</f>
        <v/>
      </c>
      <c r="Q57" s="90">
        <f ca="1">VALUE(_xlfn.XLOOKUP($A57,Строчный!$A:$A,Строчный!N:N,"ERR",0))</f>
        <v>661.11</v>
      </c>
      <c r="R57" s="89" t="str">
        <f ca="1">_xlfn.XLOOKUP($G57,Фабрика!A:A,Фабрика!B:B,"ERR",0)</f>
        <v>YupoongInc; 174, Gurodong-ro, Guro-gu, 08285 Seoul, South Korea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16</v>
      </c>
      <c r="U57" s="14" t="s">
        <v>265</v>
      </c>
      <c r="V57" s="101" t="str">
        <f t="shared" ca="1" si="3"/>
        <v>Бейсболка FLEXFIT арт. 6089M (светло-синий)</v>
      </c>
      <c r="W57" s="100" t="str">
        <f t="shared" ca="1" si="4"/>
        <v>Бейсболка FLEXFIT арт. 6089M (светло-синий) {dark navy}</v>
      </c>
      <c r="X57" s="18" t="str">
        <f t="shared" ca="1" si="9"/>
        <v>синий</v>
      </c>
      <c r="Y57" s="18" t="str">
        <f t="shared" ca="1" si="10"/>
        <v>синий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синий</v>
      </c>
      <c r="AA57" s="73" t="str">
        <f ca="1"/>
        <v>94-007-19-00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19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0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94-007-18</v>
      </c>
      <c r="B58" s="107" t="str">
        <f ca="1">_xlfn.LET(_xlpm.CAPS,0,_xlpm.Style,TRIM(_xlfn.XLOOKUP($A58,Строчный!$A:$A,Строчный!B:B,"ERR",0)),IF(_xlpm.CAPS=0,_xlpm.Style,LOWER(_xlpm.Style)))</f>
        <v>6089M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 с прямым козырьком</v>
      </c>
      <c r="E58" s="81" t="str">
        <f ca="1">PROPER(TRIM(_xlfn.XLOOKUP($A58,Строчный!$A:$A,Строчный!E:E,"ERR",0)))</f>
        <v>Flexfit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FLEXFIT</v>
      </c>
      <c r="H58" s="81" t="str">
        <f ca="1">LOWER(TRIM(_xlfn.XLOOKUP($A58,Строчный!$A:$A,Строчный!H:H,"ERR",0)))</f>
        <v>red</v>
      </c>
      <c r="I58" s="81" t="str">
        <f ca="1">LOWER(TRIM(_xlfn.XLOOKUP($A58,Строчный!$A:$A,Строчный!I:I,"ERR",0)))</f>
        <v>красный</v>
      </c>
      <c r="J58" s="81" t="str">
        <f ca="1">SUBSTITUTE(LOWER(TRIM(_xlfn.XLOOKUP($A58,Строчный!$A:$A,Строчный!J:J,"ERR",0))),"подклад","Подклад")</f>
        <v>80% акрил - 20% шерсть</v>
      </c>
      <c r="K58" s="81" t="str">
        <f ca="1">LOWER(TRIM(_xlfn.XLOOKUP($A58,Строчный!$A:$A,Строчный!K:K,"ERR",0)))</f>
        <v/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Корея, Республика</v>
      </c>
      <c r="N58" s="81" t="str">
        <f ca="1">UPPER(TRIM(_xlfn.XLOOKUP($A58,Строчный!$A:$A,Строчный!O:O,"ERR",0)))</f>
        <v/>
      </c>
      <c r="O58" s="102" t="str">
        <f ca="1">PROPER(TRIM(_xlfn.XLOOKUP($A58,Строчный!$A:$A,Строчный!P:P,"ERR",0)))</f>
        <v/>
      </c>
      <c r="P58" s="81" t="str">
        <f ca="1">PROPER(TRIM(_xlfn.XLOOKUP($A58,Строчный!$A:$A,Строчный!Q:Q,"ERR",0)))</f>
        <v/>
      </c>
      <c r="Q58" s="90">
        <f ca="1">VALUE(_xlfn.XLOOKUP($A58,Строчный!$A:$A,Строчный!N:N,"ERR",0))</f>
        <v>661.11</v>
      </c>
      <c r="R58" s="89" t="str">
        <f ca="1">_xlfn.XLOOKUP($G58,Фабрика!A:A,Фабрика!B:B,"ERR",0)</f>
        <v>YupoongInc; 174, Gurodong-ro, Guro-gu, 08285 Seoul, South Korea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4</v>
      </c>
      <c r="U58" s="14" t="s">
        <v>265</v>
      </c>
      <c r="V58" s="101" t="str">
        <f t="shared" ca="1" si="3"/>
        <v>Бейсболка FLEXFIT арт. 6089M (красный)</v>
      </c>
      <c r="W58" s="100" t="str">
        <f t="shared" ca="1" si="4"/>
        <v>Бейсболка FLEXFIT арт. 6089M (красный) {red}</v>
      </c>
      <c r="X58" s="18" t="str">
        <f t="shared" ca="1" si="9"/>
        <v>красный</v>
      </c>
      <c r="Y58" s="18" t="str">
        <f t="shared" ca="1" si="10"/>
        <v>красный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красный</v>
      </c>
      <c r="AA58" s="73" t="str">
        <f ca="1"/>
        <v>94-007-18-00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18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0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94-007-17</v>
      </c>
      <c r="B59" s="107" t="str">
        <f ca="1">_xlfn.LET(_xlpm.CAPS,0,_xlpm.Style,TRIM(_xlfn.XLOOKUP($A59,Строчный!$A:$A,Строчный!B:B,"ERR",0)),IF(_xlpm.CAPS=0,_xlpm.Style,LOWER(_xlpm.Style)))</f>
        <v>6089M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 с прямым козырьком</v>
      </c>
      <c r="E59" s="81" t="str">
        <f ca="1">PROPER(TRIM(_xlfn.XLOOKUP($A59,Строчный!$A:$A,Строчный!E:E,"ERR",0)))</f>
        <v>Flexfit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FLEXFIT</v>
      </c>
      <c r="H59" s="81" t="str">
        <f ca="1">LOWER(TRIM(_xlfn.XLOOKUP($A59,Строчный!$A:$A,Строчный!H:H,"ERR",0)))</f>
        <v>white</v>
      </c>
      <c r="I59" s="81" t="str">
        <f ca="1">LOWER(TRIM(_xlfn.XLOOKUP($A59,Строчный!$A:$A,Строчный!I:I,"ERR",0)))</f>
        <v>белый</v>
      </c>
      <c r="J59" s="81" t="str">
        <f ca="1">SUBSTITUTE(LOWER(TRIM(_xlfn.XLOOKUP($A59,Строчный!$A:$A,Строчный!J:J,"ERR",0))),"подклад","Подклад")</f>
        <v>100% акрил</v>
      </c>
      <c r="K59" s="81" t="str">
        <f ca="1">LOWER(TRIM(_xlfn.XLOOKUP($A59,Строчный!$A:$A,Строчный!K:K,"ERR",0)))</f>
        <v>акриловые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Корея, Республика</v>
      </c>
      <c r="N59" s="81" t="str">
        <f ca="1">UPPER(TRIM(_xlfn.XLOOKUP($A59,Строчный!$A:$A,Строчный!O:O,"ERR",0)))</f>
        <v/>
      </c>
      <c r="O59" s="102" t="str">
        <f ca="1">PROPER(TRIM(_xlfn.XLOOKUP($A59,Строчный!$A:$A,Строчный!P:P,"ERR",0)))</f>
        <v/>
      </c>
      <c r="P59" s="81" t="str">
        <f ca="1">PROPER(TRIM(_xlfn.XLOOKUP($A59,Строчный!$A:$A,Строчный!Q:Q,"ERR",0)))</f>
        <v/>
      </c>
      <c r="Q59" s="90">
        <f ca="1">VALUE(_xlfn.XLOOKUP($A59,Строчный!$A:$A,Строчный!N:N,"ERR",0))</f>
        <v>661.11</v>
      </c>
      <c r="R59" s="89" t="str">
        <f ca="1">_xlfn.XLOOKUP($G59,Фабрика!A:A,Фабрика!B:B,"ERR",0)</f>
        <v>YupoongInc; 174, Gurodong-ro, Guro-gu, 08285 Seoul, South Korea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4</v>
      </c>
      <c r="U59" s="14" t="s">
        <v>265</v>
      </c>
      <c r="V59" s="101" t="str">
        <f t="shared" ca="1" si="3"/>
        <v>Бейсболка FLEXFIT арт. 6089M (белый)</v>
      </c>
      <c r="W59" s="100" t="str">
        <f t="shared" ca="1" si="4"/>
        <v>Бейсболка FLEXFIT арт. 6089M (белый) {white}</v>
      </c>
      <c r="X59" s="18" t="str">
        <f t="shared" ca="1" si="9"/>
        <v>белый</v>
      </c>
      <c r="Y59" s="18" t="str">
        <f t="shared" ca="1" si="10"/>
        <v>белый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белый</v>
      </c>
      <c r="AA59" s="73" t="str">
        <f ca="1"/>
        <v>94-007-17-00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17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94-007-16</v>
      </c>
      <c r="B60" s="107" t="str">
        <f ca="1">_xlfn.LET(_xlpm.CAPS,0,_xlpm.Style,TRIM(_xlfn.XLOOKUP($A60,Строчный!$A:$A,Строчный!B:B,"ERR",0)),IF(_xlpm.CAPS=0,_xlpm.Style,LOWER(_xlpm.Style)))</f>
        <v>6089M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 с прямым козырьком</v>
      </c>
      <c r="E60" s="81" t="str">
        <f ca="1">PROPER(TRIM(_xlfn.XLOOKUP($A60,Строчный!$A:$A,Строчный!E:E,"ERR",0)))</f>
        <v>Flexfit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FLEXFIT</v>
      </c>
      <c r="H60" s="81" t="str">
        <f ca="1">LOWER(TRIM(_xlfn.XLOOKUP($A60,Строчный!$A:$A,Строчный!H:H,"ERR",0)))</f>
        <v>navy</v>
      </c>
      <c r="I60" s="81" t="str">
        <f ca="1">LOWER(TRIM(_xlfn.XLOOKUP($A60,Строчный!$A:$A,Строчный!I:I,"ERR",0)))</f>
        <v>темно-синий</v>
      </c>
      <c r="J60" s="81" t="str">
        <f ca="1">SUBSTITUTE(LOWER(TRIM(_xlfn.XLOOKUP($A60,Строчный!$A:$A,Строчный!J:J,"ERR",0))),"подклад","Подклад")</f>
        <v>80% акрил - 20% шерсть</v>
      </c>
      <c r="K60" s="81" t="str">
        <f ca="1">LOWER(TRIM(_xlfn.XLOOKUP($A60,Строчный!$A:$A,Строчный!K:K,"ERR",0)))</f>
        <v/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Корея, Республика</v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PROPER(TRIM(_xlfn.XLOOKUP($A60,Строчный!$A:$A,Строчный!Q:Q,"ERR",0)))</f>
        <v/>
      </c>
      <c r="Q60" s="90">
        <f ca="1">VALUE(_xlfn.XLOOKUP($A60,Строчный!$A:$A,Строчный!N:N,"ERR",0))</f>
        <v>661.11</v>
      </c>
      <c r="R60" s="89" t="str">
        <f ca="1">_xlfn.XLOOKUP($G60,Фабрика!A:A,Фабрика!B:B,"ERR",0)</f>
        <v>YupoongInc; 174, Gurodong-ro, Guro-gu, 08285 Seoul, South Korea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10</v>
      </c>
      <c r="U60" s="14" t="s">
        <v>265</v>
      </c>
      <c r="V60" s="101" t="str">
        <f t="shared" ca="1" si="3"/>
        <v>Бейсболка FLEXFIT арт. 6089M (темно-синий)</v>
      </c>
      <c r="W60" s="100" t="str">
        <f t="shared" ca="1" si="4"/>
        <v>Бейсболка FLEXFIT арт. 6089M (темно-синий) {navy}</v>
      </c>
      <c r="X60" s="18" t="str">
        <f t="shared" ca="1" si="9"/>
        <v>синий</v>
      </c>
      <c r="Y60" s="18" t="str">
        <f t="shared" ca="1" si="10"/>
        <v>синий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синий</v>
      </c>
      <c r="AA60" s="73" t="str">
        <f ca="1"/>
        <v>94-007-16-00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16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0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94-007-13</v>
      </c>
      <c r="B61" s="107" t="str">
        <f ca="1">_xlfn.LET(_xlpm.CAPS,0,_xlpm.Style,TRIM(_xlfn.XLOOKUP($A61,Строчный!$A:$A,Строчный!B:B,"ERR",0)),IF(_xlpm.CAPS=0,_xlpm.Style,LOWER(_xlpm.Style)))</f>
        <v>6089M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 с прямым козырьком</v>
      </c>
      <c r="E61" s="81" t="str">
        <f ca="1">PROPER(TRIM(_xlfn.XLOOKUP($A61,Строчный!$A:$A,Строчный!E:E,"ERR",0)))</f>
        <v>Flexfit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FLEXFIT</v>
      </c>
      <c r="H61" s="81" t="str">
        <f ca="1">LOWER(TRIM(_xlfn.XLOOKUP($A61,Строчный!$A:$A,Строчный!H:H,"ERR",0)))</f>
        <v>orange</v>
      </c>
      <c r="I61" s="81" t="str">
        <f ca="1">LOWER(TRIM(_xlfn.XLOOKUP($A61,Строчный!$A:$A,Строчный!I:I,"ERR",0)))</f>
        <v>оранжевый</v>
      </c>
      <c r="J61" s="81" t="str">
        <f ca="1">SUBSTITUTE(LOWER(TRIM(_xlfn.XLOOKUP($A61,Строчный!$A:$A,Строчный!J:J,"ERR",0))),"подклад","Подклад")</f>
        <v>80% акрил - 20% шерсть</v>
      </c>
      <c r="K61" s="81" t="str">
        <f ca="1">LOWER(TRIM(_xlfn.XLOOKUP($A61,Строчный!$A:$A,Строчный!K:K,"ERR",0)))</f>
        <v/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Корея, Республика</v>
      </c>
      <c r="N61" s="81" t="str">
        <f ca="1">UPPER(TRIM(_xlfn.XLOOKUP($A61,Строчный!$A:$A,Строчный!O:O,"ERR",0)))</f>
        <v/>
      </c>
      <c r="O61" s="102" t="str">
        <f ca="1">PROPER(TRIM(_xlfn.XLOOKUP($A61,Строчный!$A:$A,Строчный!P:P,"ERR",0)))</f>
        <v/>
      </c>
      <c r="P61" s="81" t="str">
        <f ca="1">PROPER(TRIM(_xlfn.XLOOKUP($A61,Строчный!$A:$A,Строчный!Q:Q,"ERR",0)))</f>
        <v/>
      </c>
      <c r="Q61" s="90">
        <f ca="1">VALUE(_xlfn.XLOOKUP($A61,Строчный!$A:$A,Строчный!N:N,"ERR",0))</f>
        <v>661.11</v>
      </c>
      <c r="R61" s="89" t="str">
        <f ca="1">_xlfn.XLOOKUP($G61,Фабрика!A:A,Фабрика!B:B,"ERR",0)</f>
        <v>YupoongInc; 174, Gurodong-ro, Guro-gu, 08285 Seoul, South Korea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4</v>
      </c>
      <c r="U61" s="14" t="s">
        <v>265</v>
      </c>
      <c r="V61" s="101" t="str">
        <f t="shared" ca="1" si="3"/>
        <v>Бейсболка FLEXFIT арт. 6089M (оранжевый)</v>
      </c>
      <c r="W61" s="100" t="str">
        <f t="shared" ca="1" si="4"/>
        <v>Бейсболка FLEXFIT арт. 6089M (оранжевый) {orange}</v>
      </c>
      <c r="X61" s="18" t="str">
        <f t="shared" ca="1" si="9"/>
        <v>оранжевый</v>
      </c>
      <c r="Y61" s="18" t="str">
        <f t="shared" ca="1" si="10"/>
        <v>оранжевый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оранжевый</v>
      </c>
      <c r="AA61" s="73" t="str">
        <f ca="1"/>
        <v>94-007-13-00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13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0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94-007-12</v>
      </c>
      <c r="B62" s="107" t="str">
        <f ca="1">_xlfn.LET(_xlpm.CAPS,0,_xlpm.Style,TRIM(_xlfn.XLOOKUP($A62,Строчный!$A:$A,Строчный!B:B,"ERR",0)),IF(_xlpm.CAPS=0,_xlpm.Style,LOWER(_xlpm.Style)))</f>
        <v>6089M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 с прямым козырьком</v>
      </c>
      <c r="E62" s="81" t="str">
        <f ca="1">PROPER(TRIM(_xlfn.XLOOKUP($A62,Строчный!$A:$A,Строчный!E:E,"ERR",0)))</f>
        <v>Flexfit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FLEXFIT</v>
      </c>
      <c r="H62" s="81" t="str">
        <f ca="1">LOWER(TRIM(_xlfn.XLOOKUP($A62,Строчный!$A:$A,Строчный!H:H,"ERR",0)))</f>
        <v>maroon</v>
      </c>
      <c r="I62" s="81" t="str">
        <f ca="1">LOWER(TRIM(_xlfn.XLOOKUP($A62,Строчный!$A:$A,Строчный!I:I,"ERR",0)))</f>
        <v>бордовый</v>
      </c>
      <c r="J62" s="81" t="str">
        <f ca="1">SUBSTITUTE(LOWER(TRIM(_xlfn.XLOOKUP($A62,Строчный!$A:$A,Строчный!J:J,"ERR",0))),"подклад","Подклад")</f>
        <v>80% акрил - 20% шерсть</v>
      </c>
      <c r="K62" s="81" t="str">
        <f ca="1">LOWER(TRIM(_xlfn.XLOOKUP($A62,Строчный!$A:$A,Строчный!K:K,"ERR",0)))</f>
        <v/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Корея, Республика</v>
      </c>
      <c r="N62" s="81" t="str">
        <f ca="1">UPPER(TRIM(_xlfn.XLOOKUP($A62,Строчный!$A:$A,Строчный!O:O,"ERR",0)))</f>
        <v/>
      </c>
      <c r="O62" s="102" t="str">
        <f ca="1">PROPER(TRIM(_xlfn.XLOOKUP($A62,Строчный!$A:$A,Строчный!P:P,"ERR",0)))</f>
        <v/>
      </c>
      <c r="P62" s="81" t="str">
        <f ca="1">PROPER(TRIM(_xlfn.XLOOKUP($A62,Строчный!$A:$A,Строчный!Q:Q,"ERR",0)))</f>
        <v/>
      </c>
      <c r="Q62" s="90">
        <f ca="1">VALUE(_xlfn.XLOOKUP($A62,Строчный!$A:$A,Строчный!N:N,"ERR",0))</f>
        <v>661.11</v>
      </c>
      <c r="R62" s="89" t="str">
        <f ca="1">_xlfn.XLOOKUP($G62,Фабрика!A:A,Фабрика!B:B,"ERR",0)</f>
        <v>YupoongInc; 174, Gurodong-ro, Guro-gu, 08285 Seoul, South Korea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7</v>
      </c>
      <c r="U62" s="14" t="s">
        <v>265</v>
      </c>
      <c r="V62" s="101" t="str">
        <f t="shared" ca="1" si="3"/>
        <v>Бейсболка FLEXFIT арт. 6089M (бордовый)</v>
      </c>
      <c r="W62" s="100" t="str">
        <f t="shared" ca="1" si="4"/>
        <v>Бейсболка FLEXFIT арт. 6089M (бордовый) {maroon}</v>
      </c>
      <c r="X62" s="18" t="str">
        <f t="shared" ca="1" si="9"/>
        <v>бордовый</v>
      </c>
      <c r="Y62" s="18" t="str">
        <f t="shared" ca="1" si="10"/>
        <v>бордовый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бордовый</v>
      </c>
      <c r="AA62" s="73" t="str">
        <f ca="1"/>
        <v>94-007-12-00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12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0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94-007-11</v>
      </c>
      <c r="B63" s="107" t="str">
        <f ca="1">_xlfn.LET(_xlpm.CAPS,0,_xlpm.Style,TRIM(_xlfn.XLOOKUP($A63,Строчный!$A:$A,Строчный!B:B,"ERR",0)),IF(_xlpm.CAPS=0,_xlpm.Style,LOWER(_xlpm.Style)))</f>
        <v>6089M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 с прямым козырьком</v>
      </c>
      <c r="E63" s="81" t="str">
        <f ca="1">PROPER(TRIM(_xlfn.XLOOKUP($A63,Строчный!$A:$A,Строчный!E:E,"ERR",0)))</f>
        <v>Flexfit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FLEXFIT</v>
      </c>
      <c r="H63" s="81" t="str">
        <f ca="1">LOWER(TRIM(_xlfn.XLOOKUP($A63,Строчный!$A:$A,Строчный!H:H,"ERR",0)))</f>
        <v>spruce</v>
      </c>
      <c r="I63" s="81" t="str">
        <f ca="1">LOWER(TRIM(_xlfn.XLOOKUP($A63,Строчный!$A:$A,Строчный!I:I,"ERR",0)))</f>
        <v>зеленый</v>
      </c>
      <c r="J63" s="81" t="str">
        <f ca="1">SUBSTITUTE(LOWER(TRIM(_xlfn.XLOOKUP($A63,Строчный!$A:$A,Строчный!J:J,"ERR",0))),"подклад","Подклад")</f>
        <v>80% акрил - 20% шерсть</v>
      </c>
      <c r="K63" s="81" t="str">
        <f ca="1">LOWER(TRIM(_xlfn.XLOOKUP($A63,Строчный!$A:$A,Строчный!K:K,"ERR",0)))</f>
        <v/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Корея, Республика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PROPER(TRIM(_xlfn.XLOOKUP($A63,Строчный!$A:$A,Строчный!Q:Q,"ERR",0)))</f>
        <v/>
      </c>
      <c r="Q63" s="90">
        <f ca="1">VALUE(_xlfn.XLOOKUP($A63,Строчный!$A:$A,Строчный!N:N,"ERR",0))</f>
        <v>661.11</v>
      </c>
      <c r="R63" s="89" t="str">
        <f ca="1">_xlfn.XLOOKUP($G63,Фабрика!A:A,Фабрика!B:B,"ERR",0)</f>
        <v>YupoongInc; 174, Gurodong-ro, Guro-gu, 08285 Seoul, South Korea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4</v>
      </c>
      <c r="U63" s="14" t="s">
        <v>265</v>
      </c>
      <c r="V63" s="101" t="str">
        <f t="shared" ca="1" si="3"/>
        <v>Бейсболка FLEXFIT арт. 6089M (зеленый)</v>
      </c>
      <c r="W63" s="100" t="str">
        <f t="shared" ca="1" si="4"/>
        <v>Бейсболка FLEXFIT арт. 6089M (зеленый) {spruce}</v>
      </c>
      <c r="X63" s="18" t="str">
        <f t="shared" ca="1" si="9"/>
        <v>зеленый</v>
      </c>
      <c r="Y63" s="18" t="str">
        <f t="shared" ca="1" si="10"/>
        <v>зеленый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зеленый</v>
      </c>
      <c r="AA63" s="73" t="str">
        <f ca="1"/>
        <v>94-007-11-00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11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0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94-007-09</v>
      </c>
      <c r="B64" s="107" t="str">
        <f ca="1">_xlfn.LET(_xlpm.CAPS,0,_xlpm.Style,TRIM(_xlfn.XLOOKUP($A64,Строчный!$A:$A,Строчный!B:B,"ERR",0)),IF(_xlpm.CAPS=0,_xlpm.Style,LOWER(_xlpm.Style)))</f>
        <v>6089M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 с прямым козырьком</v>
      </c>
      <c r="E64" s="81" t="str">
        <f ca="1">PROPER(TRIM(_xlfn.XLOOKUP($A64,Строчный!$A:$A,Строчный!E:E,"ERR",0)))</f>
        <v>Flexfit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FLEXFIT</v>
      </c>
      <c r="H64" s="81" t="str">
        <f ca="1">LOWER(TRIM(_xlfn.XLOOKUP($A64,Строчный!$A:$A,Строчный!H:H,"ERR",0)))</f>
        <v>black</v>
      </c>
      <c r="I64" s="81" t="str">
        <f ca="1">LOWER(TRIM(_xlfn.XLOOKUP($A64,Строчный!$A:$A,Строчный!I:I,"ERR",0)))</f>
        <v>черный</v>
      </c>
      <c r="J64" s="81" t="str">
        <f ca="1">SUBSTITUTE(LOWER(TRIM(_xlfn.XLOOKUP($A64,Строчный!$A:$A,Строчный!J:J,"ERR",0))),"подклад","Подклад")</f>
        <v>80% акрил - 20% шерсть</v>
      </c>
      <c r="K64" s="81" t="str">
        <f ca="1">LOWER(TRIM(_xlfn.XLOOKUP($A64,Строчный!$A:$A,Строчный!K:K,"ERR",0)))</f>
        <v/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Корея, Республика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PROPER(TRIM(_xlfn.XLOOKUP($A64,Строчный!$A:$A,Строчный!Q:Q,"ERR",0)))</f>
        <v/>
      </c>
      <c r="Q64" s="90">
        <f ca="1">VALUE(_xlfn.XLOOKUP($A64,Строчный!$A:$A,Строчный!N:N,"ERR",0))</f>
        <v>661.11</v>
      </c>
      <c r="R64" s="89" t="str">
        <f ca="1">_xlfn.XLOOKUP($G64,Фабрика!A:A,Фабрика!B:B,"ERR",0)</f>
        <v>YupoongInc; 174, Gurodong-ro, Guro-gu, 08285 Seoul, South Korea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2</v>
      </c>
      <c r="U64" s="14" t="s">
        <v>265</v>
      </c>
      <c r="V64" s="101" t="str">
        <f t="shared" ca="1" si="3"/>
        <v>Бейсболка FLEXFIT арт. 6089M (черный)</v>
      </c>
      <c r="W64" s="100" t="str">
        <f t="shared" ca="1" si="4"/>
        <v>Бейсболка FLEXFIT арт. 6089M (черный) {black}</v>
      </c>
      <c r="X64" s="18" t="str">
        <f t="shared" ca="1" si="9"/>
        <v>черный</v>
      </c>
      <c r="Y64" s="18" t="str">
        <f t="shared" ca="1" si="10"/>
        <v>черный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черный</v>
      </c>
      <c r="AA64" s="73" t="str">
        <f ca="1"/>
        <v>94-007-09-00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09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0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94-007-08</v>
      </c>
      <c r="B65" s="107" t="str">
        <f ca="1">_xlfn.LET(_xlpm.CAPS,0,_xlpm.Style,TRIM(_xlfn.XLOOKUP($A65,Строчный!$A:$A,Строчный!B:B,"ERR",0)),IF(_xlpm.CAPS=0,_xlpm.Style,LOWER(_xlpm.Style)))</f>
        <v>6089M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 с прямым козырьком</v>
      </c>
      <c r="E65" s="81" t="str">
        <f ca="1">PROPER(TRIM(_xlfn.XLOOKUP($A65,Строчный!$A:$A,Строчный!E:E,"ERR",0)))</f>
        <v>Flexfit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FLEXFIT</v>
      </c>
      <c r="H65" s="81" t="str">
        <f ca="1">LOWER(TRIM(_xlfn.XLOOKUP($A65,Строчный!$A:$A,Строчный!H:H,"ERR",0)))</f>
        <v>silver</v>
      </c>
      <c r="I65" s="81" t="str">
        <f ca="1">LOWER(TRIM(_xlfn.XLOOKUP($A65,Строчный!$A:$A,Строчный!I:I,"ERR",0)))</f>
        <v>серый</v>
      </c>
      <c r="J65" s="81" t="str">
        <f ca="1">SUBSTITUTE(LOWER(TRIM(_xlfn.XLOOKUP($A65,Строчный!$A:$A,Строчный!J:J,"ERR",0))),"подклад","Подклад")</f>
        <v>80% акрил - 20% шерсть</v>
      </c>
      <c r="K65" s="81" t="str">
        <f ca="1">LOWER(TRIM(_xlfn.XLOOKUP($A65,Строчный!$A:$A,Строчный!K:K,"ERR",0)))</f>
        <v/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Корея, Республика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PROPER(TRIM(_xlfn.XLOOKUP($A65,Строчный!$A:$A,Строчный!Q:Q,"ERR",0)))</f>
        <v/>
      </c>
      <c r="Q65" s="90">
        <f ca="1">VALUE(_xlfn.XLOOKUP($A65,Строчный!$A:$A,Строчный!N:N,"ERR",0))</f>
        <v>661.11</v>
      </c>
      <c r="R65" s="89" t="str">
        <f ca="1">_xlfn.XLOOKUP($G65,Фабрика!A:A,Фабрика!B:B,"ERR",0)</f>
        <v>YupoongInc; 174, Gurodong-ro, Guro-gu, 08285 Seoul, South Korea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4</v>
      </c>
      <c r="U65" s="14" t="s">
        <v>265</v>
      </c>
      <c r="V65" s="101" t="str">
        <f t="shared" ca="1" si="3"/>
        <v>Бейсболка FLEXFIT арт. 6089M (серый)</v>
      </c>
      <c r="W65" s="100" t="str">
        <f t="shared" ca="1" si="4"/>
        <v>Бейсболка FLEXFIT арт. 6089M (серый) {silver}</v>
      </c>
      <c r="X65" s="18" t="str">
        <f t="shared" ca="1" si="9"/>
        <v>серый</v>
      </c>
      <c r="Y65" s="18" t="str">
        <f t="shared" ca="1" si="10"/>
        <v>серый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серый</v>
      </c>
      <c r="AA65" s="73" t="str">
        <f ca="1"/>
        <v>94-007-08-00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08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0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94-007-06</v>
      </c>
      <c r="B66" s="107" t="str">
        <f ca="1">_xlfn.LET(_xlpm.CAPS,0,_xlpm.Style,TRIM(_xlfn.XLOOKUP($A66,Строчный!$A:$A,Строчный!B:B,"ERR",0)),IF(_xlpm.CAPS=0,_xlpm.Style,LOWER(_xlpm.Style)))</f>
        <v>6089M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 с прямым козырьком</v>
      </c>
      <c r="E66" s="81" t="str">
        <f ca="1">PROPER(TRIM(_xlfn.XLOOKUP($A66,Строчный!$A:$A,Строчный!E:E,"ERR",0)))</f>
        <v>Flexfit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FLEXFIT</v>
      </c>
      <c r="H66" s="81" t="str">
        <f ca="1">LOWER(TRIM(_xlfn.XLOOKUP($A66,Строчный!$A:$A,Строчный!H:H,"ERR",0)))</f>
        <v>royal</v>
      </c>
      <c r="I66" s="81" t="str">
        <f ca="1">LOWER(TRIM(_xlfn.XLOOKUP($A66,Строчный!$A:$A,Строчный!I:I,"ERR",0)))</f>
        <v>синий</v>
      </c>
      <c r="J66" s="81" t="str">
        <f ca="1">SUBSTITUTE(LOWER(TRIM(_xlfn.XLOOKUP($A66,Строчный!$A:$A,Строчный!J:J,"ERR",0))),"подклад","Подклад")</f>
        <v>80% акрил - 20% шерсть</v>
      </c>
      <c r="K66" s="81" t="str">
        <f ca="1">LOWER(TRIM(_xlfn.XLOOKUP($A66,Строчный!$A:$A,Строчный!K:K,"ERR",0)))</f>
        <v/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Корея, Республика</v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PROPER(TRIM(_xlfn.XLOOKUP($A66,Строчный!$A:$A,Строчный!Q:Q,"ERR",0)))</f>
        <v/>
      </c>
      <c r="Q66" s="90">
        <f ca="1">VALUE(_xlfn.XLOOKUP($A66,Строчный!$A:$A,Строчный!N:N,"ERR",0))</f>
        <v>661.11</v>
      </c>
      <c r="R66" s="89" t="str">
        <f ca="1">_xlfn.XLOOKUP($G66,Фабрика!A:A,Фабрика!B:B,"ERR",0)</f>
        <v>YupoongInc; 174, Gurodong-ro, Guro-gu, 08285 Seoul, South Korea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4</v>
      </c>
      <c r="U66" s="14" t="s">
        <v>265</v>
      </c>
      <c r="V66" s="101" t="str">
        <f t="shared" ca="1" si="3"/>
        <v>Бейсболка FLEXFIT арт. 6089M (синий)</v>
      </c>
      <c r="W66" s="100" t="str">
        <f t="shared" ca="1" si="4"/>
        <v>Бейсболка FLEXFIT арт. 6089M (синий) {royal}</v>
      </c>
      <c r="X66" s="18" t="str">
        <f t="shared" ca="1" si="9"/>
        <v>синий</v>
      </c>
      <c r="Y66" s="18" t="str">
        <f t="shared" ca="1" si="10"/>
        <v>синий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синий</v>
      </c>
      <c r="AA66" s="73" t="str">
        <f ca="1"/>
        <v>94-007-06-00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06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0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91" ca="1" si="11">LEFT(AA67,9)</f>
        <v>94-007-05</v>
      </c>
      <c r="B67" s="107" t="str">
        <f ca="1">_xlfn.LET(_xlpm.CAPS,0,_xlpm.Style,TRIM(_xlfn.XLOOKUP($A67,Строчный!$A:$A,Строчный!B:B,"ERR",0)),IF(_xlpm.CAPS=0,_xlpm.Style,LOWER(_xlpm.Style)))</f>
        <v>6089M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 с прямым козырьком</v>
      </c>
      <c r="E67" s="81" t="str">
        <f ca="1">PROPER(TRIM(_xlfn.XLOOKUP($A67,Строчный!$A:$A,Строчный!E:E,"ERR",0)))</f>
        <v>Flexfit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FLEXFIT</v>
      </c>
      <c r="H67" s="81" t="str">
        <f ca="1">LOWER(TRIM(_xlfn.XLOOKUP($A67,Строчный!$A:$A,Строчный!H:H,"ERR",0)))</f>
        <v>dark grey</v>
      </c>
      <c r="I67" s="81" t="str">
        <f ca="1">LOWER(TRIM(_xlfn.XLOOKUP($A67,Строчный!$A:$A,Строчный!I:I,"ERR",0)))</f>
        <v>темно-серый</v>
      </c>
      <c r="J67" s="81" t="str">
        <f ca="1">SUBSTITUTE(LOWER(TRIM(_xlfn.XLOOKUP($A67,Строчный!$A:$A,Строчный!J:J,"ERR",0))),"подклад","Подклад")</f>
        <v>80% акрил - 20% шерсть</v>
      </c>
      <c r="K67" s="81" t="str">
        <f ca="1">LOWER(TRIM(_xlfn.XLOOKUP($A67,Строчный!$A:$A,Строчный!K:K,"ERR",0)))</f>
        <v/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Корея, Республика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PROPER(TRIM(_xlfn.XLOOKUP($A67,Строчный!$A:$A,Строчный!Q:Q,"ERR",0)))</f>
        <v/>
      </c>
      <c r="Q67" s="90">
        <f ca="1">VALUE(_xlfn.XLOOKUP($A67,Строчный!$A:$A,Строчный!N:N,"ERR",0))</f>
        <v>661.11</v>
      </c>
      <c r="R67" s="89" t="str">
        <f ca="1">_xlfn.XLOOKUP($G67,Фабрика!A:A,Фабрика!B:B,"ERR",0)</f>
        <v>YupoongInc; 174, Gurodong-ro, Guro-gu, 08285 Seoul, South Korea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16</v>
      </c>
      <c r="U67" s="14" t="s">
        <v>265</v>
      </c>
      <c r="V67" s="101" t="str">
        <f t="shared" ref="V67:V91" ca="1" si="12">TRIM(CONCATENATE(AB67," ",G67," арт. ",B67," (",I67,")"))</f>
        <v>Бейсболка FLEXFIT арт. 6089M (темно-серый)</v>
      </c>
      <c r="W67" s="100" t="str">
        <f t="shared" ref="W67:W91" ca="1" si="13">TRIM(CONCATENATE(AB67," ",G67," арт. ",B67," (",I67,") {",H67,"}"))</f>
        <v>Бейсболка FLEXFIT арт. 6089M (темно-серый) {dark grey}</v>
      </c>
      <c r="X67" s="18" t="str">
        <f t="shared" ca="1" si="9"/>
        <v>серый</v>
      </c>
      <c r="Y67" s="18" t="str">
        <f t="shared" ca="1" si="10"/>
        <v>серый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серый</v>
      </c>
      <c r="AA67" s="73" t="str">
        <f ca="1"/>
        <v>94-007-05-00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05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0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11"/>
        <v>94-007-01</v>
      </c>
      <c r="B68" s="107" t="str">
        <f ca="1">_xlfn.LET(_xlpm.CAPS,0,_xlpm.Style,TRIM(_xlfn.XLOOKUP($A68,Строчный!$A:$A,Строчный!B:B,"ERR",0)),IF(_xlpm.CAPS=0,_xlpm.Style,LOWER(_xlpm.Style)))</f>
        <v>6089M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 с прямым козырьком</v>
      </c>
      <c r="E68" s="81" t="str">
        <f ca="1">PROPER(TRIM(_xlfn.XLOOKUP($A68,Строчный!$A:$A,Строчный!E:E,"ERR",0)))</f>
        <v>Flexfit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FLEXFIT</v>
      </c>
      <c r="H68" s="81" t="str">
        <f ca="1">LOWER(TRIM(_xlfn.XLOOKUP($A68,Строчный!$A:$A,Строчный!H:H,"ERR",0)))</f>
        <v>dark heather</v>
      </c>
      <c r="I68" s="81" t="str">
        <f ca="1">LOWER(TRIM(_xlfn.XLOOKUP($A68,Строчный!$A:$A,Строчный!I:I,"ERR",0)))</f>
        <v>светло-серый</v>
      </c>
      <c r="J68" s="81" t="str">
        <f ca="1">SUBSTITUTE(LOWER(TRIM(_xlfn.XLOOKUP($A68,Строчный!$A:$A,Строчный!J:J,"ERR",0))),"подклад","Подклад")</f>
        <v>80% акрил - 20% шерсть</v>
      </c>
      <c r="K68" s="81" t="str">
        <f ca="1">LOWER(TRIM(_xlfn.XLOOKUP($A68,Строчный!$A:$A,Строчный!K:K,"ERR",0)))</f>
        <v/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Корея, Республика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PROPER(TRIM(_xlfn.XLOOKUP($A68,Строчный!$A:$A,Строчный!Q:Q,"ERR",0)))</f>
        <v/>
      </c>
      <c r="Q68" s="90">
        <f ca="1">VALUE(_xlfn.XLOOKUP($A68,Строчный!$A:$A,Строчный!N:N,"ERR",0))</f>
        <v>661.11</v>
      </c>
      <c r="R68" s="89" t="str">
        <f ca="1">_xlfn.XLOOKUP($G68,Фабрика!A:A,Фабрика!B:B,"ERR",0)</f>
        <v>YupoongInc; 174, Gurodong-ro, Guro-gu, 08285 Seoul, South Korea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14</v>
      </c>
      <c r="U68" s="14" t="s">
        <v>265</v>
      </c>
      <c r="V68" s="101" t="str">
        <f t="shared" ca="1" si="12"/>
        <v>Бейсболка FLEXFIT арт. 6089M (светло-серый)</v>
      </c>
      <c r="W68" s="100" t="str">
        <f t="shared" ca="1" si="13"/>
        <v>Бейсболка FLEXFIT арт. 6089M (светло-серый) {dark heather}</v>
      </c>
      <c r="X68" s="18" t="str">
        <f t="shared" ca="1" si="9"/>
        <v>серый</v>
      </c>
      <c r="Y68" s="18" t="str">
        <f t="shared" ca="1" si="10"/>
        <v>серый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серый</v>
      </c>
      <c r="AA68" s="73" t="str">
        <f ca="1"/>
        <v>94-007-01-00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01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0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11"/>
        <v>94-006-00</v>
      </c>
      <c r="B69" s="107" t="str">
        <f ca="1">_xlfn.LET(_xlpm.CAPS,0,_xlpm.Style,TRIM(_xlfn.XLOOKUP($A69,Строчный!$A:$A,Строчный!B:B,"ERR",0)),IF(_xlpm.CAPS=0,_xlpm.Style,LOWER(_xlpm.Style)))</f>
        <v>6089CM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 с прямым козырьком</v>
      </c>
      <c r="E69" s="81" t="str">
        <f ca="1">PROPER(TRIM(_xlfn.XLOOKUP($A69,Строчный!$A:$A,Строчный!E:E,"ERR",0)))</f>
        <v>Flexfit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FLEXFIT</v>
      </c>
      <c r="H69" s="81" t="str">
        <f ca="1">LOWER(TRIM(_xlfn.XLOOKUP($A69,Строчный!$A:$A,Строчный!H:H,"ERR",0)))</f>
        <v>green camo</v>
      </c>
      <c r="I69" s="81" t="str">
        <f ca="1">LOWER(TRIM(_xlfn.XLOOKUP($A69,Строчный!$A:$A,Строчный!I:I,"ERR",0)))</f>
        <v>камуфляж</v>
      </c>
      <c r="J69" s="81" t="str">
        <f ca="1">SUBSTITUTE(LOWER(TRIM(_xlfn.XLOOKUP($A69,Строчный!$A:$A,Строчный!J:J,"ERR",0))),"подклад","Подклад")</f>
        <v>65% полиэстер - 35% хлопок</v>
      </c>
      <c r="K69" s="81" t="str">
        <f ca="1">LOWER(TRIM(_xlfn.XLOOKUP($A69,Строчный!$A:$A,Строчный!K:K,"ERR",0)))</f>
        <v/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Корея, Республика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PROPER(TRIM(_xlfn.XLOOKUP($A69,Строчный!$A:$A,Строчный!Q:Q,"ERR",0)))</f>
        <v/>
      </c>
      <c r="Q69" s="90">
        <f ca="1">VALUE(_xlfn.XLOOKUP($A69,Строчный!$A:$A,Строчный!N:N,"ERR",0))</f>
        <v>661.11</v>
      </c>
      <c r="R69" s="89" t="str">
        <f ca="1">_xlfn.XLOOKUP($G69,Фабрика!A:A,Фабрика!B:B,"ERR",0)</f>
        <v>YupoongInc; 174, Gurodong-ro, Guro-gu, 08285 Seoul, South Korea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6</v>
      </c>
      <c r="U69" s="14" t="s">
        <v>265</v>
      </c>
      <c r="V69" s="101" t="str">
        <f t="shared" ca="1" si="12"/>
        <v>Бейсболка FLEXFIT арт. 6089CM (камуфляж)</v>
      </c>
      <c r="W69" s="100" t="str">
        <f t="shared" ca="1" si="13"/>
        <v>Бейсболка FLEXFIT арт. 6089CM (камуфляж) {green camo}</v>
      </c>
      <c r="X69" s="18" t="str">
        <f t="shared" ca="1" si="9"/>
        <v>камуфляж</v>
      </c>
      <c r="Y69" s="18" t="str">
        <f t="shared" ca="1" si="10"/>
        <v>камуфляж</v>
      </c>
      <c r="Z69" s="117" t="s">
        <v>54</v>
      </c>
      <c r="AA69" s="73" t="str">
        <f ca="1"/>
        <v>94-006-00-00</v>
      </c>
      <c r="AB69" s="75" t="str">
        <f ca="1">VLOOKUP(C69,Группа!A:B,2,FALSE)</f>
        <v>Бейсболка</v>
      </c>
      <c r="AC69" s="97" t="str">
        <f ca="1">IFERROR(VLOOKUP(S69,Размеры!A:C,3,FALSE),"")</f>
        <v>ONE</v>
      </c>
      <c r="AD69" s="97" t="str">
        <f ca="1">VLOOKUP(I69,ЦветПолный!A:B,2,FALSE)</f>
        <v>00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0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11"/>
        <v>94-005-72</v>
      </c>
      <c r="B70" s="107" t="str">
        <f ca="1">_xlfn.LET(_xlpm.CAPS,0,_xlpm.Style,TRIM(_xlfn.XLOOKUP($A70,Строчный!$A:$A,Строчный!B:B,"ERR",0)),IF(_xlpm.CAPS=0,_xlpm.Style,LOWER(_xlpm.Style)))</f>
        <v>6007T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 с прямым козырьком</v>
      </c>
      <c r="E70" s="81" t="str">
        <f ca="1">PROPER(TRIM(_xlfn.XLOOKUP($A70,Строчный!$A:$A,Строчный!E:E,"ERR",0)))</f>
        <v>Flexfit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FLEXFIT</v>
      </c>
      <c r="H70" s="81" t="str">
        <f ca="1">LOWER(TRIM(_xlfn.XLOOKUP($A70,Строчный!$A:$A,Строчный!H:H,"ERR",0)))</f>
        <v>black/red</v>
      </c>
      <c r="I70" s="81" t="str">
        <f ca="1">LOWER(TRIM(_xlfn.XLOOKUP($A70,Строчный!$A:$A,Строчный!I:I,"ERR",0)))</f>
        <v>черный / красный</v>
      </c>
      <c r="J70" s="81" t="str">
        <f ca="1">SUBSTITUTE(LOWER(TRIM(_xlfn.XLOOKUP($A70,Строчный!$A:$A,Строчный!J:J,"ERR",0))),"подклад","Подклад")</f>
        <v>100%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Корея, Республика</v>
      </c>
      <c r="N70" s="81" t="str">
        <f ca="1">UPPER(TRIM(_xlfn.XLOOKUP($A70,Строчный!$A:$A,Строчный!O:O,"ERR",0)))</f>
        <v/>
      </c>
      <c r="O70" s="102" t="str">
        <f ca="1">PROPER(TRIM(_xlfn.XLOOKUP($A70,Строчный!$A:$A,Строчный!P:P,"ERR",0)))</f>
        <v/>
      </c>
      <c r="P70" s="81" t="str">
        <f ca="1">PROPER(TRIM(_xlfn.XLOOKUP($A70,Строчный!$A:$A,Строчный!Q:Q,"ERR",0)))</f>
        <v/>
      </c>
      <c r="Q70" s="90">
        <f ca="1">VALUE(_xlfn.XLOOKUP($A70,Строчный!$A:$A,Строчный!N:N,"ERR",0))</f>
        <v>661.11</v>
      </c>
      <c r="R70" s="89" t="str">
        <f ca="1">_xlfn.XLOOKUP($G70,Фабрика!A:A,Фабрика!B:B,"ERR",0)</f>
        <v>YupoongInc; 174, Gurodong-ro, Guro-gu, 08285 Seoul, South Korea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2</v>
      </c>
      <c r="U70" s="14" t="s">
        <v>265</v>
      </c>
      <c r="V70" s="101" t="str">
        <f t="shared" ca="1" si="12"/>
        <v>Бейсболка FLEXFIT арт. 6007T (черный / красный)</v>
      </c>
      <c r="W70" s="100" t="str">
        <f t="shared" ca="1" si="13"/>
        <v>Бейсболка FLEXFIT арт. 6007T (черный / красный) {black/red}</v>
      </c>
      <c r="X70" s="18" t="str">
        <f t="shared" ca="1" si="9"/>
        <v>черный</v>
      </c>
      <c r="Y70" s="18" t="str">
        <f t="shared" ca="1" si="10"/>
        <v>красный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черный</v>
      </c>
      <c r="AA70" s="73" t="str">
        <f ca="1"/>
        <v>94-005-72-00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72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11"/>
        <v>94-005-71</v>
      </c>
      <c r="B71" s="107" t="str">
        <f ca="1">_xlfn.LET(_xlpm.CAPS,0,_xlpm.Style,TRIM(_xlfn.XLOOKUP($A71,Строчный!$A:$A,Строчный!B:B,"ERR",0)),IF(_xlpm.CAPS=0,_xlpm.Style,LOWER(_xlpm.Style)))</f>
        <v>6007T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 с прямым козырьком</v>
      </c>
      <c r="E71" s="81" t="str">
        <f ca="1">PROPER(TRIM(_xlfn.XLOOKUP($A71,Строчный!$A:$A,Строчный!E:E,"ERR",0)))</f>
        <v>Flexfit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FLEXFIT</v>
      </c>
      <c r="H71" s="81" t="str">
        <f ca="1">LOWER(TRIM(_xlfn.XLOOKUP($A71,Строчный!$A:$A,Строчный!H:H,"ERR",0)))</f>
        <v>navy/red</v>
      </c>
      <c r="I71" s="81" t="str">
        <f ca="1">LOWER(TRIM(_xlfn.XLOOKUP($A71,Строчный!$A:$A,Строчный!I:I,"ERR",0)))</f>
        <v>темно-синий / красный</v>
      </c>
      <c r="J71" s="81" t="str">
        <f ca="1">SUBSTITUTE(LOWER(TRIM(_xlfn.XLOOKUP($A71,Строчный!$A:$A,Строчный!J:J,"ERR",0))),"подклад","Подклад")</f>
        <v>100%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Корея, Республика</v>
      </c>
      <c r="N71" s="81" t="str">
        <f ca="1">UPPER(TRIM(_xlfn.XLOOKUP($A71,Строчный!$A:$A,Строчный!O:O,"ERR",0)))</f>
        <v/>
      </c>
      <c r="O71" s="102" t="str">
        <f ca="1">PROPER(TRIM(_xlfn.XLOOKUP($A71,Строчный!$A:$A,Строчный!P:P,"ERR",0)))</f>
        <v/>
      </c>
      <c r="P71" s="81" t="str">
        <f ca="1">PROPER(TRIM(_xlfn.XLOOKUP($A71,Строчный!$A:$A,Строчный!Q:Q,"ERR",0)))</f>
        <v/>
      </c>
      <c r="Q71" s="90">
        <f ca="1">VALUE(_xlfn.XLOOKUP($A71,Строчный!$A:$A,Строчный!N:N,"ERR",0))</f>
        <v>661.11</v>
      </c>
      <c r="R71" s="89" t="str">
        <f ca="1">_xlfn.XLOOKUP($G71,Фабрика!A:A,Фабрика!B:B,"ERR",0)</f>
        <v>YupoongInc; 174, Gurodong-ro, Guro-gu, 08285 Seoul, South Korea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4</v>
      </c>
      <c r="U71" s="14" t="s">
        <v>265</v>
      </c>
      <c r="V71" s="101" t="str">
        <f t="shared" ca="1" si="12"/>
        <v>Бейсболка FLEXFIT арт. 6007T (темно-синий / красный)</v>
      </c>
      <c r="W71" s="100" t="str">
        <f t="shared" ca="1" si="13"/>
        <v>Бейсболка FLEXFIT арт. 6007T (темно-синий / красный) {navy/red}</v>
      </c>
      <c r="X71" s="18" t="str">
        <f t="shared" ca="1" si="9"/>
        <v>синий / красный</v>
      </c>
      <c r="Y71" s="18" t="str">
        <f t="shared" ca="1" si="10"/>
        <v>синий / красный</v>
      </c>
      <c r="Z71" s="117" t="s">
        <v>27</v>
      </c>
      <c r="AA71" s="73" t="str">
        <f ca="1"/>
        <v>94-005-71-00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71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11"/>
        <v>94-005-33</v>
      </c>
      <c r="B72" s="107" t="str">
        <f ca="1">_xlfn.LET(_xlpm.CAPS,0,_xlpm.Style,TRIM(_xlfn.XLOOKUP($A72,Строчный!$A:$A,Строчный!B:B,"ERR",0)),IF(_xlpm.CAPS=0,_xlpm.Style,LOWER(_xlpm.Style)))</f>
        <v>6007T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 с прямым козырьком</v>
      </c>
      <c r="E72" s="81" t="str">
        <f ca="1">PROPER(TRIM(_xlfn.XLOOKUP($A72,Строчный!$A:$A,Строчный!E:E,"ERR",0)))</f>
        <v>Flexfit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FLEXFIT</v>
      </c>
      <c r="H72" s="81" t="str">
        <f ca="1">LOWER(TRIM(_xlfn.XLOOKUP($A72,Строчный!$A:$A,Строчный!H:H,"ERR",0)))</f>
        <v>black/teal</v>
      </c>
      <c r="I72" s="81" t="str">
        <f ca="1">LOWER(TRIM(_xlfn.XLOOKUP($A72,Строчный!$A:$A,Строчный!I:I,"ERR",0)))</f>
        <v>черный / синий</v>
      </c>
      <c r="J72" s="81" t="str">
        <f ca="1">SUBSTITUTE(LOWER(TRIM(_xlfn.XLOOKUP($A72,Строчный!$A:$A,Строчный!J:J,"ERR",0))),"подклад","Подклад")</f>
        <v>100% хлопок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Корея, Республика</v>
      </c>
      <c r="N72" s="81" t="str">
        <f ca="1">UPPER(TRIM(_xlfn.XLOOKUP($A72,Строчный!$A:$A,Строчный!O:O,"ERR",0)))</f>
        <v/>
      </c>
      <c r="O72" s="102" t="str">
        <f ca="1">PROPER(TRIM(_xlfn.XLOOKUP($A72,Строчный!$A:$A,Строчный!P:P,"ERR",0)))</f>
        <v/>
      </c>
      <c r="P72" s="81" t="str">
        <f ca="1">PROPER(TRIM(_xlfn.XLOOKUP($A72,Строчный!$A:$A,Строчный!Q:Q,"ERR",0)))</f>
        <v/>
      </c>
      <c r="Q72" s="90">
        <f ca="1">VALUE(_xlfn.XLOOKUP($A72,Строчный!$A:$A,Строчный!N:N,"ERR",0))</f>
        <v>661.11</v>
      </c>
      <c r="R72" s="89" t="str">
        <f ca="1">_xlfn.XLOOKUP($G72,Фабрика!A:A,Фабрика!B:B,"ERR",0)</f>
        <v>YupoongInc; 174, Gurodong-ro, Guro-gu, 08285 Seoul, South Korea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4</v>
      </c>
      <c r="U72" s="14" t="s">
        <v>265</v>
      </c>
      <c r="V72" s="101" t="str">
        <f t="shared" ca="1" si="12"/>
        <v>Бейсболка FLEXFIT арт. 6007T (черный / синий)</v>
      </c>
      <c r="W72" s="100" t="str">
        <f t="shared" ca="1" si="13"/>
        <v>Бейсболка FLEXFIT арт. 6007T (черный / синий) {black/teal}</v>
      </c>
      <c r="X72" s="18" t="str">
        <f t="shared" ca="1" si="9"/>
        <v>черный</v>
      </c>
      <c r="Y72" s="18" t="str">
        <f t="shared" ca="1" si="10"/>
        <v>синий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черный</v>
      </c>
      <c r="AA72" s="73" t="str">
        <f ca="1"/>
        <v>94-005-33-00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78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11"/>
        <v>94-005-10</v>
      </c>
      <c r="B73" s="107" t="str">
        <f ca="1">_xlfn.LET(_xlpm.CAPS,0,_xlpm.Style,TRIM(_xlfn.XLOOKUP($A73,Строчный!$A:$A,Строчный!B:B,"ERR",0)),IF(_xlpm.CAPS=0,_xlpm.Style,LOWER(_xlpm.Style)))</f>
        <v>6007T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 с прямым козырьком</v>
      </c>
      <c r="E73" s="81" t="str">
        <f ca="1">PROPER(TRIM(_xlfn.XLOOKUP($A73,Строчный!$A:$A,Строчный!E:E,"ERR",0)))</f>
        <v>Flexfit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FLEXFIT</v>
      </c>
      <c r="H73" s="81" t="str">
        <f ca="1">LOWER(TRIM(_xlfn.XLOOKUP($A73,Строчный!$A:$A,Строчный!H:H,"ERR",0)))</f>
        <v>black/silver</v>
      </c>
      <c r="I73" s="81" t="str">
        <f ca="1">LOWER(TRIM(_xlfn.XLOOKUP($A73,Строчный!$A:$A,Строчный!I:I,"ERR",0)))</f>
        <v>черный / серый</v>
      </c>
      <c r="J73" s="81" t="str">
        <f ca="1">SUBSTITUTE(LOWER(TRIM(_xlfn.XLOOKUP($A73,Строчный!$A:$A,Строчный!J:J,"ERR",0))),"подклад","Подклад")</f>
        <v>100% хлопок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Корея, Республика</v>
      </c>
      <c r="N73" s="81" t="str">
        <f ca="1">UPPER(TRIM(_xlfn.XLOOKUP($A73,Строчный!$A:$A,Строчный!O:O,"ERR",0)))</f>
        <v/>
      </c>
      <c r="O73" s="102" t="str">
        <f ca="1">PROPER(TRIM(_xlfn.XLOOKUP($A73,Строчный!$A:$A,Строчный!P:P,"ERR",0)))</f>
        <v/>
      </c>
      <c r="P73" s="81" t="str">
        <f ca="1">PROPER(TRIM(_xlfn.XLOOKUP($A73,Строчный!$A:$A,Строчный!Q:Q,"ERR",0)))</f>
        <v/>
      </c>
      <c r="Q73" s="90">
        <f ca="1">VALUE(_xlfn.XLOOKUP($A73,Строчный!$A:$A,Строчный!N:N,"ERR",0))</f>
        <v>661.11</v>
      </c>
      <c r="R73" s="89" t="str">
        <f ca="1">_xlfn.XLOOKUP($G73,Фабрика!A:A,Фабрика!B:B,"ERR",0)</f>
        <v>YupoongInc; 174, Gurodong-ro, Guro-gu, 08285 Seoul, South Korea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6</v>
      </c>
      <c r="U73" s="14" t="s">
        <v>265</v>
      </c>
      <c r="V73" s="101" t="str">
        <f t="shared" ca="1" si="12"/>
        <v>Бейсболка FLEXFIT арт. 6007T (черный / серый)</v>
      </c>
      <c r="W73" s="100" t="str">
        <f t="shared" ca="1" si="13"/>
        <v>Бейсболка FLEXFIT арт. 6007T (черный / серый) {black/silver}</v>
      </c>
      <c r="X73" s="18" t="str">
        <f t="shared" ca="1" si="9"/>
        <v>черный</v>
      </c>
      <c r="Y73" s="18" t="str">
        <f t="shared" ca="1" si="10"/>
        <v>серый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черный</v>
      </c>
      <c r="AA73" s="73" t="str">
        <f ca="1"/>
        <v>94-005-10-00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10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11"/>
        <v>94-005-09</v>
      </c>
      <c r="B74" s="107" t="str">
        <f ca="1">_xlfn.LET(_xlpm.CAPS,0,_xlpm.Style,TRIM(_xlfn.XLOOKUP($A74,Строчный!$A:$A,Строчный!B:B,"ERR",0)),IF(_xlpm.CAPS=0,_xlpm.Style,LOWER(_xlpm.Style)))</f>
        <v>6007T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 с прямым козырьком</v>
      </c>
      <c r="E74" s="81" t="str">
        <f ca="1">PROPER(TRIM(_xlfn.XLOOKUP($A74,Строчный!$A:$A,Строчный!E:E,"ERR",0)))</f>
        <v>Flexfit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FLEXFIT</v>
      </c>
      <c r="H74" s="81" t="str">
        <f ca="1">LOWER(TRIM(_xlfn.XLOOKUP($A74,Строчный!$A:$A,Строчный!H:H,"ERR",0)))</f>
        <v>black/purple</v>
      </c>
      <c r="I74" s="81" t="str">
        <f ca="1">LOWER(TRIM(_xlfn.XLOOKUP($A74,Строчный!$A:$A,Строчный!I:I,"ERR",0)))</f>
        <v>черный / фиолетовый</v>
      </c>
      <c r="J74" s="81" t="str">
        <f ca="1">SUBSTITUTE(LOWER(TRIM(_xlfn.XLOOKUP($A74,Строчный!$A:$A,Строчный!J:J,"ERR",0))),"подклад","Подклад")</f>
        <v>100% хлопок</v>
      </c>
      <c r="K74" s="81" t="str">
        <f ca="1">LOWER(TRIM(_xlfn.XLOOKUP($A74,Строчный!$A:$A,Строчный!K:K,"ERR",0)))</f>
        <v>хлопковые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Корея, Республика</v>
      </c>
      <c r="N74" s="81" t="str">
        <f ca="1">UPPER(TRIM(_xlfn.XLOOKUP($A74,Строчный!$A:$A,Строчный!O:O,"ERR",0)))</f>
        <v/>
      </c>
      <c r="O74" s="102" t="str">
        <f ca="1">PROPER(TRIM(_xlfn.XLOOKUP($A74,Строчный!$A:$A,Строчный!P:P,"ERR",0)))</f>
        <v/>
      </c>
      <c r="P74" s="81" t="str">
        <f ca="1">PROPER(TRIM(_xlfn.XLOOKUP($A74,Строчный!$A:$A,Строчный!Q:Q,"ERR",0)))</f>
        <v/>
      </c>
      <c r="Q74" s="90">
        <f ca="1">VALUE(_xlfn.XLOOKUP($A74,Строчный!$A:$A,Строчный!N:N,"ERR",0))</f>
        <v>661.11</v>
      </c>
      <c r="R74" s="89" t="str">
        <f ca="1">_xlfn.XLOOKUP($G74,Фабрика!A:A,Фабрика!B:B,"ERR",0)</f>
        <v>YupoongInc; 174, Gurodong-ro, Guro-gu, 08285 Seoul, South Korea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4</v>
      </c>
      <c r="U74" s="14" t="s">
        <v>265</v>
      </c>
      <c r="V74" s="101" t="str">
        <f t="shared" ca="1" si="12"/>
        <v>Бейсболка FLEXFIT арт. 6007T (черный / фиолетовый)</v>
      </c>
      <c r="W74" s="100" t="str">
        <f t="shared" ca="1" si="13"/>
        <v>Бейсболка FLEXFIT арт. 6007T (черный / фиолетовый) {black/purple}</v>
      </c>
      <c r="X74" s="18" t="str">
        <f t="shared" ca="1" si="9"/>
        <v>черный</v>
      </c>
      <c r="Y74" s="18" t="str">
        <f t="shared" ca="1" si="10"/>
        <v>фиолетовый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3" t="str">
        <f ca="1"/>
        <v>94-005-09-00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09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11"/>
        <v>94-004-18</v>
      </c>
      <c r="B75" s="107" t="str">
        <f ca="1">_xlfn.LET(_xlpm.CAPS,0,_xlpm.Style,TRIM(_xlfn.XLOOKUP($A75,Строчный!$A:$A,Строчный!B:B,"ERR",0)),IF(_xlpm.CAPS=0,_xlpm.Style,LOWER(_xlpm.Style)))</f>
        <v>6007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 с прямым козырьком</v>
      </c>
      <c r="E75" s="81" t="str">
        <f ca="1">PROPER(TRIM(_xlfn.XLOOKUP($A75,Строчный!$A:$A,Строчный!E:E,"ERR",0)))</f>
        <v>Flexfit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FLEXFIT</v>
      </c>
      <c r="H75" s="81" t="str">
        <f ca="1">LOWER(TRIM(_xlfn.XLOOKUP($A75,Строчный!$A:$A,Строчный!H:H,"ERR",0)))</f>
        <v>red</v>
      </c>
      <c r="I75" s="81" t="str">
        <f ca="1">LOWER(TRIM(_xlfn.XLOOKUP($A75,Строчный!$A:$A,Строчный!I:I,"ERR",0)))</f>
        <v>красный</v>
      </c>
      <c r="J75" s="81" t="str">
        <f ca="1">SUBSTITUTE(LOWER(TRIM(_xlfn.XLOOKUP($A75,Строчный!$A:$A,Строчный!J:J,"ERR",0))),"подклад","Подклад")</f>
        <v>100% хлопок</v>
      </c>
      <c r="K75" s="81" t="str">
        <f ca="1">LOWER(TRIM(_xlfn.XLOOKUP($A75,Строчный!$A:$A,Строчный!K:K,"ERR",0)))</f>
        <v>хлопковые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Корея, Республика</v>
      </c>
      <c r="N75" s="81" t="str">
        <f ca="1">UPPER(TRIM(_xlfn.XLOOKUP($A75,Строчный!$A:$A,Строчный!O:O,"ERR",0)))</f>
        <v/>
      </c>
      <c r="O75" s="102" t="str">
        <f ca="1">PROPER(TRIM(_xlfn.XLOOKUP($A75,Строчный!$A:$A,Строчный!P:P,"ERR",0)))</f>
        <v/>
      </c>
      <c r="P75" s="81" t="str">
        <f ca="1">PROPER(TRIM(_xlfn.XLOOKUP($A75,Строчный!$A:$A,Строчный!Q:Q,"ERR",0)))</f>
        <v/>
      </c>
      <c r="Q75" s="90">
        <f ca="1">VALUE(_xlfn.XLOOKUP($A75,Строчный!$A:$A,Строчный!N:N,"ERR",0))</f>
        <v>661.11</v>
      </c>
      <c r="R75" s="89" t="str">
        <f ca="1">_xlfn.XLOOKUP($G75,Фабрика!A:A,Фабрика!B:B,"ERR",0)</f>
        <v>YupoongInc; 174, Gurodong-ro, Guro-gu, 08285 Seoul, South Korea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4</v>
      </c>
      <c r="U75" s="14" t="s">
        <v>265</v>
      </c>
      <c r="V75" s="101" t="str">
        <f t="shared" ca="1" si="12"/>
        <v>Бейсболка FLEXFIT арт. 6007 (красный)</v>
      </c>
      <c r="W75" s="100" t="str">
        <f t="shared" ca="1" si="13"/>
        <v>Бейсболка FLEXFIT арт. 6007 (красный) {red}</v>
      </c>
      <c r="X75" s="18" t="str">
        <f t="shared" ca="1" si="9"/>
        <v>красный</v>
      </c>
      <c r="Y75" s="18" t="str">
        <f t="shared" ca="1" si="10"/>
        <v>красный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красный</v>
      </c>
      <c r="AA75" s="73" t="str">
        <f ca="1"/>
        <v>94-004-18-00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18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11"/>
        <v>94-004-17</v>
      </c>
      <c r="B76" s="107" t="str">
        <f ca="1">_xlfn.LET(_xlpm.CAPS,0,_xlpm.Style,TRIM(_xlfn.XLOOKUP($A76,Строчный!$A:$A,Строчный!B:B,"ERR",0)),IF(_xlpm.CAPS=0,_xlpm.Style,LOWER(_xlpm.Style)))</f>
        <v>6007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 с прямым козырьком</v>
      </c>
      <c r="E76" s="81" t="str">
        <f ca="1">PROPER(TRIM(_xlfn.XLOOKUP($A76,Строчный!$A:$A,Строчный!E:E,"ERR",0)))</f>
        <v>Flexfit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FLEXFIT</v>
      </c>
      <c r="H76" s="81" t="str">
        <f ca="1">LOWER(TRIM(_xlfn.XLOOKUP($A76,Строчный!$A:$A,Строчный!H:H,"ERR",0)))</f>
        <v>white</v>
      </c>
      <c r="I76" s="81" t="str">
        <f ca="1">LOWER(TRIM(_xlfn.XLOOKUP($A76,Строчный!$A:$A,Строчный!I:I,"ERR",0)))</f>
        <v>белый</v>
      </c>
      <c r="J76" s="81" t="str">
        <f ca="1">SUBSTITUTE(LOWER(TRIM(_xlfn.XLOOKUP($A76,Строчный!$A:$A,Строчный!J:J,"ERR",0))),"подклад","Подклад")</f>
        <v>100% хлопок</v>
      </c>
      <c r="K76" s="81" t="str">
        <f ca="1">LOWER(TRIM(_xlfn.XLOOKUP($A76,Строчный!$A:$A,Строчный!K:K,"ERR",0)))</f>
        <v>хлопковые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Корея, Республика</v>
      </c>
      <c r="N76" s="81" t="str">
        <f ca="1">UPPER(TRIM(_xlfn.XLOOKUP($A76,Строчный!$A:$A,Строчный!O:O,"ERR",0)))</f>
        <v/>
      </c>
      <c r="O76" s="102" t="str">
        <f ca="1">PROPER(TRIM(_xlfn.XLOOKUP($A76,Строчный!$A:$A,Строчный!P:P,"ERR",0)))</f>
        <v/>
      </c>
      <c r="P76" s="81" t="str">
        <f ca="1">PROPER(TRIM(_xlfn.XLOOKUP($A76,Строчный!$A:$A,Строчный!Q:Q,"ERR",0)))</f>
        <v/>
      </c>
      <c r="Q76" s="90">
        <f ca="1">VALUE(_xlfn.XLOOKUP($A76,Строчный!$A:$A,Строчный!N:N,"ERR",0))</f>
        <v>661.11</v>
      </c>
      <c r="R76" s="89" t="str">
        <f ca="1">_xlfn.XLOOKUP($G76,Фабрика!A:A,Фабрика!B:B,"ERR",0)</f>
        <v>YupoongInc; 174, Gurodong-ro, Guro-gu, 08285 Seoul, South Korea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2</v>
      </c>
      <c r="U76" s="14" t="s">
        <v>265</v>
      </c>
      <c r="V76" s="101" t="str">
        <f t="shared" ca="1" si="12"/>
        <v>Бейсболка FLEXFIT арт. 6007 (белый)</v>
      </c>
      <c r="W76" s="100" t="str">
        <f t="shared" ca="1" si="13"/>
        <v>Бейсболка FLEXFIT арт. 6007 (белый) {white}</v>
      </c>
      <c r="X76" s="18" t="str">
        <f t="shared" ca="1" si="9"/>
        <v>белый</v>
      </c>
      <c r="Y76" s="18" t="str">
        <f t="shared" ca="1" si="10"/>
        <v>белый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белый</v>
      </c>
      <c r="AA76" s="73" t="str">
        <f ca="1"/>
        <v>94-004-17-00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17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11"/>
        <v>94-004-16</v>
      </c>
      <c r="B77" s="107" t="str">
        <f ca="1">_xlfn.LET(_xlpm.CAPS,0,_xlpm.Style,TRIM(_xlfn.XLOOKUP($A77,Строчный!$A:$A,Строчный!B:B,"ERR",0)),IF(_xlpm.CAPS=0,_xlpm.Style,LOWER(_xlpm.Style)))</f>
        <v>6007</v>
      </c>
      <c r="C77" s="81" t="str">
        <f ca="1">TRIM(PROPER(_xlfn.XLOOKUP($A77,Строчный!$A:$A,Строчный!C:C,"ERR",0)))</f>
        <v>Бейсболки</v>
      </c>
      <c r="D77" s="81" t="str">
        <f ca="1">_xlfn.LET(_xlpm.DATA,TRIM(_xlfn.XLOOKUP($A77,Строчный!$A:$A,Строчный!D:D,"ERR",0)),UPPER(MID(_xlpm.DATA,1,1))&amp;LOWER(MID(_xlpm.DATA,2,LEN(_xlpm.DATA)-1)))</f>
        <v>Бейсболка с прямым козырьком</v>
      </c>
      <c r="E77" s="81" t="str">
        <f ca="1">PROPER(TRIM(_xlfn.XLOOKUP($A77,Строчный!$A:$A,Строчный!E:E,"ERR",0)))</f>
        <v>Flexfit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FLEXFIT</v>
      </c>
      <c r="H77" s="81" t="str">
        <f ca="1">LOWER(TRIM(_xlfn.XLOOKUP($A77,Строчный!$A:$A,Строчный!H:H,"ERR",0)))</f>
        <v>navy</v>
      </c>
      <c r="I77" s="81" t="str">
        <f ca="1">LOWER(TRIM(_xlfn.XLOOKUP($A77,Строчный!$A:$A,Строчный!I:I,"ERR",0)))</f>
        <v>темно-синий</v>
      </c>
      <c r="J77" s="81" t="str">
        <f ca="1">SUBSTITUTE(LOWER(TRIM(_xlfn.XLOOKUP($A77,Строчный!$A:$A,Строчный!J:J,"ERR",0))),"подклад","Подклад")</f>
        <v>100% хлопок</v>
      </c>
      <c r="K77" s="81" t="str">
        <f ca="1">LOWER(TRIM(_xlfn.XLOOKUP($A77,Строчный!$A:$A,Строчный!K:K,"ERR",0)))</f>
        <v>хлопковые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Корея, Республика</v>
      </c>
      <c r="N77" s="81" t="str">
        <f ca="1">UPPER(TRIM(_xlfn.XLOOKUP($A77,Строчный!$A:$A,Строчный!O:O,"ERR",0)))</f>
        <v/>
      </c>
      <c r="O77" s="102" t="str">
        <f ca="1">PROPER(TRIM(_xlfn.XLOOKUP($A77,Строчный!$A:$A,Строчный!P:P,"ERR",0)))</f>
        <v/>
      </c>
      <c r="P77" s="81" t="str">
        <f ca="1">PROPER(TRIM(_xlfn.XLOOKUP($A77,Строчный!$A:$A,Строчный!Q:Q,"ERR",0)))</f>
        <v/>
      </c>
      <c r="Q77" s="90">
        <f ca="1">VALUE(_xlfn.XLOOKUP($A77,Строчный!$A:$A,Строчный!N:N,"ERR",0))</f>
        <v>661.11</v>
      </c>
      <c r="R77" s="89" t="str">
        <f ca="1">_xlfn.XLOOKUP($G77,Фабрика!A:A,Фабрика!B:B,"ERR",0)</f>
        <v>YupoongInc; 174, Gurodong-ro, Guro-gu, 08285 Seoul, South Korea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8</v>
      </c>
      <c r="U77" s="14" t="s">
        <v>265</v>
      </c>
      <c r="V77" s="101" t="str">
        <f t="shared" ca="1" si="12"/>
        <v>Бейсболка FLEXFIT арт. 6007 (темно-синий)</v>
      </c>
      <c r="W77" s="100" t="str">
        <f t="shared" ca="1" si="13"/>
        <v>Бейсболка FLEXFIT арт. 6007 (темно-синий) {navy}</v>
      </c>
      <c r="X77" s="18" t="str">
        <f t="shared" ca="1" si="9"/>
        <v>синий</v>
      </c>
      <c r="Y77" s="18" t="str">
        <f t="shared" ca="1" si="10"/>
        <v>синий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синий</v>
      </c>
      <c r="AA77" s="73" t="str">
        <f ca="1"/>
        <v>94-004-16-00</v>
      </c>
      <c r="AB77" s="75" t="str">
        <f ca="1">VLOOKUP(C77,Группа!A:B,2,FALSE)</f>
        <v>Бейсболка</v>
      </c>
      <c r="AC77" s="97" t="str">
        <f ca="1">IFERROR(VLOOKUP(S77,Размеры!A:C,3,FALSE),"")</f>
        <v>ONE</v>
      </c>
      <c r="AD77" s="97" t="str">
        <f ca="1">VLOOKUP(I77,ЦветПолный!A:B,2,FALSE)</f>
        <v>16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11"/>
        <v>94-004-09</v>
      </c>
      <c r="B78" s="107" t="str">
        <f ca="1">_xlfn.LET(_xlpm.CAPS,0,_xlpm.Style,TRIM(_xlfn.XLOOKUP($A78,Строчный!$A:$A,Строчный!B:B,"ERR",0)),IF(_xlpm.CAPS=0,_xlpm.Style,LOWER(_xlpm.Style)))</f>
        <v>6007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прямым козырьком</v>
      </c>
      <c r="E78" s="81" t="str">
        <f ca="1">PROPER(TRIM(_xlfn.XLOOKUP($A78,Строчный!$A:$A,Строчный!E:E,"ERR",0)))</f>
        <v>Flexfit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FLEXFIT</v>
      </c>
      <c r="H78" s="81" t="str">
        <f ca="1">LOWER(TRIM(_xlfn.XLOOKUP($A78,Строчный!$A:$A,Строчный!H:H,"ERR",0)))</f>
        <v>black</v>
      </c>
      <c r="I78" s="81" t="str">
        <f ca="1">LOWER(TRIM(_xlfn.XLOOKUP($A78,Строчный!$A:$A,Строчный!I:I,"ERR",0)))</f>
        <v>черный</v>
      </c>
      <c r="J78" s="81" t="str">
        <f ca="1">SUBSTITUTE(LOWER(TRIM(_xlfn.XLOOKUP($A78,Строчный!$A:$A,Строчный!J:J,"ERR",0))),"подклад","Подклад")</f>
        <v>100% хлопок</v>
      </c>
      <c r="K78" s="81" t="str">
        <f ca="1">LOWER(TRIM(_xlfn.XLOOKUP($A78,Строчный!$A:$A,Строчный!K:K,"ERR",0)))</f>
        <v>хлопковые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Корея, Республика</v>
      </c>
      <c r="N78" s="81" t="str">
        <f ca="1">UPPER(TRIM(_xlfn.XLOOKUP($A78,Строчный!$A:$A,Строчный!O:O,"ERR",0)))</f>
        <v/>
      </c>
      <c r="O78" s="102" t="str">
        <f ca="1">PROPER(TRIM(_xlfn.XLOOKUP($A78,Строчный!$A:$A,Строчный!P:P,"ERR",0)))</f>
        <v/>
      </c>
      <c r="P78" s="81" t="str">
        <f ca="1">PROPER(TRIM(_xlfn.XLOOKUP($A78,Строчный!$A:$A,Строчный!Q:Q,"ERR",0)))</f>
        <v/>
      </c>
      <c r="Q78" s="90">
        <f ca="1">VALUE(_xlfn.XLOOKUP($A78,Строчный!$A:$A,Строчный!N:N,"ERR",0))</f>
        <v>661.11</v>
      </c>
      <c r="R78" s="89" t="str">
        <f ca="1">_xlfn.XLOOKUP($G78,Фабрика!A:A,Фабрика!B:B,"ERR",0)</f>
        <v>YupoongInc; 174, Gurodong-ro, Guro-gu, 08285 Seoul, South Korea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12</v>
      </c>
      <c r="U78" s="14" t="s">
        <v>265</v>
      </c>
      <c r="V78" s="101" t="str">
        <f t="shared" ca="1" si="12"/>
        <v>Бейсболка FLEXFIT арт. 6007 (черный)</v>
      </c>
      <c r="W78" s="100" t="str">
        <f t="shared" ca="1" si="13"/>
        <v>Бейсболка FLEXFIT арт. 6007 (черный) {black}</v>
      </c>
      <c r="X78" s="18" t="str">
        <f t="shared" ca="1" si="9"/>
        <v>черный</v>
      </c>
      <c r="Y78" s="18" t="str">
        <f t="shared" ca="1" si="10"/>
        <v>черный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черный</v>
      </c>
      <c r="AA78" s="73" t="str">
        <f ca="1"/>
        <v>94-004-09-00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09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11"/>
        <v>94-004-08</v>
      </c>
      <c r="B79" s="107" t="str">
        <f ca="1">_xlfn.LET(_xlpm.CAPS,0,_xlpm.Style,TRIM(_xlfn.XLOOKUP($A79,Строчный!$A:$A,Строчный!B:B,"ERR",0)),IF(_xlpm.CAPS=0,_xlpm.Style,LOWER(_xlpm.Style)))</f>
        <v>6007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 с прямым козырьком</v>
      </c>
      <c r="E79" s="81" t="str">
        <f ca="1">PROPER(TRIM(_xlfn.XLOOKUP($A79,Строчный!$A:$A,Строчный!E:E,"ERR",0)))</f>
        <v>Flexfit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FLEXFIT</v>
      </c>
      <c r="H79" s="81" t="str">
        <f ca="1">LOWER(TRIM(_xlfn.XLOOKUP($A79,Строчный!$A:$A,Строчный!H:H,"ERR",0)))</f>
        <v>grey</v>
      </c>
      <c r="I79" s="81" t="str">
        <f ca="1">LOWER(TRIM(_xlfn.XLOOKUP($A79,Строчный!$A:$A,Строчный!I:I,"ERR",0)))</f>
        <v>серый</v>
      </c>
      <c r="J79" s="81" t="str">
        <f ca="1">SUBSTITUTE(LOWER(TRIM(_xlfn.XLOOKUP($A79,Строчный!$A:$A,Строчный!J:J,"ERR",0))),"подклад","Подклад")</f>
        <v>100% хлопок</v>
      </c>
      <c r="K79" s="81" t="str">
        <f ca="1">LOWER(TRIM(_xlfn.XLOOKUP($A79,Строчный!$A:$A,Строчный!K:K,"ERR",0)))</f>
        <v>хлопковые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Корея, Республика</v>
      </c>
      <c r="N79" s="81" t="str">
        <f ca="1">UPPER(TRIM(_xlfn.XLOOKUP($A79,Строчный!$A:$A,Строчный!O:O,"ERR",0)))</f>
        <v/>
      </c>
      <c r="O79" s="102" t="str">
        <f ca="1">PROPER(TRIM(_xlfn.XLOOKUP($A79,Строчный!$A:$A,Строчный!P:P,"ERR",0)))</f>
        <v/>
      </c>
      <c r="P79" s="81" t="str">
        <f ca="1">PROPER(TRIM(_xlfn.XLOOKUP($A79,Строчный!$A:$A,Строчный!Q:Q,"ERR",0)))</f>
        <v/>
      </c>
      <c r="Q79" s="90">
        <f ca="1">VALUE(_xlfn.XLOOKUP($A79,Строчный!$A:$A,Строчный!N:N,"ERR",0))</f>
        <v>661.11</v>
      </c>
      <c r="R79" s="89" t="str">
        <f ca="1">_xlfn.XLOOKUP($G79,Фабрика!A:A,Фабрика!B:B,"ERR",0)</f>
        <v>YupoongInc; 174, Gurodong-ro, Guro-gu, 08285 Seoul, South Korea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6</v>
      </c>
      <c r="U79" s="14" t="s">
        <v>265</v>
      </c>
      <c r="V79" s="101" t="str">
        <f t="shared" ca="1" si="12"/>
        <v>Бейсболка FLEXFIT арт. 6007 (серый)</v>
      </c>
      <c r="W79" s="100" t="str">
        <f t="shared" ca="1" si="13"/>
        <v>Бейсболка FLEXFIT арт. 6007 (серый) {grey}</v>
      </c>
      <c r="X79" s="18" t="str">
        <f t="shared" ca="1" si="9"/>
        <v>серый</v>
      </c>
      <c r="Y79" s="18" t="str">
        <f t="shared" ca="1" si="10"/>
        <v>серый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серый</v>
      </c>
      <c r="AA79" s="73" t="str">
        <f ca="1"/>
        <v>94-004-08-00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08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11"/>
        <v>94-004-05</v>
      </c>
      <c r="B80" s="107" t="str">
        <f ca="1">_xlfn.LET(_xlpm.CAPS,0,_xlpm.Style,TRIM(_xlfn.XLOOKUP($A80,Строчный!$A:$A,Строчный!B:B,"ERR",0)),IF(_xlpm.CAPS=0,_xlpm.Style,LOWER(_xlpm.Style)))</f>
        <v>6007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 с прямым козырьком</v>
      </c>
      <c r="E80" s="81" t="str">
        <f ca="1">PROPER(TRIM(_xlfn.XLOOKUP($A80,Строчный!$A:$A,Строчный!E:E,"ERR",0)))</f>
        <v>Flexfit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FLEXFIT</v>
      </c>
      <c r="H80" s="81" t="str">
        <f ca="1">LOWER(TRIM(_xlfn.XLOOKUP($A80,Строчный!$A:$A,Строчный!H:H,"ERR",0)))</f>
        <v>dark grey</v>
      </c>
      <c r="I80" s="81" t="str">
        <f ca="1">LOWER(TRIM(_xlfn.XLOOKUP($A80,Строчный!$A:$A,Строчный!I:I,"ERR",0)))</f>
        <v>темно-серый</v>
      </c>
      <c r="J80" s="81" t="str">
        <f ca="1">SUBSTITUTE(LOWER(TRIM(_xlfn.XLOOKUP($A80,Строчный!$A:$A,Строчный!J:J,"ERR",0))),"подклад","Подклад")</f>
        <v>100% хлопок</v>
      </c>
      <c r="K80" s="81" t="str">
        <f ca="1">LOWER(TRIM(_xlfn.XLOOKUP($A80,Строчный!$A:$A,Строчный!K:K,"ERR",0)))</f>
        <v>хлопковые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Корея, Республика</v>
      </c>
      <c r="N80" s="81" t="str">
        <f ca="1">UPPER(TRIM(_xlfn.XLOOKUP($A80,Строчный!$A:$A,Строчный!O:O,"ERR",0)))</f>
        <v/>
      </c>
      <c r="O80" s="102" t="str">
        <f ca="1">PROPER(TRIM(_xlfn.XLOOKUP($A80,Строчный!$A:$A,Строчный!P:P,"ERR",0)))</f>
        <v/>
      </c>
      <c r="P80" s="81" t="str">
        <f ca="1">PROPER(TRIM(_xlfn.XLOOKUP($A80,Строчный!$A:$A,Строчный!Q:Q,"ERR",0)))</f>
        <v/>
      </c>
      <c r="Q80" s="90">
        <f ca="1">VALUE(_xlfn.XLOOKUP($A80,Строчный!$A:$A,Строчный!N:N,"ERR",0))</f>
        <v>661.11</v>
      </c>
      <c r="R80" s="89" t="str">
        <f ca="1">_xlfn.XLOOKUP($G80,Фабрика!A:A,Фабрика!B:B,"ERR",0)</f>
        <v>YupoongInc; 174, Gurodong-ro, Guro-gu, 08285 Seoul, South Korea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8</v>
      </c>
      <c r="U80" s="14" t="s">
        <v>265</v>
      </c>
      <c r="V80" s="101" t="str">
        <f t="shared" ca="1" si="12"/>
        <v>Бейсболка FLEXFIT арт. 6007 (темно-серый)</v>
      </c>
      <c r="W80" s="100" t="str">
        <f t="shared" ca="1" si="13"/>
        <v>Бейсболка FLEXFIT арт. 6007 (темно-серый) {dark grey}</v>
      </c>
      <c r="X80" s="18" t="str">
        <f t="shared" ca="1" si="9"/>
        <v>серый</v>
      </c>
      <c r="Y80" s="18" t="str">
        <f t="shared" ca="1" si="10"/>
        <v>серый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серый</v>
      </c>
      <c r="AA80" s="73" t="str">
        <f ca="1"/>
        <v>94-004-05-00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05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11"/>
        <v>94-003-18</v>
      </c>
      <c r="B81" s="107" t="str">
        <f ca="1">_xlfn.LET(_xlpm.CAPS,0,_xlpm.Style,TRIM(_xlfn.XLOOKUP($A81,Строчный!$A:$A,Строчный!B:B,"ERR",0)),IF(_xlpm.CAPS=0,_xlpm.Style,LOWER(_xlpm.Style)))</f>
        <v>6005FF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 с прямым козырьком</v>
      </c>
      <c r="E81" s="81" t="str">
        <f ca="1">PROPER(TRIM(_xlfn.XLOOKUP($A81,Строчный!$A:$A,Строчный!E:E,"ERR",0)))</f>
        <v>Flexfit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FLEXFIT</v>
      </c>
      <c r="H81" s="81" t="str">
        <f ca="1">LOWER(TRIM(_xlfn.XLOOKUP($A81,Строчный!$A:$A,Строчный!H:H,"ERR",0)))</f>
        <v>red</v>
      </c>
      <c r="I81" s="81" t="str">
        <f ca="1">LOWER(TRIM(_xlfn.XLOOKUP($A81,Строчный!$A:$A,Строчный!I:I,"ERR",0)))</f>
        <v>красный</v>
      </c>
      <c r="J81" s="81" t="str">
        <f ca="1">SUBSTITUTE(LOWER(TRIM(_xlfn.XLOOKUP($A81,Строчный!$A:$A,Строчный!J:J,"ERR",0))),"подклад","Подклад")</f>
        <v>60% акрил - 40% полиэстер</v>
      </c>
      <c r="K81" s="81" t="str">
        <f ca="1">LOWER(TRIM(_xlfn.XLOOKUP($A81,Строчный!$A:$A,Строчный!K:K,"ERR",0)))</f>
        <v>акриловые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Корея, Республика</v>
      </c>
      <c r="N81" s="81" t="str">
        <f ca="1">UPPER(TRIM(_xlfn.XLOOKUP($A81,Строчный!$A:$A,Строчный!O:O,"ERR",0)))</f>
        <v/>
      </c>
      <c r="O81" s="102" t="str">
        <f ca="1">PROPER(TRIM(_xlfn.XLOOKUP($A81,Строчный!$A:$A,Строчный!P:P,"ERR",0)))</f>
        <v/>
      </c>
      <c r="P81" s="81" t="str">
        <f ca="1">PROPER(TRIM(_xlfn.XLOOKUP($A81,Строчный!$A:$A,Строчный!Q:Q,"ERR",0)))</f>
        <v/>
      </c>
      <c r="Q81" s="90">
        <f ca="1">VALUE(_xlfn.XLOOKUP($A81,Строчный!$A:$A,Строчный!N:N,"ERR",0))</f>
        <v>605.55999999999995</v>
      </c>
      <c r="R81" s="89" t="str">
        <f ca="1">_xlfn.XLOOKUP($G81,Фабрика!A:A,Фабрика!B:B,"ERR",0)</f>
        <v>YupoongInc; 174, Gurodong-ro, Guro-gu, 08285 Seoul, South Korea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2</v>
      </c>
      <c r="U81" s="14" t="s">
        <v>265</v>
      </c>
      <c r="V81" s="101" t="str">
        <f t="shared" ca="1" si="12"/>
        <v>Бейсболка FLEXFIT арт. 6005FF (красный)</v>
      </c>
      <c r="W81" s="100" t="str">
        <f t="shared" ca="1" si="13"/>
        <v>Бейсболка FLEXFIT арт. 6005FF (красный) {red}</v>
      </c>
      <c r="X81" s="18" t="str">
        <f t="shared" ca="1" si="9"/>
        <v>красный</v>
      </c>
      <c r="Y81" s="18" t="str">
        <f t="shared" ca="1" si="10"/>
        <v>красный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красный</v>
      </c>
      <c r="AA81" s="73" t="str">
        <f ca="1"/>
        <v>94-003-18-00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18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11"/>
        <v>94-003-16</v>
      </c>
      <c r="B82" s="107" t="str">
        <f ca="1">_xlfn.LET(_xlpm.CAPS,0,_xlpm.Style,TRIM(_xlfn.XLOOKUP($A82,Строчный!$A:$A,Строчный!B:B,"ERR",0)),IF(_xlpm.CAPS=0,_xlpm.Style,LOWER(_xlpm.Style)))</f>
        <v>6005FF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 с прямым козырьком</v>
      </c>
      <c r="E82" s="81" t="str">
        <f ca="1">PROPER(TRIM(_xlfn.XLOOKUP($A82,Строчный!$A:$A,Строчный!E:E,"ERR",0)))</f>
        <v>Flexfit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FLEXFIT</v>
      </c>
      <c r="H82" s="81" t="str">
        <f ca="1">LOWER(TRIM(_xlfn.XLOOKUP($A82,Строчный!$A:$A,Строчный!H:H,"ERR",0)))</f>
        <v>navy</v>
      </c>
      <c r="I82" s="81" t="str">
        <f ca="1">LOWER(TRIM(_xlfn.XLOOKUP($A82,Строчный!$A:$A,Строчный!I:I,"ERR",0)))</f>
        <v>темно-синий</v>
      </c>
      <c r="J82" s="81" t="str">
        <f ca="1">SUBSTITUTE(LOWER(TRIM(_xlfn.XLOOKUP($A82,Строчный!$A:$A,Строчный!J:J,"ERR",0))),"подклад","Подклад")</f>
        <v>60% акрил - 40% полиэстер</v>
      </c>
      <c r="K82" s="81" t="str">
        <f ca="1">LOWER(TRIM(_xlfn.XLOOKUP($A82,Строчный!$A:$A,Строчный!K:K,"ERR",0)))</f>
        <v>акриловые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Корея, Республика</v>
      </c>
      <c r="N82" s="81" t="str">
        <f ca="1">UPPER(TRIM(_xlfn.XLOOKUP($A82,Строчный!$A:$A,Строчный!O:O,"ERR",0)))</f>
        <v/>
      </c>
      <c r="O82" s="102" t="str">
        <f ca="1">PROPER(TRIM(_xlfn.XLOOKUP($A82,Строчный!$A:$A,Строчный!P:P,"ERR",0)))</f>
        <v/>
      </c>
      <c r="P82" s="81" t="str">
        <f ca="1">PROPER(TRIM(_xlfn.XLOOKUP($A82,Строчный!$A:$A,Строчный!Q:Q,"ERR",0)))</f>
        <v/>
      </c>
      <c r="Q82" s="90">
        <f ca="1">VALUE(_xlfn.XLOOKUP($A82,Строчный!$A:$A,Строчный!N:N,"ERR",0))</f>
        <v>605.55999999999995</v>
      </c>
      <c r="R82" s="89" t="str">
        <f ca="1">_xlfn.XLOOKUP($G82,Фабрика!A:A,Фабрика!B:B,"ERR",0)</f>
        <v>YupoongInc; 174, Gurodong-ro, Guro-gu, 08285 Seoul, South Korea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3</v>
      </c>
      <c r="U82" s="14" t="s">
        <v>265</v>
      </c>
      <c r="V82" s="101" t="str">
        <f t="shared" ca="1" si="12"/>
        <v>Бейсболка FLEXFIT арт. 6005FF (темно-синий)</v>
      </c>
      <c r="W82" s="100" t="str">
        <f t="shared" ca="1" si="13"/>
        <v>Бейсболка FLEXFIT арт. 6005FF (темно-синий) {navy}</v>
      </c>
      <c r="X82" s="18" t="str">
        <f t="shared" ca="1" si="9"/>
        <v>синий</v>
      </c>
      <c r="Y82" s="18" t="str">
        <f t="shared" ca="1" si="10"/>
        <v>синий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синий</v>
      </c>
      <c r="AA82" s="73" t="str">
        <f ca="1"/>
        <v>94-003-16-00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16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11"/>
        <v>94-003-09</v>
      </c>
      <c r="B83" s="107" t="str">
        <f ca="1">_xlfn.LET(_xlpm.CAPS,0,_xlpm.Style,TRIM(_xlfn.XLOOKUP($A83,Строчный!$A:$A,Строчный!B:B,"ERR",0)),IF(_xlpm.CAPS=0,_xlpm.Style,LOWER(_xlpm.Style)))</f>
        <v>6005FF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 с прямым козырьком</v>
      </c>
      <c r="E83" s="81" t="str">
        <f ca="1">PROPER(TRIM(_xlfn.XLOOKUP($A83,Строчный!$A:$A,Строчный!E:E,"ERR",0)))</f>
        <v>Flexfit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FLEXFIT</v>
      </c>
      <c r="H83" s="81" t="str">
        <f ca="1">LOWER(TRIM(_xlfn.XLOOKUP($A83,Строчный!$A:$A,Строчный!H:H,"ERR",0)))</f>
        <v>black</v>
      </c>
      <c r="I83" s="81" t="str">
        <f ca="1">LOWER(TRIM(_xlfn.XLOOKUP($A83,Строчный!$A:$A,Строчный!I:I,"ERR",0)))</f>
        <v>черный</v>
      </c>
      <c r="J83" s="81" t="str">
        <f ca="1">SUBSTITUTE(LOWER(TRIM(_xlfn.XLOOKUP($A83,Строчный!$A:$A,Строчный!J:J,"ERR",0))),"подклад","Подклад")</f>
        <v>60% акрил - 40% полиэстер</v>
      </c>
      <c r="K83" s="81" t="str">
        <f ca="1">LOWER(TRIM(_xlfn.XLOOKUP($A83,Строчный!$A:$A,Строчный!K:K,"ERR",0)))</f>
        <v>акриловые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Корея, Республика</v>
      </c>
      <c r="N83" s="81" t="str">
        <f ca="1">UPPER(TRIM(_xlfn.XLOOKUP($A83,Строчный!$A:$A,Строчный!O:O,"ERR",0)))</f>
        <v/>
      </c>
      <c r="O83" s="102" t="str">
        <f ca="1">PROPER(TRIM(_xlfn.XLOOKUP($A83,Строчный!$A:$A,Строчный!P:P,"ERR",0)))</f>
        <v/>
      </c>
      <c r="P83" s="81" t="str">
        <f ca="1">PROPER(TRIM(_xlfn.XLOOKUP($A83,Строчный!$A:$A,Строчный!Q:Q,"ERR",0)))</f>
        <v/>
      </c>
      <c r="Q83" s="90">
        <f ca="1">VALUE(_xlfn.XLOOKUP($A83,Строчный!$A:$A,Строчный!N:N,"ERR",0))</f>
        <v>605.55999999999995</v>
      </c>
      <c r="R83" s="89" t="str">
        <f ca="1">_xlfn.XLOOKUP($G83,Фабрика!A:A,Фабрика!B:B,"ERR",0)</f>
        <v>YupoongInc; 174, Gurodong-ro, Guro-gu, 08285 Seoul, South Korea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4</v>
      </c>
      <c r="U83" s="14" t="s">
        <v>265</v>
      </c>
      <c r="V83" s="101" t="str">
        <f t="shared" ca="1" si="12"/>
        <v>Бейсболка FLEXFIT арт. 6005FF (черный)</v>
      </c>
      <c r="W83" s="100" t="str">
        <f t="shared" ca="1" si="13"/>
        <v>Бейсболка FLEXFIT арт. 6005FF (черный) {black}</v>
      </c>
      <c r="X83" s="18" t="str">
        <f t="shared" ca="1" si="9"/>
        <v>черный</v>
      </c>
      <c r="Y83" s="18" t="str">
        <f t="shared" ca="1" si="10"/>
        <v>черный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3" t="str">
        <f ca="1"/>
        <v>94-003-09-00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09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11"/>
        <v>94-003-06</v>
      </c>
      <c r="B84" s="107" t="str">
        <f ca="1">_xlfn.LET(_xlpm.CAPS,0,_xlpm.Style,TRIM(_xlfn.XLOOKUP($A84,Строчный!$A:$A,Строчный!B:B,"ERR",0)),IF(_xlpm.CAPS=0,_xlpm.Style,LOWER(_xlpm.Style)))</f>
        <v>6005FF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 с прямым козырьком</v>
      </c>
      <c r="E84" s="81" t="str">
        <f ca="1">PROPER(TRIM(_xlfn.XLOOKUP($A84,Строчный!$A:$A,Строчный!E:E,"ERR",0)))</f>
        <v>Flexfit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FLEXFIT</v>
      </c>
      <c r="H84" s="81" t="str">
        <f ca="1">LOWER(TRIM(_xlfn.XLOOKUP($A84,Строчный!$A:$A,Строчный!H:H,"ERR",0)))</f>
        <v>royal</v>
      </c>
      <c r="I84" s="81" t="str">
        <f ca="1">LOWER(TRIM(_xlfn.XLOOKUP($A84,Строчный!$A:$A,Строчный!I:I,"ERR",0)))</f>
        <v>синий</v>
      </c>
      <c r="J84" s="81" t="str">
        <f ca="1">SUBSTITUTE(LOWER(TRIM(_xlfn.XLOOKUP($A84,Строчный!$A:$A,Строчный!J:J,"ERR",0))),"подклад","Подклад")</f>
        <v>60% акрил - 40% полиэстер</v>
      </c>
      <c r="K84" s="81" t="str">
        <f ca="1">LOWER(TRIM(_xlfn.XLOOKUP($A84,Строчный!$A:$A,Строчный!K:K,"ERR",0)))</f>
        <v>акриловые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Корея, Республика</v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PROPER(TRIM(_xlfn.XLOOKUP($A84,Строчный!$A:$A,Строчный!Q:Q,"ERR",0)))</f>
        <v/>
      </c>
      <c r="Q84" s="90">
        <f ca="1">VALUE(_xlfn.XLOOKUP($A84,Строчный!$A:$A,Строчный!N:N,"ERR",0))</f>
        <v>605.55999999999995</v>
      </c>
      <c r="R84" s="89" t="str">
        <f ca="1">_xlfn.XLOOKUP($G84,Фабрика!A:A,Фабрика!B:B,"ERR",0)</f>
        <v>YupoongInc; 174, Gurodong-ro, Guro-gu, 08285 Seoul, South Korea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2</v>
      </c>
      <c r="U84" s="14" t="s">
        <v>265</v>
      </c>
      <c r="V84" s="101" t="str">
        <f t="shared" ca="1" si="12"/>
        <v>Бейсболка FLEXFIT арт. 6005FF (синий)</v>
      </c>
      <c r="W84" s="100" t="str">
        <f t="shared" ca="1" si="13"/>
        <v>Бейсболка FLEXFIT арт. 6005FF (синий) {royal}</v>
      </c>
      <c r="X84" s="18" t="str">
        <f t="shared" ca="1" si="9"/>
        <v>синий</v>
      </c>
      <c r="Y84" s="18" t="str">
        <f t="shared" ca="1" si="10"/>
        <v>синий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синий</v>
      </c>
      <c r="AA84" s="73" t="str">
        <f ca="1"/>
        <v>94-003-06-00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06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11"/>
        <v>94-002-18</v>
      </c>
      <c r="B85" s="107" t="str">
        <f ca="1">_xlfn.LET(_xlpm.CAPS,0,_xlpm.Style,TRIM(_xlfn.XLOOKUP($A85,Строчный!$A:$A,Строчный!B:B,"ERR",0)),IF(_xlpm.CAPS=0,_xlpm.Style,LOWER(_xlpm.Style)))</f>
        <v>5089M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 с прямым козырьком</v>
      </c>
      <c r="E85" s="81" t="str">
        <f ca="1">PROPER(TRIM(_xlfn.XLOOKUP($A85,Строчный!$A:$A,Строчный!E:E,"ERR",0)))</f>
        <v>Flexfit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FLEXFIT</v>
      </c>
      <c r="H85" s="81" t="str">
        <f ca="1">LOWER(TRIM(_xlfn.XLOOKUP($A85,Строчный!$A:$A,Строчный!H:H,"ERR",0)))</f>
        <v>red</v>
      </c>
      <c r="I85" s="81" t="str">
        <f ca="1">LOWER(TRIM(_xlfn.XLOOKUP($A85,Строчный!$A:$A,Строчный!I:I,"ERR",0)))</f>
        <v>красный</v>
      </c>
      <c r="J85" s="81" t="str">
        <f ca="1">SUBSTITUTE(LOWER(TRIM(_xlfn.XLOOKUP($A85,Строчный!$A:$A,Строчный!J:J,"ERR",0))),"подклад","Подклад")</f>
        <v>80% акрил - 20% шерсть</v>
      </c>
      <c r="K85" s="81" t="str">
        <f ca="1">LOWER(TRIM(_xlfn.XLOOKUP($A85,Строчный!$A:$A,Строчный!K:K,"ERR",0)))</f>
        <v>акриловые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Корея, Республика</v>
      </c>
      <c r="N85" s="81" t="str">
        <f ca="1">UPPER(TRIM(_xlfn.XLOOKUP($A85,Строчный!$A:$A,Строчный!O:O,"ERR",0)))</f>
        <v/>
      </c>
      <c r="O85" s="102" t="str">
        <f ca="1">PROPER(TRIM(_xlfn.XLOOKUP($A85,Строчный!$A:$A,Строчный!P:P,"ERR",0)))</f>
        <v/>
      </c>
      <c r="P85" s="81" t="str">
        <f ca="1">PROPER(TRIM(_xlfn.XLOOKUP($A85,Строчный!$A:$A,Строчный!Q:Q,"ERR",0)))</f>
        <v/>
      </c>
      <c r="Q85" s="90">
        <f ca="1">VALUE(_xlfn.XLOOKUP($A85,Строчный!$A:$A,Строчный!N:N,"ERR",0))</f>
        <v>716.67</v>
      </c>
      <c r="R85" s="89" t="str">
        <f ca="1">_xlfn.XLOOKUP($G85,Фабрика!A:A,Фабрика!B:B,"ERR",0)</f>
        <v>YupoongInc; 174, Gurodong-ro, Guro-gu, 08285 Seoul, South Korea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4</v>
      </c>
      <c r="U85" s="14" t="s">
        <v>265</v>
      </c>
      <c r="V85" s="101" t="str">
        <f t="shared" ca="1" si="12"/>
        <v>Бейсболка FLEXFIT арт. 5089M (красный)</v>
      </c>
      <c r="W85" s="100" t="str">
        <f t="shared" ca="1" si="13"/>
        <v>Бейсболка FLEXFIT арт. 5089M (красный) {red}</v>
      </c>
      <c r="X85" s="18" t="str">
        <f t="shared" ca="1" si="9"/>
        <v>красный</v>
      </c>
      <c r="Y85" s="18" t="str">
        <f t="shared" ca="1" si="10"/>
        <v>красный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красный</v>
      </c>
      <c r="AA85" s="73" t="str">
        <f ca="1"/>
        <v>94-002-18-00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18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11"/>
        <v>94-002-17</v>
      </c>
      <c r="B86" s="107" t="str">
        <f ca="1">_xlfn.LET(_xlpm.CAPS,0,_xlpm.Style,TRIM(_xlfn.XLOOKUP($A86,Строчный!$A:$A,Строчный!B:B,"ERR",0)),IF(_xlpm.CAPS=0,_xlpm.Style,LOWER(_xlpm.Style)))</f>
        <v>5089M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 с прямым козырьком</v>
      </c>
      <c r="E86" s="81" t="str">
        <f ca="1">PROPER(TRIM(_xlfn.XLOOKUP($A86,Строчный!$A:$A,Строчный!E:E,"ERR",0)))</f>
        <v>Flexfit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FLEXFIT</v>
      </c>
      <c r="H86" s="81" t="str">
        <f ca="1">LOWER(TRIM(_xlfn.XLOOKUP($A86,Строчный!$A:$A,Строчный!H:H,"ERR",0)))</f>
        <v>white</v>
      </c>
      <c r="I86" s="81" t="str">
        <f ca="1">LOWER(TRIM(_xlfn.XLOOKUP($A86,Строчный!$A:$A,Строчный!I:I,"ERR",0)))</f>
        <v>белый</v>
      </c>
      <c r="J86" s="81" t="str">
        <f ca="1">SUBSTITUTE(LOWER(TRIM(_xlfn.XLOOKUP($A86,Строчный!$A:$A,Строчный!J:J,"ERR",0))),"подклад","Подклад")</f>
        <v>100% акрил</v>
      </c>
      <c r="K86" s="81" t="str">
        <f ca="1">LOWER(TRIM(_xlfn.XLOOKUP($A86,Строчный!$A:$A,Строчный!K:K,"ERR",0)))</f>
        <v>акриловые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Корея, Республика</v>
      </c>
      <c r="N86" s="81" t="str">
        <f ca="1">UPPER(TRIM(_xlfn.XLOOKUP($A86,Строчный!$A:$A,Строчный!O:O,"ERR",0)))</f>
        <v/>
      </c>
      <c r="O86" s="102" t="str">
        <f ca="1">PROPER(TRIM(_xlfn.XLOOKUP($A86,Строчный!$A:$A,Строчный!P:P,"ERR",0)))</f>
        <v/>
      </c>
      <c r="P86" s="81" t="str">
        <f ca="1">PROPER(TRIM(_xlfn.XLOOKUP($A86,Строчный!$A:$A,Строчный!Q:Q,"ERR",0)))</f>
        <v/>
      </c>
      <c r="Q86" s="90">
        <f ca="1">VALUE(_xlfn.XLOOKUP($A86,Строчный!$A:$A,Строчный!N:N,"ERR",0))</f>
        <v>716.67</v>
      </c>
      <c r="R86" s="89" t="str">
        <f ca="1">_xlfn.XLOOKUP($G86,Фабрика!A:A,Фабрика!B:B,"ERR",0)</f>
        <v>YupoongInc; 174, Gurodong-ro, Guro-gu, 08285 Seoul, South Korea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3</v>
      </c>
      <c r="U86" s="14" t="s">
        <v>265</v>
      </c>
      <c r="V86" s="101" t="str">
        <f t="shared" ca="1" si="12"/>
        <v>Бейсболка FLEXFIT арт. 5089M (белый)</v>
      </c>
      <c r="W86" s="100" t="str">
        <f t="shared" ca="1" si="13"/>
        <v>Бейсболка FLEXFIT арт. 5089M (белый) {white}</v>
      </c>
      <c r="X86" s="18" t="str">
        <f t="shared" ca="1" si="9"/>
        <v>белый</v>
      </c>
      <c r="Y86" s="18" t="str">
        <f t="shared" ca="1" si="10"/>
        <v>белый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белый</v>
      </c>
      <c r="AA86" s="73" t="str">
        <f ca="1"/>
        <v>94-002-17-00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17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11"/>
        <v>94-002-16</v>
      </c>
      <c r="B87" s="107" t="str">
        <f ca="1">_xlfn.LET(_xlpm.CAPS,0,_xlpm.Style,TRIM(_xlfn.XLOOKUP($A87,Строчный!$A:$A,Строчный!B:B,"ERR",0)),IF(_xlpm.CAPS=0,_xlpm.Style,LOWER(_xlpm.Style)))</f>
        <v>5089M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 с прямым козырьком</v>
      </c>
      <c r="E87" s="81" t="str">
        <f ca="1">PROPER(TRIM(_xlfn.XLOOKUP($A87,Строчный!$A:$A,Строчный!E:E,"ERR",0)))</f>
        <v>Flexfit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FLEXFIT</v>
      </c>
      <c r="H87" s="81" t="str">
        <f ca="1">LOWER(TRIM(_xlfn.XLOOKUP($A87,Строчный!$A:$A,Строчный!H:H,"ERR",0)))</f>
        <v>navy</v>
      </c>
      <c r="I87" s="81" t="str">
        <f ca="1">LOWER(TRIM(_xlfn.XLOOKUP($A87,Строчный!$A:$A,Строчный!I:I,"ERR",0)))</f>
        <v>темно-синий</v>
      </c>
      <c r="J87" s="81" t="str">
        <f ca="1">SUBSTITUTE(LOWER(TRIM(_xlfn.XLOOKUP($A87,Строчный!$A:$A,Строчный!J:J,"ERR",0))),"подклад","Подклад")</f>
        <v>80% акрил - 20% шерсть</v>
      </c>
      <c r="K87" s="81" t="str">
        <f ca="1">LOWER(TRIM(_xlfn.XLOOKUP($A87,Строчный!$A:$A,Строчный!K:K,"ERR",0)))</f>
        <v>акриловые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Корея, Республика</v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PROPER(TRIM(_xlfn.XLOOKUP($A87,Строчный!$A:$A,Строчный!Q:Q,"ERR",0)))</f>
        <v/>
      </c>
      <c r="Q87" s="90">
        <f ca="1">VALUE(_xlfn.XLOOKUP($A87,Строчный!$A:$A,Строчный!N:N,"ERR",0))</f>
        <v>716.67</v>
      </c>
      <c r="R87" s="89" t="str">
        <f ca="1">_xlfn.XLOOKUP($G87,Фабрика!A:A,Фабрика!B:B,"ERR",0)</f>
        <v>YupoongInc; 174, Gurodong-ro, Guro-gu, 08285 Seoul, South Korea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4</v>
      </c>
      <c r="U87" s="14" t="s">
        <v>265</v>
      </c>
      <c r="V87" s="101" t="str">
        <f t="shared" ca="1" si="12"/>
        <v>Бейсболка FLEXFIT арт. 5089M (темно-синий)</v>
      </c>
      <c r="W87" s="100" t="str">
        <f t="shared" ca="1" si="13"/>
        <v>Бейсболка FLEXFIT арт. 5089M (темно-синий) {navy}</v>
      </c>
      <c r="X87" s="18" t="str">
        <f t="shared" ca="1" si="9"/>
        <v>синий</v>
      </c>
      <c r="Y87" s="18" t="str">
        <f t="shared" ca="1" si="10"/>
        <v>синий</v>
      </c>
      <c r="Z87" s="117" t="str">
        <f ca="1">_xlfn.LET(_xlpm.FormColors,_xlfn.XLOOKUP(A87,Строчный!A:A,Строчный!Q:Q,"",0),IF(_xlpm.FormColors=0,IFERROR(MID(I87,FIND("-",I87)+1,LEN(I87)),IFERROR(MID(I87,1,FIND("/",I87)-2),I87)),_xlpm.FormColors))</f>
        <v>синий</v>
      </c>
      <c r="AA87" s="73" t="str">
        <f ca="1"/>
        <v>94-002-16-00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16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 ca="1"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11"/>
        <v>94-002-06</v>
      </c>
      <c r="B88" s="107" t="str">
        <f ca="1">_xlfn.LET(_xlpm.CAPS,0,_xlpm.Style,TRIM(_xlfn.XLOOKUP($A88,Строчный!$A:$A,Строчный!B:B,"ERR",0)),IF(_xlpm.CAPS=0,_xlpm.Style,LOWER(_xlpm.Style)))</f>
        <v>5089M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 с прямым козырьком</v>
      </c>
      <c r="E88" s="81" t="str">
        <f ca="1">PROPER(TRIM(_xlfn.XLOOKUP($A88,Строчный!$A:$A,Строчный!E:E,"ERR",0)))</f>
        <v>Flexfit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FLEXFIT</v>
      </c>
      <c r="H88" s="81" t="str">
        <f ca="1">LOWER(TRIM(_xlfn.XLOOKUP($A88,Строчный!$A:$A,Строчный!H:H,"ERR",0)))</f>
        <v>royal</v>
      </c>
      <c r="I88" s="81" t="str">
        <f ca="1">LOWER(TRIM(_xlfn.XLOOKUP($A88,Строчный!$A:$A,Строчный!I:I,"ERR",0)))</f>
        <v>синий</v>
      </c>
      <c r="J88" s="81" t="str">
        <f ca="1">SUBSTITUTE(LOWER(TRIM(_xlfn.XLOOKUP($A88,Строчный!$A:$A,Строчный!J:J,"ERR",0))),"подклад","Подклад")</f>
        <v>80% акрил - 20% шерсть</v>
      </c>
      <c r="K88" s="81" t="str">
        <f ca="1">LOWER(TRIM(_xlfn.XLOOKUP($A88,Строчный!$A:$A,Строчный!K:K,"ERR",0)))</f>
        <v>акриловые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Корея, Республика</v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PROPER(TRIM(_xlfn.XLOOKUP($A88,Строчный!$A:$A,Строчный!Q:Q,"ERR",0)))</f>
        <v/>
      </c>
      <c r="Q88" s="90">
        <f ca="1">VALUE(_xlfn.XLOOKUP($A88,Строчный!$A:$A,Строчный!N:N,"ERR",0))</f>
        <v>716.67</v>
      </c>
      <c r="R88" s="89" t="str">
        <f ca="1">_xlfn.XLOOKUP($G88,Фабрика!A:A,Фабрика!B:B,"ERR",0)</f>
        <v>YupoongInc; 174, Gurodong-ro, Guro-gu, 08285 Seoul, South Korea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3</v>
      </c>
      <c r="U88" s="14" t="s">
        <v>265</v>
      </c>
      <c r="V88" s="101" t="str">
        <f t="shared" ca="1" si="12"/>
        <v>Бейсболка FLEXFIT арт. 5089M (синий)</v>
      </c>
      <c r="W88" s="100" t="str">
        <f t="shared" ca="1" si="13"/>
        <v>Бейсболка FLEXFIT арт. 5089M (синий) {royal}</v>
      </c>
      <c r="X88" s="18" t="str">
        <f t="shared" ca="1" si="9"/>
        <v>синий</v>
      </c>
      <c r="Y88" s="18" t="str">
        <f t="shared" ca="1" si="10"/>
        <v>синий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синий</v>
      </c>
      <c r="AA88" s="73" t="str">
        <f ca="1"/>
        <v>94-002-06-00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06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11"/>
        <v>94-002-05</v>
      </c>
      <c r="B89" s="107" t="str">
        <f ca="1">_xlfn.LET(_xlpm.CAPS,0,_xlpm.Style,TRIM(_xlfn.XLOOKUP($A89,Строчный!$A:$A,Строчный!B:B,"ERR",0)),IF(_xlpm.CAPS=0,_xlpm.Style,LOWER(_xlpm.Style)))</f>
        <v>5089M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 с прямым козырьком</v>
      </c>
      <c r="E89" s="81" t="str">
        <f ca="1">PROPER(TRIM(_xlfn.XLOOKUP($A89,Строчный!$A:$A,Строчный!E:E,"ERR",0)))</f>
        <v>Flexfit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FLEXFIT</v>
      </c>
      <c r="H89" s="81" t="str">
        <f ca="1">LOWER(TRIM(_xlfn.XLOOKUP($A89,Строчный!$A:$A,Строчный!H:H,"ERR",0)))</f>
        <v>dark grey</v>
      </c>
      <c r="I89" s="81" t="str">
        <f ca="1">LOWER(TRIM(_xlfn.XLOOKUP($A89,Строчный!$A:$A,Строчный!I:I,"ERR",0)))</f>
        <v>темно-серый</v>
      </c>
      <c r="J89" s="81" t="str">
        <f ca="1">SUBSTITUTE(LOWER(TRIM(_xlfn.XLOOKUP($A89,Строчный!$A:$A,Строчный!J:J,"ERR",0))),"подклад","Подклад")</f>
        <v>80% акрил - 20% шерсть</v>
      </c>
      <c r="K89" s="81" t="str">
        <f ca="1">LOWER(TRIM(_xlfn.XLOOKUP($A89,Строчный!$A:$A,Строчный!K:K,"ERR",0)))</f>
        <v>акриловые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Корея, Республика</v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PROPER(TRIM(_xlfn.XLOOKUP($A89,Строчный!$A:$A,Строчный!Q:Q,"ERR",0)))</f>
        <v/>
      </c>
      <c r="Q89" s="90">
        <f ca="1">VALUE(_xlfn.XLOOKUP($A89,Строчный!$A:$A,Строчный!N:N,"ERR",0))</f>
        <v>716.67</v>
      </c>
      <c r="R89" s="89" t="str">
        <f ca="1">_xlfn.XLOOKUP($G89,Фабрика!A:A,Фабрика!B:B,"ERR",0)</f>
        <v>YupoongInc; 174, Gurodong-ro, Guro-gu, 08285 Seoul, South Korea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8</v>
      </c>
      <c r="U89" s="14" t="s">
        <v>265</v>
      </c>
      <c r="V89" s="101" t="str">
        <f t="shared" ca="1" si="12"/>
        <v>Бейсболка FLEXFIT арт. 5089M (темно-серый)</v>
      </c>
      <c r="W89" s="100" t="str">
        <f t="shared" ca="1" si="13"/>
        <v>Бейсболка FLEXFIT арт. 5089M (темно-серый) {dark grey}</v>
      </c>
      <c r="X89" s="18" t="str">
        <f t="shared" ca="1" si="9"/>
        <v>серый</v>
      </c>
      <c r="Y89" s="18" t="str">
        <f t="shared" ca="1" si="10"/>
        <v>серый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серый</v>
      </c>
      <c r="AA89" s="73" t="str">
        <f ca="1"/>
        <v>94-002-05-00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05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11"/>
        <v>94-001-05</v>
      </c>
      <c r="B90" s="107" t="str">
        <f ca="1">_xlfn.LET(_xlpm.CAPS,0,_xlpm.Style,TRIM(_xlfn.XLOOKUP($A90,Строчный!$A:$A,Строчный!B:B,"ERR",0)),IF(_xlpm.CAPS=0,_xlpm.Style,LOWER(_xlpm.Style)))</f>
        <v>110F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 с прямым козырьком</v>
      </c>
      <c r="E90" s="81" t="str">
        <f ca="1">PROPER(TRIM(_xlfn.XLOOKUP($A90,Строчный!$A:$A,Строчный!E:E,"ERR",0)))</f>
        <v>Flexfit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FLEXFIT</v>
      </c>
      <c r="H90" s="81" t="str">
        <f ca="1">LOWER(TRIM(_xlfn.XLOOKUP($A90,Строчный!$A:$A,Строчный!H:H,"ERR",0)))</f>
        <v>dark grey</v>
      </c>
      <c r="I90" s="81" t="str">
        <f ca="1">LOWER(TRIM(_xlfn.XLOOKUP($A90,Строчный!$A:$A,Строчный!I:I,"ERR",0)))</f>
        <v>темно-серый</v>
      </c>
      <c r="J90" s="81" t="str">
        <f ca="1">SUBSTITUTE(LOWER(TRIM(_xlfn.XLOOKUP($A90,Строчный!$A:$A,Строчный!J:J,"ERR",0))),"подклад","Подклад")</f>
        <v>83% акрил - 15% шерсть - 2% полиуретан</v>
      </c>
      <c r="K90" s="81" t="str">
        <f ca="1">LOWER(TRIM(_xlfn.XLOOKUP($A90,Строчный!$A:$A,Строчный!K:K,"ERR",0)))</f>
        <v>акриловые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Корея, Республика</v>
      </c>
      <c r="N90" s="81" t="str">
        <f ca="1">UPPER(TRIM(_xlfn.XLOOKUP($A90,Строчный!$A:$A,Строчный!O:O,"ERR",0)))</f>
        <v/>
      </c>
      <c r="O90" s="102" t="str">
        <f ca="1">PROPER(TRIM(_xlfn.XLOOKUP($A90,Строчный!$A:$A,Строчный!P:P,"ERR",0)))</f>
        <v/>
      </c>
      <c r="P90" s="81" t="str">
        <f ca="1">PROPER(TRIM(_xlfn.XLOOKUP($A90,Строчный!$A:$A,Строчный!Q:Q,"ERR",0)))</f>
        <v/>
      </c>
      <c r="Q90" s="90">
        <f ca="1">VALUE(_xlfn.XLOOKUP($A90,Строчный!$A:$A,Строчный!N:N,"ERR",0))</f>
        <v>772.22</v>
      </c>
      <c r="R90" s="89" t="str">
        <f ca="1">_xlfn.XLOOKUP($G90,Фабрика!A:A,Фабрика!B:B,"ERR",0)</f>
        <v>YupoongInc; 174, Gurodong-ro, Guro-gu, 08285 Seoul, South Korea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3</v>
      </c>
      <c r="U90" s="14" t="s">
        <v>265</v>
      </c>
      <c r="V90" s="101" t="str">
        <f t="shared" ca="1" si="12"/>
        <v>Бейсболка FLEXFIT арт. 110F (темно-серый)</v>
      </c>
      <c r="W90" s="100" t="str">
        <f t="shared" ca="1" si="13"/>
        <v>Бейсболка FLEXFIT арт. 110F (темно-серый) {dark grey}</v>
      </c>
      <c r="X90" s="18" t="str">
        <f t="shared" ca="1" si="9"/>
        <v>серый</v>
      </c>
      <c r="Y90" s="18" t="str">
        <f t="shared" ca="1" si="10"/>
        <v>серый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серый</v>
      </c>
      <c r="AA90" s="73" t="str">
        <f ca="1"/>
        <v>94-001-05-00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05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0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11"/>
        <v>94-001-01</v>
      </c>
      <c r="B91" s="107" t="str">
        <f ca="1">_xlfn.LET(_xlpm.CAPS,0,_xlpm.Style,TRIM(_xlfn.XLOOKUP($A91,Строчный!$A:$A,Строчный!B:B,"ERR",0)),IF(_xlpm.CAPS=0,_xlpm.Style,LOWER(_xlpm.Style)))</f>
        <v>110F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 с прямым козырьком</v>
      </c>
      <c r="E91" s="81" t="str">
        <f ca="1">PROPER(TRIM(_xlfn.XLOOKUP($A91,Строчный!$A:$A,Строчный!E:E,"ERR",0)))</f>
        <v>Flexfit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FLEXFIT</v>
      </c>
      <c r="H91" s="81" t="str">
        <f ca="1">LOWER(TRIM(_xlfn.XLOOKUP($A91,Строчный!$A:$A,Строчный!H:H,"ERR",0)))</f>
        <v>heather grey</v>
      </c>
      <c r="I91" s="81" t="str">
        <f ca="1">LOWER(TRIM(_xlfn.XLOOKUP($A91,Строчный!$A:$A,Строчный!I:I,"ERR",0)))</f>
        <v>светло-серый</v>
      </c>
      <c r="J91" s="81" t="str">
        <f ca="1">SUBSTITUTE(LOWER(TRIM(_xlfn.XLOOKUP($A91,Строчный!$A:$A,Строчный!J:J,"ERR",0))),"подклад","Подклад")</f>
        <v>83% акрил - 15% шерсть - 2% полиуретан</v>
      </c>
      <c r="K91" s="81" t="str">
        <f ca="1">LOWER(TRIM(_xlfn.XLOOKUP($A91,Строчный!$A:$A,Строчный!K:K,"ERR",0)))</f>
        <v>акриловые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Корея, Республика</v>
      </c>
      <c r="N91" s="81" t="str">
        <f ca="1">UPPER(TRIM(_xlfn.XLOOKUP($A91,Строчный!$A:$A,Строчный!O:O,"ERR",0)))</f>
        <v/>
      </c>
      <c r="O91" s="102" t="str">
        <f ca="1">PROPER(TRIM(_xlfn.XLOOKUP($A91,Строчный!$A:$A,Строчный!P:P,"ERR",0)))</f>
        <v/>
      </c>
      <c r="P91" s="81" t="str">
        <f ca="1">PROPER(TRIM(_xlfn.XLOOKUP($A91,Строчный!$A:$A,Строчный!Q:Q,"ERR",0)))</f>
        <v/>
      </c>
      <c r="Q91" s="90">
        <f ca="1">VALUE(_xlfn.XLOOKUP($A91,Строчный!$A:$A,Строчный!N:N,"ERR",0))</f>
        <v>772.22</v>
      </c>
      <c r="R91" s="89" t="str">
        <f ca="1">_xlfn.XLOOKUP($G91,Фабрика!A:A,Фабрика!B:B,"ERR",0)</f>
        <v>YupoongInc; 174, Gurodong-ro, Guro-gu, 08285 Seoul, South Korea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6</v>
      </c>
      <c r="U91" s="14" t="s">
        <v>265</v>
      </c>
      <c r="V91" s="101" t="str">
        <f t="shared" ca="1" si="12"/>
        <v>Бейсболка FLEXFIT арт. 110F (светло-серый)</v>
      </c>
      <c r="W91" s="100" t="str">
        <f t="shared" ca="1" si="13"/>
        <v>Бейсболка FLEXFIT арт. 110F (светло-серый) {heather grey}</v>
      </c>
      <c r="X91" s="18" t="str">
        <f t="shared" ca="1" si="9"/>
        <v>серый</v>
      </c>
      <c r="Y91" s="18" t="str">
        <f t="shared" ca="1" si="10"/>
        <v>серый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серый</v>
      </c>
      <c r="AA91" s="73" t="str">
        <f ca="1"/>
        <v>94-001-01-00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01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0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</sheetData>
  <autoFilter ref="G1:AW91" xr:uid="{00000000-0009-0000-0000-000000000000}"/>
  <conditionalFormatting sqref="AT2">
    <cfRule type="expression" dxfId="51" priority="36">
      <formula>IFERROR(AT2,TRUE)</formula>
    </cfRule>
  </conditionalFormatting>
  <conditionalFormatting sqref="AT3:AT91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91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91 AQ3:AQ91">
    <cfRule type="cellIs" dxfId="46" priority="31" operator="lessThan">
      <formula>1</formula>
    </cfRule>
  </conditionalFormatting>
  <conditionalFormatting sqref="AC3:AN91 AP3:AP91 AR3:AS91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91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91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91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91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28418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28241</v>
      </c>
      <c r="C3" s="131" t="s">
        <v>25309</v>
      </c>
      <c r="D3" s="119" t="s">
        <v>28241</v>
      </c>
      <c r="E3" s="119">
        <v>1</v>
      </c>
    </row>
    <row r="4" spans="1:5" x14ac:dyDescent="0.2">
      <c r="A4" s="131" t="s">
        <v>28310</v>
      </c>
      <c r="C4" s="131" t="s">
        <v>25310</v>
      </c>
      <c r="D4" s="119" t="s">
        <v>28310</v>
      </c>
      <c r="E4" s="119">
        <v>1</v>
      </c>
    </row>
    <row r="5" spans="1:5" x14ac:dyDescent="0.2">
      <c r="A5" s="131" t="s">
        <v>28278</v>
      </c>
      <c r="C5" s="131" t="s">
        <v>25311</v>
      </c>
      <c r="D5" s="119" t="s">
        <v>28278</v>
      </c>
      <c r="E5" s="119">
        <v>1</v>
      </c>
    </row>
    <row r="6" spans="1:5" x14ac:dyDescent="0.2">
      <c r="A6" s="131" t="s">
        <v>28271</v>
      </c>
      <c r="C6" s="131" t="s">
        <v>25312</v>
      </c>
      <c r="D6" s="119" t="s">
        <v>28271</v>
      </c>
      <c r="E6" s="119">
        <v>1</v>
      </c>
    </row>
    <row r="7" spans="1:5" x14ac:dyDescent="0.2">
      <c r="A7" s="131" t="s">
        <v>28355</v>
      </c>
      <c r="C7" s="131" t="s">
        <v>25313</v>
      </c>
      <c r="D7" s="119" t="s">
        <v>28355</v>
      </c>
      <c r="E7" s="119">
        <v>1</v>
      </c>
    </row>
    <row r="8" spans="1:5" x14ac:dyDescent="0.2">
      <c r="A8" s="131" t="s">
        <v>28397</v>
      </c>
      <c r="C8" s="131" t="s">
        <v>25314</v>
      </c>
      <c r="D8" s="119" t="s">
        <v>28397</v>
      </c>
      <c r="E8" s="119">
        <v>1</v>
      </c>
    </row>
    <row r="9" spans="1:5" x14ac:dyDescent="0.2">
      <c r="A9" s="131" t="s">
        <v>28351</v>
      </c>
      <c r="C9" s="131" t="s">
        <v>25315</v>
      </c>
      <c r="D9" s="119" t="s">
        <v>28351</v>
      </c>
      <c r="E9" s="119">
        <v>1</v>
      </c>
    </row>
    <row r="10" spans="1:5" x14ac:dyDescent="0.2">
      <c r="A10" s="131" t="s">
        <v>28274</v>
      </c>
      <c r="C10" s="131" t="s">
        <v>25316</v>
      </c>
      <c r="D10" s="119" t="s">
        <v>28274</v>
      </c>
      <c r="E10" s="119">
        <v>1</v>
      </c>
    </row>
    <row r="11" spans="1:5" x14ac:dyDescent="0.2">
      <c r="A11" s="131" t="s">
        <v>28356</v>
      </c>
      <c r="C11" s="131" t="s">
        <v>25317</v>
      </c>
      <c r="D11" s="119" t="s">
        <v>28356</v>
      </c>
      <c r="E11" s="119">
        <v>1</v>
      </c>
    </row>
    <row r="12" spans="1:5" x14ac:dyDescent="0.2">
      <c r="A12" s="131" t="s">
        <v>28238</v>
      </c>
      <c r="C12" s="131" t="s">
        <v>25318</v>
      </c>
      <c r="D12" s="119" t="s">
        <v>28238</v>
      </c>
      <c r="E12" s="119">
        <v>1</v>
      </c>
    </row>
    <row r="13" spans="1:5" x14ac:dyDescent="0.2">
      <c r="A13" s="131" t="s">
        <v>28401</v>
      </c>
      <c r="C13" s="131" t="s">
        <v>25319</v>
      </c>
      <c r="D13" s="119" t="s">
        <v>28401</v>
      </c>
      <c r="E13" s="119">
        <v>1</v>
      </c>
    </row>
    <row r="14" spans="1:5" x14ac:dyDescent="0.2">
      <c r="A14" s="131" t="s">
        <v>28285</v>
      </c>
      <c r="C14" s="131" t="s">
        <v>25320</v>
      </c>
      <c r="D14" s="119" t="s">
        <v>28285</v>
      </c>
      <c r="E14" s="119">
        <v>1</v>
      </c>
    </row>
    <row r="15" spans="1:5" x14ac:dyDescent="0.2">
      <c r="A15" s="131" t="s">
        <v>28231</v>
      </c>
      <c r="C15" s="131" t="s">
        <v>25321</v>
      </c>
      <c r="D15" s="119" t="s">
        <v>28231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28284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28235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28354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28332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28249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28323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28241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28310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28278</v>
      </c>
      <c r="E25" s="119">
        <v>1</v>
      </c>
    </row>
    <row r="26" spans="1:5" x14ac:dyDescent="0.2">
      <c r="A26" s="119" t="s">
        <v>28419</v>
      </c>
      <c r="C26" s="119" t="s">
        <v>28419</v>
      </c>
      <c r="D26" s="119" t="s">
        <v>28419</v>
      </c>
      <c r="E26" s="119">
        <v>1</v>
      </c>
    </row>
    <row r="27" spans="1:5" x14ac:dyDescent="0.2">
      <c r="A27" s="119" t="s">
        <v>28420</v>
      </c>
      <c r="C27" s="119" t="s">
        <v>28420</v>
      </c>
      <c r="D27" s="119" t="s">
        <v>28231</v>
      </c>
      <c r="E27" s="119">
        <v>1</v>
      </c>
    </row>
    <row r="28" spans="1:5" x14ac:dyDescent="0.2">
      <c r="A28" s="119" t="s">
        <v>28421</v>
      </c>
      <c r="C28" s="119" t="s">
        <v>28421</v>
      </c>
      <c r="D28" s="119" t="s">
        <v>25332</v>
      </c>
      <c r="E28" s="119">
        <v>1</v>
      </c>
    </row>
    <row r="29" spans="1:5" x14ac:dyDescent="0.2">
      <c r="A29" s="119" t="s">
        <v>28422</v>
      </c>
      <c r="C29" s="119" t="s">
        <v>28422</v>
      </c>
      <c r="D29" s="119" t="s">
        <v>28254</v>
      </c>
      <c r="E29" s="119">
        <v>1</v>
      </c>
    </row>
    <row r="30" spans="1:5" x14ac:dyDescent="0.2">
      <c r="A30" s="119" t="s">
        <v>28423</v>
      </c>
      <c r="C30" s="119" t="s">
        <v>28423</v>
      </c>
      <c r="D30" s="119" t="s">
        <v>25333</v>
      </c>
      <c r="E30" s="119">
        <v>1</v>
      </c>
    </row>
    <row r="31" spans="1:5" x14ac:dyDescent="0.2">
      <c r="A31" s="119" t="s">
        <v>28424</v>
      </c>
      <c r="C31" s="119" t="s">
        <v>28424</v>
      </c>
      <c r="D31" s="119" t="s">
        <v>28373</v>
      </c>
      <c r="E31" s="119">
        <v>1</v>
      </c>
    </row>
    <row r="32" spans="1:5" ht="12.6" customHeight="1" x14ac:dyDescent="0.2">
      <c r="A32" s="119">
        <v>9</v>
      </c>
      <c r="C32" s="119" t="s">
        <v>28427</v>
      </c>
      <c r="D32" s="119" t="s">
        <v>25334</v>
      </c>
      <c r="E32" s="119">
        <v>1</v>
      </c>
    </row>
    <row r="33" spans="1:5" ht="12.6" customHeight="1" x14ac:dyDescent="0.2">
      <c r="A33" s="119" t="s">
        <v>28425</v>
      </c>
      <c r="C33" s="119" t="s">
        <v>28425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28246</v>
      </c>
      <c r="D34" s="119" t="s">
        <v>28246</v>
      </c>
      <c r="E34" s="119">
        <v>1</v>
      </c>
    </row>
    <row r="35" spans="1:5" x14ac:dyDescent="0.2">
      <c r="A35" s="119" t="s">
        <v>28426</v>
      </c>
      <c r="C35" s="119" t="s">
        <v>28426</v>
      </c>
      <c r="D35" s="119" t="s">
        <v>28299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28247</v>
      </c>
      <c r="E36" s="119">
        <v>1</v>
      </c>
    </row>
    <row r="37" spans="1:5" x14ac:dyDescent="0.2">
      <c r="A37" s="131" t="s">
        <v>28245</v>
      </c>
      <c r="C37" s="131" t="s">
        <v>28245</v>
      </c>
      <c r="D37" s="119" t="s">
        <v>28245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31"/>
  <sheetViews>
    <sheetView topLeftCell="A797" workbookViewId="0">
      <selection activeCell="G827" sqref="G827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28418</v>
      </c>
    </row>
    <row r="2" spans="1:3" x14ac:dyDescent="0.25">
      <c r="A2" s="140" t="s">
        <v>141</v>
      </c>
      <c r="B2" s="125" t="s">
        <v>28220</v>
      </c>
      <c r="C2" s="125">
        <v>1</v>
      </c>
    </row>
    <row r="3" spans="1:3" x14ac:dyDescent="0.25">
      <c r="A3" s="125" t="s">
        <v>27</v>
      </c>
      <c r="B3" s="125" t="s">
        <v>28221</v>
      </c>
      <c r="C3" s="125">
        <v>1</v>
      </c>
    </row>
    <row r="4" spans="1:3" x14ac:dyDescent="0.25">
      <c r="A4" s="125" t="s">
        <v>58</v>
      </c>
      <c r="B4" s="125" t="s">
        <v>28222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28223</v>
      </c>
      <c r="C6" s="125">
        <v>1</v>
      </c>
    </row>
    <row r="7" spans="1:3" x14ac:dyDescent="0.25">
      <c r="A7" s="125" t="s">
        <v>28224</v>
      </c>
      <c r="B7" s="125" t="s">
        <v>28221</v>
      </c>
      <c r="C7" s="125">
        <v>1</v>
      </c>
    </row>
    <row r="8" spans="1:3" x14ac:dyDescent="0.25">
      <c r="A8" s="125" t="s">
        <v>220</v>
      </c>
      <c r="B8" s="125" t="s">
        <v>28225</v>
      </c>
      <c r="C8" s="125">
        <v>1</v>
      </c>
    </row>
    <row r="9" spans="1:3" x14ac:dyDescent="0.25">
      <c r="A9" s="125" t="s">
        <v>100</v>
      </c>
      <c r="B9" s="125" t="s">
        <v>28226</v>
      </c>
      <c r="C9" s="125">
        <v>1</v>
      </c>
    </row>
    <row r="10" spans="1:3" x14ac:dyDescent="0.25">
      <c r="A10" s="125" t="s">
        <v>147</v>
      </c>
      <c r="B10" s="125" t="s">
        <v>28227</v>
      </c>
      <c r="C10" s="125">
        <v>1</v>
      </c>
    </row>
    <row r="11" spans="1:3" x14ac:dyDescent="0.25">
      <c r="A11" s="125" t="s">
        <v>26</v>
      </c>
      <c r="B11" s="125" t="s">
        <v>28228</v>
      </c>
      <c r="C11" s="125">
        <v>1</v>
      </c>
    </row>
    <row r="12" spans="1:3" x14ac:dyDescent="0.25">
      <c r="A12" s="125" t="s">
        <v>23</v>
      </c>
      <c r="B12" s="125" t="s">
        <v>28229</v>
      </c>
      <c r="C12" s="125">
        <v>1</v>
      </c>
    </row>
    <row r="13" spans="1:3" x14ac:dyDescent="0.25">
      <c r="A13" s="125" t="s">
        <v>28230</v>
      </c>
      <c r="B13" s="125" t="s">
        <v>28231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28232</v>
      </c>
      <c r="C15" s="125">
        <v>1</v>
      </c>
    </row>
    <row r="16" spans="1:3" x14ac:dyDescent="0.25">
      <c r="A16" s="125" t="s">
        <v>201</v>
      </c>
      <c r="B16" s="125" t="s">
        <v>28233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28234</v>
      </c>
      <c r="C18" s="125">
        <v>1</v>
      </c>
    </row>
    <row r="19" spans="1:3" x14ac:dyDescent="0.25">
      <c r="A19" s="125" t="s">
        <v>25367</v>
      </c>
      <c r="B19" s="125" t="s">
        <v>28232</v>
      </c>
      <c r="C19" s="125">
        <v>1</v>
      </c>
    </row>
    <row r="20" spans="1:3" x14ac:dyDescent="0.25">
      <c r="A20" s="125" t="s">
        <v>107</v>
      </c>
      <c r="B20" s="125" t="s">
        <v>28235</v>
      </c>
      <c r="C20" s="125">
        <v>1</v>
      </c>
    </row>
    <row r="21" spans="1:3" x14ac:dyDescent="0.25">
      <c r="A21" s="125" t="s">
        <v>25472</v>
      </c>
      <c r="B21" s="125" t="s">
        <v>28236</v>
      </c>
      <c r="C21" s="125">
        <v>1</v>
      </c>
    </row>
    <row r="22" spans="1:3" x14ac:dyDescent="0.25">
      <c r="A22" s="125" t="s">
        <v>96</v>
      </c>
      <c r="B22" s="125" t="s">
        <v>28237</v>
      </c>
      <c r="C22" s="125">
        <v>1</v>
      </c>
    </row>
    <row r="23" spans="1:3" x14ac:dyDescent="0.25">
      <c r="A23" s="125" t="s">
        <v>27778</v>
      </c>
      <c r="B23" s="125" t="s">
        <v>28237</v>
      </c>
      <c r="C23" s="125">
        <v>1</v>
      </c>
    </row>
    <row r="24" spans="1:3" x14ac:dyDescent="0.25">
      <c r="A24" s="125" t="s">
        <v>97</v>
      </c>
      <c r="B24" s="125" t="s">
        <v>28238</v>
      </c>
      <c r="C24" s="125">
        <v>1</v>
      </c>
    </row>
    <row r="25" spans="1:3" x14ac:dyDescent="0.25">
      <c r="A25" s="125" t="s">
        <v>130</v>
      </c>
      <c r="B25" s="125" t="s">
        <v>28239</v>
      </c>
      <c r="C25" s="125">
        <v>1</v>
      </c>
    </row>
    <row r="26" spans="1:3" x14ac:dyDescent="0.25">
      <c r="A26" s="125" t="s">
        <v>28240</v>
      </c>
      <c r="B26" s="125" t="s">
        <v>28238</v>
      </c>
      <c r="C26" s="125">
        <v>1</v>
      </c>
    </row>
    <row r="27" spans="1:3" x14ac:dyDescent="0.25">
      <c r="A27" s="125" t="s">
        <v>25535</v>
      </c>
      <c r="B27" s="125" t="s">
        <v>28241</v>
      </c>
      <c r="C27" s="125">
        <v>1</v>
      </c>
    </row>
    <row r="28" spans="1:3" x14ac:dyDescent="0.25">
      <c r="A28" s="125" t="s">
        <v>25489</v>
      </c>
      <c r="B28" s="125" t="s">
        <v>28221</v>
      </c>
      <c r="C28" s="125">
        <v>1</v>
      </c>
    </row>
    <row r="29" spans="1:3" x14ac:dyDescent="0.25">
      <c r="A29" s="125" t="s">
        <v>25428</v>
      </c>
      <c r="B29" s="125" t="s">
        <v>28220</v>
      </c>
      <c r="C29" s="125">
        <v>1</v>
      </c>
    </row>
    <row r="30" spans="1:3" x14ac:dyDescent="0.25">
      <c r="A30" s="125" t="s">
        <v>25510</v>
      </c>
      <c r="B30" s="125" t="s">
        <v>28220</v>
      </c>
      <c r="C30" s="125">
        <v>1</v>
      </c>
    </row>
    <row r="31" spans="1:3" x14ac:dyDescent="0.25">
      <c r="A31" s="125" t="s">
        <v>137</v>
      </c>
      <c r="B31" s="125" t="s">
        <v>28242</v>
      </c>
      <c r="C31" s="125">
        <v>1</v>
      </c>
    </row>
    <row r="32" spans="1:3" x14ac:dyDescent="0.25">
      <c r="A32" s="125" t="s">
        <v>167</v>
      </c>
      <c r="B32" s="125" t="s">
        <v>28243</v>
      </c>
      <c r="C32" s="125">
        <v>1</v>
      </c>
    </row>
    <row r="33" spans="1:3" x14ac:dyDescent="0.25">
      <c r="A33" s="125" t="s">
        <v>28244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28245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28246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28220</v>
      </c>
      <c r="C39" s="125">
        <v>1</v>
      </c>
    </row>
    <row r="40" spans="1:3" x14ac:dyDescent="0.25">
      <c r="A40" s="125" t="s">
        <v>210</v>
      </c>
      <c r="B40" s="125" t="s">
        <v>28242</v>
      </c>
      <c r="C40" s="125">
        <v>1</v>
      </c>
    </row>
    <row r="41" spans="1:3" x14ac:dyDescent="0.25">
      <c r="A41" s="125" t="s">
        <v>25387</v>
      </c>
      <c r="B41" s="125" t="s">
        <v>28227</v>
      </c>
      <c r="C41" s="125">
        <v>1</v>
      </c>
    </row>
    <row r="42" spans="1:3" x14ac:dyDescent="0.25">
      <c r="A42" s="125" t="s">
        <v>197</v>
      </c>
      <c r="B42" s="125" t="s">
        <v>28247</v>
      </c>
      <c r="C42" s="125">
        <v>1</v>
      </c>
    </row>
    <row r="43" spans="1:3" x14ac:dyDescent="0.25">
      <c r="A43" s="125" t="s">
        <v>28248</v>
      </c>
      <c r="B43" s="125" t="s">
        <v>28249</v>
      </c>
      <c r="C43" s="125">
        <v>1</v>
      </c>
    </row>
    <row r="44" spans="1:3" x14ac:dyDescent="0.25">
      <c r="A44" s="125" t="s">
        <v>25532</v>
      </c>
      <c r="B44" s="125" t="s">
        <v>28234</v>
      </c>
      <c r="C44" s="125">
        <v>1</v>
      </c>
    </row>
    <row r="45" spans="1:3" x14ac:dyDescent="0.25">
      <c r="A45" s="125" t="s">
        <v>28250</v>
      </c>
      <c r="B45" s="125" t="s">
        <v>28232</v>
      </c>
      <c r="C45" s="125">
        <v>1</v>
      </c>
    </row>
    <row r="46" spans="1:3" x14ac:dyDescent="0.25">
      <c r="A46" s="125" t="s">
        <v>28251</v>
      </c>
      <c r="B46" s="125" t="s">
        <v>28252</v>
      </c>
      <c r="C46" s="125">
        <v>1</v>
      </c>
    </row>
    <row r="47" spans="1:3" x14ac:dyDescent="0.25">
      <c r="A47" s="125" t="s">
        <v>25471</v>
      </c>
      <c r="B47" s="125" t="s">
        <v>28253</v>
      </c>
      <c r="C47" s="125">
        <v>1</v>
      </c>
    </row>
    <row r="48" spans="1:3" x14ac:dyDescent="0.25">
      <c r="A48" s="125" t="s">
        <v>25374</v>
      </c>
      <c r="B48" s="125" t="s">
        <v>28236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25481</v>
      </c>
      <c r="B50" s="125" t="s">
        <v>28254</v>
      </c>
      <c r="C50" s="125">
        <v>1</v>
      </c>
    </row>
    <row r="51" spans="1:3" x14ac:dyDescent="0.25">
      <c r="A51" s="125" t="s">
        <v>25485</v>
      </c>
      <c r="B51" s="125" t="s">
        <v>28255</v>
      </c>
      <c r="C51" s="125">
        <v>1</v>
      </c>
    </row>
    <row r="52" spans="1:3" x14ac:dyDescent="0.25">
      <c r="A52" s="125" t="s">
        <v>25410</v>
      </c>
      <c r="B52" s="125" t="s">
        <v>28247</v>
      </c>
      <c r="C52" s="125">
        <v>1</v>
      </c>
    </row>
    <row r="53" spans="1:3" x14ac:dyDescent="0.25">
      <c r="A53" s="125" t="s">
        <v>25394</v>
      </c>
      <c r="B53" s="125" t="s">
        <v>28256</v>
      </c>
      <c r="C53" s="125">
        <v>1</v>
      </c>
    </row>
    <row r="54" spans="1:3" x14ac:dyDescent="0.25">
      <c r="A54" s="125" t="s">
        <v>28257</v>
      </c>
      <c r="B54" s="125" t="s">
        <v>28256</v>
      </c>
      <c r="C54" s="125">
        <v>1</v>
      </c>
    </row>
    <row r="55" spans="1:3" x14ac:dyDescent="0.25">
      <c r="A55" s="125" t="s">
        <v>28258</v>
      </c>
      <c r="B55" s="125" t="s">
        <v>28223</v>
      </c>
      <c r="C55" s="125">
        <v>1</v>
      </c>
    </row>
    <row r="56" spans="1:3" x14ac:dyDescent="0.25">
      <c r="A56" s="125" t="s">
        <v>25492</v>
      </c>
      <c r="B56" s="125" t="s">
        <v>28232</v>
      </c>
      <c r="C56" s="125">
        <v>1</v>
      </c>
    </row>
    <row r="57" spans="1:3" x14ac:dyDescent="0.25">
      <c r="A57" s="125" t="s">
        <v>28259</v>
      </c>
      <c r="B57" s="125" t="s">
        <v>28260</v>
      </c>
      <c r="C57" s="125">
        <v>1</v>
      </c>
    </row>
    <row r="58" spans="1:3" x14ac:dyDescent="0.25">
      <c r="A58" s="125" t="s">
        <v>28261</v>
      </c>
      <c r="B58" s="125" t="s">
        <v>28262</v>
      </c>
      <c r="C58" s="125">
        <v>1</v>
      </c>
    </row>
    <row r="59" spans="1:3" x14ac:dyDescent="0.25">
      <c r="A59" s="125" t="s">
        <v>25515</v>
      </c>
      <c r="B59" s="125" t="s">
        <v>28263</v>
      </c>
      <c r="C59" s="125">
        <v>1</v>
      </c>
    </row>
    <row r="60" spans="1:3" x14ac:dyDescent="0.25">
      <c r="A60" s="125" t="s">
        <v>25337</v>
      </c>
      <c r="B60" s="125" t="s">
        <v>28264</v>
      </c>
      <c r="C60" s="125">
        <v>1</v>
      </c>
    </row>
    <row r="61" spans="1:3" x14ac:dyDescent="0.25">
      <c r="A61" s="125" t="s">
        <v>25354</v>
      </c>
      <c r="B61" s="125" t="s">
        <v>28233</v>
      </c>
      <c r="C61" s="125">
        <v>1</v>
      </c>
    </row>
    <row r="62" spans="1:3" x14ac:dyDescent="0.25">
      <c r="A62" s="125" t="s">
        <v>25337</v>
      </c>
      <c r="B62" s="125" t="s">
        <v>28223</v>
      </c>
      <c r="C62" s="125">
        <v>1</v>
      </c>
    </row>
    <row r="63" spans="1:3" x14ac:dyDescent="0.25">
      <c r="A63" s="125" t="s">
        <v>25433</v>
      </c>
      <c r="B63" s="125" t="s">
        <v>28242</v>
      </c>
      <c r="C63" s="125">
        <v>1</v>
      </c>
    </row>
    <row r="64" spans="1:3" x14ac:dyDescent="0.25">
      <c r="A64" s="125" t="s">
        <v>25367</v>
      </c>
      <c r="B64" s="125" t="s">
        <v>28265</v>
      </c>
      <c r="C64" s="125">
        <v>1</v>
      </c>
    </row>
    <row r="65" spans="1:3" x14ac:dyDescent="0.25">
      <c r="A65" s="125" t="s">
        <v>25432</v>
      </c>
      <c r="B65" s="125" t="s">
        <v>25335</v>
      </c>
      <c r="C65" s="125">
        <v>1</v>
      </c>
    </row>
    <row r="66" spans="1:3" x14ac:dyDescent="0.25">
      <c r="A66" s="125" t="s">
        <v>25494</v>
      </c>
      <c r="B66" s="125" t="s">
        <v>28232</v>
      </c>
      <c r="C66" s="125">
        <v>1</v>
      </c>
    </row>
    <row r="67" spans="1:3" x14ac:dyDescent="0.25">
      <c r="A67" s="125" t="s">
        <v>25446</v>
      </c>
      <c r="B67" s="125" t="s">
        <v>28266</v>
      </c>
      <c r="C67" s="125">
        <v>1</v>
      </c>
    </row>
    <row r="68" spans="1:3" x14ac:dyDescent="0.25">
      <c r="A68" s="125" t="s">
        <v>28267</v>
      </c>
      <c r="B68" s="125" t="s">
        <v>28254</v>
      </c>
      <c r="C68" s="125">
        <v>1</v>
      </c>
    </row>
    <row r="69" spans="1:3" x14ac:dyDescent="0.25">
      <c r="A69" s="125" t="s">
        <v>28268</v>
      </c>
      <c r="B69" s="125" t="s">
        <v>28223</v>
      </c>
      <c r="C69" s="125">
        <v>1</v>
      </c>
    </row>
    <row r="70" spans="1:3" x14ac:dyDescent="0.25">
      <c r="A70" s="125" t="s">
        <v>25531</v>
      </c>
      <c r="B70" s="125" t="s">
        <v>28269</v>
      </c>
      <c r="C70" s="125">
        <v>1</v>
      </c>
    </row>
    <row r="71" spans="1:3" x14ac:dyDescent="0.25">
      <c r="A71" s="125" t="s">
        <v>28270</v>
      </c>
      <c r="B71" s="125" t="s">
        <v>28256</v>
      </c>
      <c r="C71" s="125">
        <v>1</v>
      </c>
    </row>
    <row r="72" spans="1:3" x14ac:dyDescent="0.25">
      <c r="A72" s="125" t="s">
        <v>25525</v>
      </c>
      <c r="B72" s="125" t="s">
        <v>28271</v>
      </c>
      <c r="C72" s="125">
        <v>1</v>
      </c>
    </row>
    <row r="73" spans="1:3" x14ac:dyDescent="0.25">
      <c r="A73" s="125" t="s">
        <v>25537</v>
      </c>
      <c r="B73" s="125" t="s">
        <v>28272</v>
      </c>
      <c r="C73" s="125">
        <v>1</v>
      </c>
    </row>
    <row r="74" spans="1:3" x14ac:dyDescent="0.25">
      <c r="A74" s="125" t="s">
        <v>28273</v>
      </c>
      <c r="B74" s="125" t="s">
        <v>28274</v>
      </c>
      <c r="C74" s="125">
        <v>1</v>
      </c>
    </row>
    <row r="75" spans="1:3" x14ac:dyDescent="0.25">
      <c r="A75" s="125" t="s">
        <v>25497</v>
      </c>
      <c r="B75" s="125" t="s">
        <v>28275</v>
      </c>
      <c r="C75" s="125">
        <v>1</v>
      </c>
    </row>
    <row r="76" spans="1:3" x14ac:dyDescent="0.25">
      <c r="A76" s="125" t="s">
        <v>28273</v>
      </c>
      <c r="B76" s="125" t="s">
        <v>28276</v>
      </c>
      <c r="C76" s="125">
        <v>1</v>
      </c>
    </row>
    <row r="77" spans="1:3" x14ac:dyDescent="0.25">
      <c r="A77" s="125" t="s">
        <v>28277</v>
      </c>
      <c r="B77" s="125" t="s">
        <v>28278</v>
      </c>
      <c r="C77" s="125">
        <v>1</v>
      </c>
    </row>
    <row r="78" spans="1:3" x14ac:dyDescent="0.25">
      <c r="A78" s="125" t="s">
        <v>25517</v>
      </c>
      <c r="B78" s="125" t="s">
        <v>28279</v>
      </c>
      <c r="C78" s="125">
        <v>1</v>
      </c>
    </row>
    <row r="79" spans="1:3" x14ac:dyDescent="0.25">
      <c r="A79" s="125" t="s">
        <v>97</v>
      </c>
      <c r="B79" s="125" t="s">
        <v>28234</v>
      </c>
      <c r="C79" s="125">
        <v>1</v>
      </c>
    </row>
    <row r="80" spans="1:3" x14ac:dyDescent="0.25">
      <c r="A80" s="125" t="s">
        <v>200</v>
      </c>
      <c r="B80" s="125" t="s">
        <v>28280</v>
      </c>
      <c r="C80" s="125">
        <v>1</v>
      </c>
    </row>
    <row r="81" spans="1:3" x14ac:dyDescent="0.25">
      <c r="A81" s="125" t="s">
        <v>28281</v>
      </c>
      <c r="B81" s="125" t="s">
        <v>28282</v>
      </c>
      <c r="C81" s="125">
        <v>1</v>
      </c>
    </row>
    <row r="82" spans="1:3" x14ac:dyDescent="0.25">
      <c r="A82" s="125" t="s">
        <v>52</v>
      </c>
      <c r="B82" s="125" t="s">
        <v>28283</v>
      </c>
      <c r="C82" s="125">
        <v>1</v>
      </c>
    </row>
    <row r="83" spans="1:3" x14ac:dyDescent="0.25">
      <c r="A83" s="125" t="s">
        <v>25363</v>
      </c>
      <c r="B83" s="125" t="s">
        <v>28284</v>
      </c>
      <c r="C83" s="125">
        <v>1</v>
      </c>
    </row>
    <row r="84" spans="1:3" x14ac:dyDescent="0.25">
      <c r="A84" s="125" t="s">
        <v>25484</v>
      </c>
      <c r="B84" s="125" t="s">
        <v>28285</v>
      </c>
      <c r="C84" s="125">
        <v>1</v>
      </c>
    </row>
    <row r="85" spans="1:3" x14ac:dyDescent="0.25">
      <c r="A85" s="125" t="s">
        <v>54</v>
      </c>
      <c r="B85" s="125" t="s">
        <v>28221</v>
      </c>
      <c r="C85" s="125">
        <v>1</v>
      </c>
    </row>
    <row r="86" spans="1:3" x14ac:dyDescent="0.25">
      <c r="A86" s="125" t="s">
        <v>28</v>
      </c>
      <c r="B86" s="125" t="s">
        <v>28286</v>
      </c>
      <c r="C86" s="125">
        <v>1</v>
      </c>
    </row>
    <row r="87" spans="1:3" x14ac:dyDescent="0.25">
      <c r="A87" s="125" t="s">
        <v>25452</v>
      </c>
      <c r="B87" s="125" t="s">
        <v>28286</v>
      </c>
      <c r="C87" s="125">
        <v>1</v>
      </c>
    </row>
    <row r="88" spans="1:3" x14ac:dyDescent="0.25">
      <c r="A88" s="125" t="s">
        <v>22</v>
      </c>
      <c r="B88" s="125" t="s">
        <v>28287</v>
      </c>
      <c r="C88" s="125">
        <v>1</v>
      </c>
    </row>
    <row r="89" spans="1:3" x14ac:dyDescent="0.25">
      <c r="A89" s="125" t="s">
        <v>123</v>
      </c>
      <c r="B89" s="125" t="s">
        <v>28247</v>
      </c>
      <c r="C89" s="125">
        <v>1</v>
      </c>
    </row>
    <row r="90" spans="1:3" x14ac:dyDescent="0.25">
      <c r="A90" s="125" t="s">
        <v>55</v>
      </c>
      <c r="B90" s="125" t="s">
        <v>25308</v>
      </c>
      <c r="C90" s="125">
        <v>1</v>
      </c>
    </row>
    <row r="91" spans="1:3" x14ac:dyDescent="0.25">
      <c r="A91" s="125" t="s">
        <v>171</v>
      </c>
      <c r="B91" s="125" t="s">
        <v>28242</v>
      </c>
      <c r="C91" s="125">
        <v>1</v>
      </c>
    </row>
    <row r="92" spans="1:3" x14ac:dyDescent="0.25">
      <c r="A92" s="125" t="s">
        <v>25440</v>
      </c>
      <c r="B92" s="125" t="s">
        <v>25333</v>
      </c>
      <c r="C92" s="125">
        <v>1</v>
      </c>
    </row>
    <row r="93" spans="1:3" x14ac:dyDescent="0.25">
      <c r="A93" s="125" t="s">
        <v>25538</v>
      </c>
      <c r="B93" s="125" t="s">
        <v>28275</v>
      </c>
      <c r="C93" s="125">
        <v>1</v>
      </c>
    </row>
    <row r="94" spans="1:3" x14ac:dyDescent="0.25">
      <c r="A94" s="125" t="s">
        <v>25531</v>
      </c>
      <c r="B94" s="125" t="s">
        <v>25332</v>
      </c>
      <c r="C94" s="125">
        <v>1</v>
      </c>
    </row>
    <row r="95" spans="1:3" x14ac:dyDescent="0.25">
      <c r="A95" s="125" t="s">
        <v>127</v>
      </c>
      <c r="B95" s="125" t="s">
        <v>25334</v>
      </c>
      <c r="C95" s="125">
        <v>1</v>
      </c>
    </row>
    <row r="96" spans="1:3" x14ac:dyDescent="0.25">
      <c r="A96" s="125" t="s">
        <v>28288</v>
      </c>
      <c r="B96" s="125" t="s">
        <v>25334</v>
      </c>
      <c r="C96" s="125">
        <v>1</v>
      </c>
    </row>
    <row r="97" spans="1:3" x14ac:dyDescent="0.25">
      <c r="A97" s="125" t="s">
        <v>27780</v>
      </c>
      <c r="B97" s="125" t="s">
        <v>28221</v>
      </c>
      <c r="C97" s="125">
        <v>1</v>
      </c>
    </row>
    <row r="98" spans="1:3" x14ac:dyDescent="0.25">
      <c r="A98" s="125" t="s">
        <v>28289</v>
      </c>
      <c r="B98" s="125" t="s">
        <v>28229</v>
      </c>
      <c r="C98" s="125">
        <v>1</v>
      </c>
    </row>
    <row r="99" spans="1:3" x14ac:dyDescent="0.25">
      <c r="A99" s="125" t="s">
        <v>25362</v>
      </c>
      <c r="B99" s="125" t="s">
        <v>28226</v>
      </c>
      <c r="C99" s="125">
        <v>1</v>
      </c>
    </row>
    <row r="100" spans="1:3" x14ac:dyDescent="0.25">
      <c r="A100" s="125" t="s">
        <v>28290</v>
      </c>
      <c r="B100" s="125" t="s">
        <v>28229</v>
      </c>
      <c r="C100" s="125">
        <v>1</v>
      </c>
    </row>
    <row r="101" spans="1:3" x14ac:dyDescent="0.25">
      <c r="A101" s="125" t="s">
        <v>25475</v>
      </c>
      <c r="B101" s="125" t="s">
        <v>28255</v>
      </c>
      <c r="C101" s="125">
        <v>1</v>
      </c>
    </row>
    <row r="102" spans="1:3" x14ac:dyDescent="0.25">
      <c r="A102" s="125" t="s">
        <v>200</v>
      </c>
      <c r="B102" s="125" t="s">
        <v>28285</v>
      </c>
      <c r="C102" s="125">
        <v>1</v>
      </c>
    </row>
    <row r="103" spans="1:3" x14ac:dyDescent="0.25">
      <c r="A103" s="125" t="s">
        <v>55</v>
      </c>
      <c r="B103" s="125" t="s">
        <v>25333</v>
      </c>
      <c r="C103" s="125">
        <v>1</v>
      </c>
    </row>
    <row r="104" spans="1:3" x14ac:dyDescent="0.25">
      <c r="A104" s="125" t="s">
        <v>25536</v>
      </c>
      <c r="B104" s="125" t="s">
        <v>25333</v>
      </c>
      <c r="C104" s="125">
        <v>1</v>
      </c>
    </row>
    <row r="105" spans="1:3" x14ac:dyDescent="0.25">
      <c r="A105" s="125" t="s">
        <v>25482</v>
      </c>
      <c r="B105" s="125" t="s">
        <v>28291</v>
      </c>
      <c r="C105" s="125">
        <v>1</v>
      </c>
    </row>
    <row r="106" spans="1:3" x14ac:dyDescent="0.25">
      <c r="A106" s="125" t="s">
        <v>1</v>
      </c>
      <c r="B106" s="125" t="s">
        <v>28229</v>
      </c>
      <c r="C106" s="125">
        <v>1</v>
      </c>
    </row>
    <row r="107" spans="1:3" x14ac:dyDescent="0.25">
      <c r="A107" s="125" t="s">
        <v>36</v>
      </c>
      <c r="B107" s="125" t="s">
        <v>28221</v>
      </c>
      <c r="C107" s="125">
        <v>1</v>
      </c>
    </row>
    <row r="108" spans="1:3" x14ac:dyDescent="0.25">
      <c r="A108" s="125" t="s">
        <v>25367</v>
      </c>
      <c r="B108" s="125" t="s">
        <v>28226</v>
      </c>
      <c r="C108" s="125">
        <v>1</v>
      </c>
    </row>
    <row r="109" spans="1:3" x14ac:dyDescent="0.25">
      <c r="A109" s="125" t="s">
        <v>25447</v>
      </c>
      <c r="B109" s="125" t="s">
        <v>28247</v>
      </c>
      <c r="C109" s="125">
        <v>1</v>
      </c>
    </row>
    <row r="110" spans="1:3" x14ac:dyDescent="0.25">
      <c r="A110" s="125" t="s">
        <v>25420</v>
      </c>
      <c r="B110" s="125" t="s">
        <v>28242</v>
      </c>
      <c r="C110" s="125">
        <v>1</v>
      </c>
    </row>
    <row r="111" spans="1:3" x14ac:dyDescent="0.25">
      <c r="A111" s="125" t="s">
        <v>28292</v>
      </c>
      <c r="B111" s="125" t="s">
        <v>28222</v>
      </c>
      <c r="C111" s="125">
        <v>1</v>
      </c>
    </row>
    <row r="112" spans="1:3" x14ac:dyDescent="0.25">
      <c r="A112" s="125" t="s">
        <v>58</v>
      </c>
      <c r="B112" s="125" t="s">
        <v>28287</v>
      </c>
      <c r="C112" s="125">
        <v>1</v>
      </c>
    </row>
    <row r="113" spans="1:3" x14ac:dyDescent="0.25">
      <c r="A113" s="125" t="s">
        <v>28293</v>
      </c>
      <c r="B113" s="125" t="s">
        <v>28287</v>
      </c>
      <c r="C113" s="125">
        <v>1</v>
      </c>
    </row>
    <row r="114" spans="1:3" x14ac:dyDescent="0.25">
      <c r="A114" s="125" t="s">
        <v>58</v>
      </c>
      <c r="B114" s="125" t="s">
        <v>25333</v>
      </c>
      <c r="C114" s="125">
        <v>1</v>
      </c>
    </row>
    <row r="115" spans="1:3" x14ac:dyDescent="0.25">
      <c r="A115" s="125" t="s">
        <v>28294</v>
      </c>
      <c r="B115" s="125" t="s">
        <v>28279</v>
      </c>
      <c r="C115" s="125">
        <v>1</v>
      </c>
    </row>
    <row r="116" spans="1:3" x14ac:dyDescent="0.25">
      <c r="A116" s="125" t="s">
        <v>25538</v>
      </c>
      <c r="B116" s="125" t="s">
        <v>28221</v>
      </c>
      <c r="C116" s="125">
        <v>1</v>
      </c>
    </row>
    <row r="117" spans="1:3" x14ac:dyDescent="0.25">
      <c r="A117" s="125" t="s">
        <v>22</v>
      </c>
      <c r="B117" s="125" t="s">
        <v>28228</v>
      </c>
      <c r="C117" s="125">
        <v>1</v>
      </c>
    </row>
    <row r="118" spans="1:3" x14ac:dyDescent="0.25">
      <c r="A118" s="125" t="s">
        <v>35</v>
      </c>
      <c r="B118" s="125" t="s">
        <v>28287</v>
      </c>
      <c r="C118" s="125">
        <v>1</v>
      </c>
    </row>
    <row r="119" spans="1:3" x14ac:dyDescent="0.25">
      <c r="A119" s="125" t="s">
        <v>171</v>
      </c>
      <c r="B119" s="125" t="s">
        <v>28235</v>
      </c>
      <c r="C119" s="125">
        <v>1</v>
      </c>
    </row>
    <row r="120" spans="1:3" x14ac:dyDescent="0.25">
      <c r="A120" s="125" t="s">
        <v>25337</v>
      </c>
      <c r="B120" s="125" t="s">
        <v>25333</v>
      </c>
      <c r="C120" s="125">
        <v>1</v>
      </c>
    </row>
    <row r="121" spans="1:3" x14ac:dyDescent="0.25">
      <c r="A121" s="125" t="s">
        <v>25491</v>
      </c>
      <c r="B121" s="125" t="s">
        <v>28234</v>
      </c>
      <c r="C121" s="125">
        <v>1</v>
      </c>
    </row>
    <row r="122" spans="1:3" x14ac:dyDescent="0.25">
      <c r="A122" s="125" t="s">
        <v>25497</v>
      </c>
      <c r="B122" s="125" t="s">
        <v>25334</v>
      </c>
      <c r="C122" s="125">
        <v>1</v>
      </c>
    </row>
    <row r="123" spans="1:3" x14ac:dyDescent="0.25">
      <c r="A123" s="125" t="s">
        <v>25533</v>
      </c>
      <c r="B123" s="125" t="s">
        <v>28295</v>
      </c>
      <c r="C123" s="125">
        <v>1</v>
      </c>
    </row>
    <row r="124" spans="1:3" x14ac:dyDescent="0.25">
      <c r="A124" s="125" t="s">
        <v>28296</v>
      </c>
      <c r="B124" s="125" t="s">
        <v>28255</v>
      </c>
      <c r="C124" s="125">
        <v>1</v>
      </c>
    </row>
    <row r="125" spans="1:3" x14ac:dyDescent="0.25">
      <c r="A125" s="125" t="s">
        <v>25373</v>
      </c>
      <c r="B125" s="125" t="s">
        <v>28297</v>
      </c>
      <c r="C125" s="125">
        <v>1</v>
      </c>
    </row>
    <row r="126" spans="1:3" x14ac:dyDescent="0.25">
      <c r="A126" s="125" t="s">
        <v>25521</v>
      </c>
      <c r="B126" s="125" t="s">
        <v>28298</v>
      </c>
      <c r="C126" s="125">
        <v>1</v>
      </c>
    </row>
    <row r="127" spans="1:3" x14ac:dyDescent="0.25">
      <c r="A127" s="125" t="s">
        <v>28410</v>
      </c>
      <c r="B127" s="125" t="s">
        <v>28298</v>
      </c>
      <c r="C127" s="125">
        <v>1</v>
      </c>
    </row>
    <row r="128" spans="1:3" x14ac:dyDescent="0.25">
      <c r="A128" s="125" t="s">
        <v>55</v>
      </c>
      <c r="B128" s="125" t="s">
        <v>28287</v>
      </c>
      <c r="C128" s="125">
        <v>1</v>
      </c>
    </row>
    <row r="129" spans="1:3" x14ac:dyDescent="0.25">
      <c r="A129" s="125" t="s">
        <v>43</v>
      </c>
      <c r="B129" s="125" t="s">
        <v>28299</v>
      </c>
      <c r="C129" s="125">
        <v>1</v>
      </c>
    </row>
    <row r="130" spans="1:3" x14ac:dyDescent="0.25">
      <c r="A130" s="125" t="s">
        <v>1</v>
      </c>
      <c r="B130" s="125" t="s">
        <v>28228</v>
      </c>
      <c r="C130" s="125">
        <v>1</v>
      </c>
    </row>
    <row r="131" spans="1:3" x14ac:dyDescent="0.25">
      <c r="A131" s="125" t="s">
        <v>25490</v>
      </c>
      <c r="B131" s="125" t="s">
        <v>28254</v>
      </c>
      <c r="C131" s="125">
        <v>1</v>
      </c>
    </row>
    <row r="132" spans="1:3" x14ac:dyDescent="0.25">
      <c r="A132" s="125" t="s">
        <v>28300</v>
      </c>
      <c r="B132" s="125" t="s">
        <v>28301</v>
      </c>
      <c r="C132" s="125">
        <v>1</v>
      </c>
    </row>
    <row r="133" spans="1:3" x14ac:dyDescent="0.25">
      <c r="A133" s="125" t="s">
        <v>29</v>
      </c>
      <c r="B133" s="125" t="s">
        <v>28283</v>
      </c>
      <c r="C133" s="125">
        <v>1</v>
      </c>
    </row>
    <row r="134" spans="1:3" x14ac:dyDescent="0.25">
      <c r="A134" s="125" t="s">
        <v>42</v>
      </c>
      <c r="B134" s="125" t="s">
        <v>28241</v>
      </c>
      <c r="C134" s="125">
        <v>1</v>
      </c>
    </row>
    <row r="135" spans="1:3" x14ac:dyDescent="0.25">
      <c r="A135" s="125" t="s">
        <v>28302</v>
      </c>
      <c r="B135" s="125" t="s">
        <v>25334</v>
      </c>
      <c r="C135" s="125">
        <v>1</v>
      </c>
    </row>
    <row r="136" spans="1:3" x14ac:dyDescent="0.25">
      <c r="A136" s="125" t="s">
        <v>28564</v>
      </c>
      <c r="B136" s="125" t="s">
        <v>28245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28227</v>
      </c>
      <c r="C138" s="125">
        <v>1</v>
      </c>
    </row>
    <row r="139" spans="1:3" x14ac:dyDescent="0.25">
      <c r="A139" s="125" t="s">
        <v>28303</v>
      </c>
      <c r="B139" s="125" t="s">
        <v>28225</v>
      </c>
      <c r="C139" s="125">
        <v>1</v>
      </c>
    </row>
    <row r="140" spans="1:3" x14ac:dyDescent="0.25">
      <c r="A140" s="125" t="s">
        <v>25365</v>
      </c>
      <c r="B140" s="125" t="s">
        <v>28245</v>
      </c>
      <c r="C140" s="125">
        <v>1</v>
      </c>
    </row>
    <row r="141" spans="1:3" x14ac:dyDescent="0.25">
      <c r="A141" s="125" t="s">
        <v>28</v>
      </c>
      <c r="B141" s="125" t="s">
        <v>28287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28229</v>
      </c>
      <c r="C145" s="125">
        <v>1</v>
      </c>
    </row>
    <row r="146" spans="1:3" x14ac:dyDescent="0.25">
      <c r="A146" s="125" t="s">
        <v>22</v>
      </c>
      <c r="B146" s="125" t="s">
        <v>28247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28304</v>
      </c>
      <c r="B148" s="125" t="s">
        <v>28247</v>
      </c>
      <c r="C148" s="125">
        <v>1</v>
      </c>
    </row>
    <row r="149" spans="1:3" x14ac:dyDescent="0.25">
      <c r="A149" s="125" t="s">
        <v>99</v>
      </c>
      <c r="B149" s="125" t="s">
        <v>28275</v>
      </c>
      <c r="C149" s="125">
        <v>1</v>
      </c>
    </row>
    <row r="150" spans="1:3" x14ac:dyDescent="0.25">
      <c r="A150" s="125" t="s">
        <v>25424</v>
      </c>
      <c r="B150" s="125" t="s">
        <v>28287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28299</v>
      </c>
      <c r="C152" s="125">
        <v>1</v>
      </c>
    </row>
    <row r="153" spans="1:3" x14ac:dyDescent="0.25">
      <c r="A153" s="125" t="s">
        <v>220</v>
      </c>
      <c r="B153" s="125" t="s">
        <v>28247</v>
      </c>
      <c r="C153" s="125">
        <v>1</v>
      </c>
    </row>
    <row r="154" spans="1:3" x14ac:dyDescent="0.25">
      <c r="A154" s="125" t="s">
        <v>194</v>
      </c>
      <c r="B154" s="125" t="s">
        <v>28226</v>
      </c>
      <c r="C154" s="125">
        <v>1</v>
      </c>
    </row>
    <row r="155" spans="1:3" x14ac:dyDescent="0.25">
      <c r="A155" s="125" t="s">
        <v>25437</v>
      </c>
      <c r="B155" s="125" t="s">
        <v>28298</v>
      </c>
      <c r="C155" s="125">
        <v>1</v>
      </c>
    </row>
    <row r="156" spans="1:3" x14ac:dyDescent="0.25">
      <c r="A156" s="125" t="s">
        <v>25396</v>
      </c>
      <c r="B156" s="125" t="s">
        <v>28305</v>
      </c>
      <c r="C156" s="125">
        <v>1</v>
      </c>
    </row>
    <row r="157" spans="1:3" x14ac:dyDescent="0.25">
      <c r="A157" s="125" t="s">
        <v>27</v>
      </c>
      <c r="B157" s="125" t="s">
        <v>28229</v>
      </c>
      <c r="C157" s="125">
        <v>1</v>
      </c>
    </row>
    <row r="158" spans="1:3" x14ac:dyDescent="0.25">
      <c r="A158" s="125" t="s">
        <v>167</v>
      </c>
      <c r="B158" s="125" t="s">
        <v>28287</v>
      </c>
      <c r="C158" s="125">
        <v>1</v>
      </c>
    </row>
    <row r="159" spans="1:3" x14ac:dyDescent="0.25">
      <c r="A159" s="125" t="s">
        <v>25481</v>
      </c>
      <c r="B159" s="125" t="s">
        <v>28220</v>
      </c>
      <c r="C159" s="125">
        <v>1</v>
      </c>
    </row>
    <row r="160" spans="1:3" x14ac:dyDescent="0.25">
      <c r="A160" s="125" t="s">
        <v>25440</v>
      </c>
      <c r="B160" s="125" t="s">
        <v>28226</v>
      </c>
      <c r="C160" s="125">
        <v>1</v>
      </c>
    </row>
    <row r="161" spans="1:3" x14ac:dyDescent="0.25">
      <c r="A161" s="125" t="s">
        <v>28306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28235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28279</v>
      </c>
      <c r="C165" s="125">
        <v>1</v>
      </c>
    </row>
    <row r="166" spans="1:3" x14ac:dyDescent="0.25">
      <c r="A166" s="125" t="s">
        <v>27780</v>
      </c>
      <c r="B166" s="125" t="s">
        <v>28229</v>
      </c>
      <c r="C166" s="125">
        <v>1</v>
      </c>
    </row>
    <row r="167" spans="1:3" x14ac:dyDescent="0.25">
      <c r="A167" s="125" t="s">
        <v>25461</v>
      </c>
      <c r="B167" s="125" t="s">
        <v>28222</v>
      </c>
      <c r="C167" s="125">
        <v>1</v>
      </c>
    </row>
    <row r="168" spans="1:3" x14ac:dyDescent="0.25">
      <c r="A168" s="125" t="s">
        <v>210</v>
      </c>
      <c r="B168" s="125" t="s">
        <v>28220</v>
      </c>
      <c r="C168" s="125">
        <v>1</v>
      </c>
    </row>
    <row r="169" spans="1:3" x14ac:dyDescent="0.25">
      <c r="A169" s="125" t="s">
        <v>25374</v>
      </c>
      <c r="B169" s="125" t="s">
        <v>28307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28308</v>
      </c>
      <c r="C172" s="125">
        <v>1</v>
      </c>
    </row>
    <row r="173" spans="1:3" x14ac:dyDescent="0.25">
      <c r="A173" s="125" t="s">
        <v>25403</v>
      </c>
      <c r="B173" s="125" t="s">
        <v>28308</v>
      </c>
      <c r="C173" s="125">
        <v>1</v>
      </c>
    </row>
    <row r="174" spans="1:3" x14ac:dyDescent="0.25">
      <c r="A174" s="125" t="s">
        <v>41</v>
      </c>
      <c r="B174" s="125" t="s">
        <v>28262</v>
      </c>
      <c r="C174" s="125">
        <v>1</v>
      </c>
    </row>
    <row r="175" spans="1:3" x14ac:dyDescent="0.25">
      <c r="A175" s="125" t="s">
        <v>28309</v>
      </c>
      <c r="B175" s="125" t="s">
        <v>28226</v>
      </c>
      <c r="C175" s="125">
        <v>1</v>
      </c>
    </row>
    <row r="176" spans="1:3" x14ac:dyDescent="0.25">
      <c r="A176" s="125" t="s">
        <v>25513</v>
      </c>
      <c r="B176" s="125" t="s">
        <v>28255</v>
      </c>
      <c r="C176" s="125">
        <v>1</v>
      </c>
    </row>
    <row r="177" spans="1:3" x14ac:dyDescent="0.25">
      <c r="A177" s="125" t="s">
        <v>25514</v>
      </c>
      <c r="B177" s="125" t="s">
        <v>28263</v>
      </c>
      <c r="C177" s="125">
        <v>1</v>
      </c>
    </row>
    <row r="178" spans="1:3" x14ac:dyDescent="0.25">
      <c r="A178" s="125" t="s">
        <v>28428</v>
      </c>
      <c r="B178" s="125" t="s">
        <v>25308</v>
      </c>
      <c r="C178" s="125">
        <v>1</v>
      </c>
    </row>
    <row r="179" spans="1:3" x14ac:dyDescent="0.25">
      <c r="A179" s="125" t="s">
        <v>28430</v>
      </c>
      <c r="B179" s="125" t="s">
        <v>25308</v>
      </c>
      <c r="C179" s="125">
        <v>1</v>
      </c>
    </row>
    <row r="180" spans="1:3" x14ac:dyDescent="0.25">
      <c r="A180" s="125" t="s">
        <v>25419</v>
      </c>
      <c r="B180" s="125" t="s">
        <v>25308</v>
      </c>
      <c r="C180" s="125">
        <v>1</v>
      </c>
    </row>
    <row r="181" spans="1:3" x14ac:dyDescent="0.25">
      <c r="A181" s="125" t="s">
        <v>25417</v>
      </c>
      <c r="B181" s="125" t="s">
        <v>28287</v>
      </c>
      <c r="C181" s="125">
        <v>1</v>
      </c>
    </row>
    <row r="182" spans="1:3" x14ac:dyDescent="0.25">
      <c r="A182" s="125" t="s">
        <v>25375</v>
      </c>
      <c r="B182" s="125" t="s">
        <v>28310</v>
      </c>
      <c r="C182" s="125">
        <v>1</v>
      </c>
    </row>
    <row r="183" spans="1:3" x14ac:dyDescent="0.25">
      <c r="A183" s="125" t="s">
        <v>25414</v>
      </c>
      <c r="B183" s="125" t="s">
        <v>28287</v>
      </c>
      <c r="C183" s="125">
        <v>1</v>
      </c>
    </row>
    <row r="184" spans="1:3" x14ac:dyDescent="0.25">
      <c r="A184" s="125" t="s">
        <v>171</v>
      </c>
      <c r="B184" s="125" t="s">
        <v>25334</v>
      </c>
      <c r="C184" s="125">
        <v>1</v>
      </c>
    </row>
    <row r="185" spans="1:3" x14ac:dyDescent="0.25">
      <c r="A185" s="125" t="s">
        <v>25469</v>
      </c>
      <c r="B185" s="125" t="s">
        <v>28311</v>
      </c>
      <c r="C185" s="125">
        <v>1</v>
      </c>
    </row>
    <row r="186" spans="1:3" x14ac:dyDescent="0.25">
      <c r="A186" s="125" t="s">
        <v>25462</v>
      </c>
      <c r="B186" s="125" t="s">
        <v>28236</v>
      </c>
      <c r="C186" s="125">
        <v>1</v>
      </c>
    </row>
    <row r="187" spans="1:3" x14ac:dyDescent="0.25">
      <c r="A187" s="125" t="s">
        <v>28</v>
      </c>
      <c r="B187" s="125" t="s">
        <v>28226</v>
      </c>
      <c r="C187" s="125">
        <v>1</v>
      </c>
    </row>
    <row r="188" spans="1:3" x14ac:dyDescent="0.25">
      <c r="A188" s="125" t="s">
        <v>25365</v>
      </c>
      <c r="B188" s="125" t="s">
        <v>28249</v>
      </c>
      <c r="C188" s="125">
        <v>1</v>
      </c>
    </row>
    <row r="189" spans="1:3" x14ac:dyDescent="0.25">
      <c r="A189" s="125" t="s">
        <v>97</v>
      </c>
      <c r="B189" s="125" t="s">
        <v>28222</v>
      </c>
      <c r="C189" s="125">
        <v>1</v>
      </c>
    </row>
    <row r="190" spans="1:3" x14ac:dyDescent="0.25">
      <c r="A190" s="125" t="s">
        <v>104</v>
      </c>
      <c r="B190" s="125" t="s">
        <v>28222</v>
      </c>
      <c r="C190" s="125">
        <v>1</v>
      </c>
    </row>
    <row r="191" spans="1:3" x14ac:dyDescent="0.25">
      <c r="A191" s="125" t="s">
        <v>25438</v>
      </c>
      <c r="B191" s="125" t="s">
        <v>28253</v>
      </c>
      <c r="C191" s="125">
        <v>1</v>
      </c>
    </row>
    <row r="192" spans="1:3" x14ac:dyDescent="0.25">
      <c r="A192" s="125" t="s">
        <v>28312</v>
      </c>
      <c r="B192" s="125" t="s">
        <v>28253</v>
      </c>
      <c r="C192" s="125">
        <v>1</v>
      </c>
    </row>
    <row r="193" spans="1:3" x14ac:dyDescent="0.25">
      <c r="A193" s="125" t="s">
        <v>25407</v>
      </c>
      <c r="B193" s="125" t="s">
        <v>28256</v>
      </c>
      <c r="C193" s="125">
        <v>1</v>
      </c>
    </row>
    <row r="194" spans="1:3" x14ac:dyDescent="0.25">
      <c r="A194" s="125" t="s">
        <v>25345</v>
      </c>
      <c r="B194" s="125" t="s">
        <v>28313</v>
      </c>
      <c r="C194" s="125">
        <v>1</v>
      </c>
    </row>
    <row r="195" spans="1:3" x14ac:dyDescent="0.25">
      <c r="A195" s="125" t="s">
        <v>27</v>
      </c>
      <c r="B195" s="125" t="s">
        <v>28227</v>
      </c>
      <c r="C195" s="125">
        <v>1</v>
      </c>
    </row>
    <row r="196" spans="1:3" x14ac:dyDescent="0.25">
      <c r="A196" s="125" t="s">
        <v>25485</v>
      </c>
      <c r="B196" s="125" t="s">
        <v>28311</v>
      </c>
      <c r="C196" s="125">
        <v>1</v>
      </c>
    </row>
    <row r="197" spans="1:3" x14ac:dyDescent="0.25">
      <c r="A197" s="125" t="s">
        <v>27</v>
      </c>
      <c r="B197" s="125" t="s">
        <v>28226</v>
      </c>
      <c r="C197" s="125">
        <v>1</v>
      </c>
    </row>
    <row r="198" spans="1:3" x14ac:dyDescent="0.25">
      <c r="A198" s="125" t="s">
        <v>23</v>
      </c>
      <c r="B198" s="125" t="s">
        <v>28221</v>
      </c>
      <c r="C198" s="125">
        <v>1</v>
      </c>
    </row>
    <row r="199" spans="1:3" x14ac:dyDescent="0.25">
      <c r="A199" s="125" t="s">
        <v>25542</v>
      </c>
      <c r="B199" s="125" t="s">
        <v>28227</v>
      </c>
      <c r="C199" s="125">
        <v>1</v>
      </c>
    </row>
    <row r="200" spans="1:3" x14ac:dyDescent="0.25">
      <c r="A200" s="125" t="s">
        <v>25532</v>
      </c>
      <c r="B200" s="125" t="s">
        <v>28256</v>
      </c>
      <c r="C200" s="125">
        <v>1</v>
      </c>
    </row>
    <row r="201" spans="1:3" x14ac:dyDescent="0.25">
      <c r="A201" s="125" t="s">
        <v>54</v>
      </c>
      <c r="B201" s="125" t="s">
        <v>28227</v>
      </c>
      <c r="C201" s="125">
        <v>1</v>
      </c>
    </row>
    <row r="202" spans="1:3" x14ac:dyDescent="0.25">
      <c r="A202" s="125" t="s">
        <v>25459</v>
      </c>
      <c r="B202" s="125" t="s">
        <v>28314</v>
      </c>
      <c r="C202" s="125">
        <v>1</v>
      </c>
    </row>
    <row r="203" spans="1:3" x14ac:dyDescent="0.25">
      <c r="A203" s="125" t="s">
        <v>52</v>
      </c>
      <c r="B203" s="125" t="s">
        <v>28287</v>
      </c>
      <c r="C203" s="125">
        <v>1</v>
      </c>
    </row>
    <row r="204" spans="1:3" x14ac:dyDescent="0.25">
      <c r="A204" s="125" t="s">
        <v>25499</v>
      </c>
      <c r="B204" s="125" t="s">
        <v>28315</v>
      </c>
      <c r="C204" s="125">
        <v>1</v>
      </c>
    </row>
    <row r="205" spans="1:3" x14ac:dyDescent="0.25">
      <c r="A205" s="125" t="s">
        <v>25348</v>
      </c>
      <c r="B205" s="125" t="s">
        <v>28310</v>
      </c>
      <c r="C205" s="125">
        <v>1</v>
      </c>
    </row>
    <row r="206" spans="1:3" x14ac:dyDescent="0.25">
      <c r="A206" s="125" t="s">
        <v>25366</v>
      </c>
      <c r="B206" s="125" t="s">
        <v>28256</v>
      </c>
      <c r="C206" s="125">
        <v>1</v>
      </c>
    </row>
    <row r="207" spans="1:3" x14ac:dyDescent="0.25">
      <c r="A207" s="125" t="s">
        <v>25490</v>
      </c>
      <c r="B207" s="125" t="s">
        <v>28221</v>
      </c>
      <c r="C207" s="125">
        <v>1</v>
      </c>
    </row>
    <row r="208" spans="1:3" x14ac:dyDescent="0.25">
      <c r="A208" s="125" t="s">
        <v>25400</v>
      </c>
      <c r="B208" s="125" t="s">
        <v>28245</v>
      </c>
      <c r="C208" s="125">
        <v>1</v>
      </c>
    </row>
    <row r="209" spans="1:3" x14ac:dyDescent="0.25">
      <c r="A209" s="125" t="s">
        <v>130</v>
      </c>
      <c r="B209" s="125" t="s">
        <v>28221</v>
      </c>
      <c r="C209" s="125">
        <v>1</v>
      </c>
    </row>
    <row r="210" spans="1:3" x14ac:dyDescent="0.25">
      <c r="A210" s="125" t="s">
        <v>25393</v>
      </c>
      <c r="B210" s="125" t="s">
        <v>28256</v>
      </c>
      <c r="C210" s="125">
        <v>1</v>
      </c>
    </row>
    <row r="211" spans="1:3" x14ac:dyDescent="0.25">
      <c r="A211" s="125" t="s">
        <v>25346</v>
      </c>
      <c r="B211" s="125" t="s">
        <v>28313</v>
      </c>
      <c r="C211" s="125">
        <v>1</v>
      </c>
    </row>
    <row r="212" spans="1:3" x14ac:dyDescent="0.25">
      <c r="A212" s="125" t="s">
        <v>25392</v>
      </c>
      <c r="B212" s="125" t="s">
        <v>28234</v>
      </c>
      <c r="C212" s="125">
        <v>1</v>
      </c>
    </row>
    <row r="213" spans="1:3" x14ac:dyDescent="0.25">
      <c r="A213" s="125" t="s">
        <v>25478</v>
      </c>
      <c r="B213" s="125" t="s">
        <v>28262</v>
      </c>
      <c r="C213" s="125">
        <v>1</v>
      </c>
    </row>
    <row r="214" spans="1:3" x14ac:dyDescent="0.25">
      <c r="A214" s="125" t="s">
        <v>25347</v>
      </c>
      <c r="B214" s="125" t="s">
        <v>28310</v>
      </c>
      <c r="C214" s="125">
        <v>1</v>
      </c>
    </row>
    <row r="215" spans="1:3" x14ac:dyDescent="0.25">
      <c r="A215" s="125" t="s">
        <v>25421</v>
      </c>
      <c r="B215" s="125" t="s">
        <v>28313</v>
      </c>
      <c r="C215" s="125">
        <v>1</v>
      </c>
    </row>
    <row r="216" spans="1:3" x14ac:dyDescent="0.25">
      <c r="A216" s="125" t="s">
        <v>25540</v>
      </c>
      <c r="B216" s="125" t="s">
        <v>28227</v>
      </c>
      <c r="C216" s="125">
        <v>1</v>
      </c>
    </row>
    <row r="217" spans="1:3" x14ac:dyDescent="0.25">
      <c r="A217" s="125" t="s">
        <v>25430</v>
      </c>
      <c r="B217" s="125" t="s">
        <v>28316</v>
      </c>
      <c r="C217" s="125">
        <v>1</v>
      </c>
    </row>
    <row r="218" spans="1:3" x14ac:dyDescent="0.25">
      <c r="A218" s="125" t="s">
        <v>215</v>
      </c>
      <c r="B218" s="125" t="s">
        <v>28299</v>
      </c>
      <c r="C218" s="125">
        <v>1</v>
      </c>
    </row>
    <row r="219" spans="1:3" x14ac:dyDescent="0.25">
      <c r="A219" s="125" t="s">
        <v>54</v>
      </c>
      <c r="B219" s="125" t="s">
        <v>25332</v>
      </c>
      <c r="C219" s="125">
        <v>1</v>
      </c>
    </row>
    <row r="220" spans="1:3" x14ac:dyDescent="0.25">
      <c r="A220" s="125" t="s">
        <v>25525</v>
      </c>
      <c r="B220" s="125" t="s">
        <v>25308</v>
      </c>
      <c r="C220" s="125">
        <v>1</v>
      </c>
    </row>
    <row r="221" spans="1:3" x14ac:dyDescent="0.25">
      <c r="A221" s="125" t="s">
        <v>25463</v>
      </c>
      <c r="B221" s="125" t="s">
        <v>28301</v>
      </c>
      <c r="C221" s="125">
        <v>1</v>
      </c>
    </row>
    <row r="222" spans="1:3" x14ac:dyDescent="0.25">
      <c r="A222" s="125" t="s">
        <v>28411</v>
      </c>
      <c r="B222" s="125" t="s">
        <v>28301</v>
      </c>
      <c r="C222" s="125">
        <v>1</v>
      </c>
    </row>
    <row r="223" spans="1:3" x14ac:dyDescent="0.25">
      <c r="A223" s="125" t="s">
        <v>25531</v>
      </c>
      <c r="B223" s="125" t="s">
        <v>25334</v>
      </c>
      <c r="C223" s="125">
        <v>1</v>
      </c>
    </row>
    <row r="224" spans="1:3" x14ac:dyDescent="0.25">
      <c r="A224" s="125" t="s">
        <v>29</v>
      </c>
      <c r="B224" s="125" t="s">
        <v>28317</v>
      </c>
      <c r="C224" s="125">
        <v>1</v>
      </c>
    </row>
    <row r="225" spans="1:3" x14ac:dyDescent="0.25">
      <c r="A225" s="125" t="s">
        <v>22</v>
      </c>
      <c r="B225" s="125" t="s">
        <v>28222</v>
      </c>
      <c r="C225" s="125">
        <v>1</v>
      </c>
    </row>
    <row r="226" spans="1:3" x14ac:dyDescent="0.25">
      <c r="A226" s="125" t="s">
        <v>25487</v>
      </c>
      <c r="B226" s="125" t="s">
        <v>25335</v>
      </c>
      <c r="C226" s="125">
        <v>1</v>
      </c>
    </row>
    <row r="227" spans="1:3" x14ac:dyDescent="0.25">
      <c r="A227" s="125" t="s">
        <v>25423</v>
      </c>
      <c r="B227" s="125" t="s">
        <v>28274</v>
      </c>
      <c r="C227" s="125">
        <v>1</v>
      </c>
    </row>
    <row r="228" spans="1:3" x14ac:dyDescent="0.25">
      <c r="A228" s="125" t="s">
        <v>27</v>
      </c>
      <c r="B228" s="125" t="s">
        <v>28275</v>
      </c>
      <c r="C228" s="125">
        <v>1</v>
      </c>
    </row>
    <row r="229" spans="1:3" x14ac:dyDescent="0.25">
      <c r="A229" s="125" t="s">
        <v>25494</v>
      </c>
      <c r="B229" s="125" t="s">
        <v>28310</v>
      </c>
      <c r="C229" s="125">
        <v>1</v>
      </c>
    </row>
    <row r="230" spans="1:3" x14ac:dyDescent="0.25">
      <c r="A230" s="125" t="s">
        <v>25542</v>
      </c>
      <c r="B230" s="125" t="s">
        <v>25308</v>
      </c>
      <c r="C230" s="125">
        <v>1</v>
      </c>
    </row>
    <row r="231" spans="1:3" x14ac:dyDescent="0.25">
      <c r="A231" s="125" t="s">
        <v>25431</v>
      </c>
      <c r="B231" s="125" t="s">
        <v>28220</v>
      </c>
      <c r="C231" s="125">
        <v>1</v>
      </c>
    </row>
    <row r="232" spans="1:3" x14ac:dyDescent="0.25">
      <c r="A232" s="125" t="s">
        <v>25491</v>
      </c>
      <c r="B232" s="125" t="s">
        <v>28221</v>
      </c>
      <c r="C232" s="125">
        <v>1</v>
      </c>
    </row>
    <row r="233" spans="1:3" x14ac:dyDescent="0.25">
      <c r="A233" s="125" t="s">
        <v>27778</v>
      </c>
      <c r="B233" s="125" t="s">
        <v>28237</v>
      </c>
      <c r="C233" s="125">
        <v>1</v>
      </c>
    </row>
    <row r="234" spans="1:3" x14ac:dyDescent="0.25">
      <c r="A234" s="125" t="s">
        <v>28318</v>
      </c>
      <c r="B234" s="125" t="s">
        <v>28226</v>
      </c>
      <c r="C234" s="125">
        <v>1</v>
      </c>
    </row>
    <row r="235" spans="1:3" x14ac:dyDescent="0.25">
      <c r="A235" s="125" t="s">
        <v>25367</v>
      </c>
      <c r="B235" s="125" t="s">
        <v>25308</v>
      </c>
      <c r="C235" s="125">
        <v>1</v>
      </c>
    </row>
    <row r="236" spans="1:3" x14ac:dyDescent="0.25">
      <c r="A236" s="125" t="s">
        <v>25364</v>
      </c>
      <c r="B236" s="125" t="s">
        <v>25308</v>
      </c>
      <c r="C236" s="125">
        <v>1</v>
      </c>
    </row>
    <row r="237" spans="1:3" x14ac:dyDescent="0.25">
      <c r="A237" s="125" t="s">
        <v>25416</v>
      </c>
      <c r="B237" s="125" t="s">
        <v>28319</v>
      </c>
      <c r="C237" s="125">
        <v>1</v>
      </c>
    </row>
    <row r="238" spans="1:3" x14ac:dyDescent="0.25">
      <c r="A238" s="125" t="s">
        <v>27779</v>
      </c>
      <c r="B238" s="125" t="s">
        <v>28229</v>
      </c>
      <c r="C238" s="125">
        <v>1</v>
      </c>
    </row>
    <row r="239" spans="1:3" x14ac:dyDescent="0.25">
      <c r="A239" s="125" t="s">
        <v>28320</v>
      </c>
      <c r="B239" s="125" t="s">
        <v>28220</v>
      </c>
      <c r="C239" s="125">
        <v>1</v>
      </c>
    </row>
    <row r="240" spans="1:3" x14ac:dyDescent="0.25">
      <c r="A240" s="125" t="s">
        <v>25494</v>
      </c>
      <c r="B240" s="125" t="s">
        <v>25308</v>
      </c>
      <c r="C240" s="125">
        <v>1</v>
      </c>
    </row>
    <row r="241" spans="1:3" x14ac:dyDescent="0.25">
      <c r="A241" s="125" t="s">
        <v>25521</v>
      </c>
      <c r="B241" s="125" t="s">
        <v>28247</v>
      </c>
      <c r="C241" s="125">
        <v>1</v>
      </c>
    </row>
    <row r="242" spans="1:3" x14ac:dyDescent="0.25">
      <c r="A242" s="125" t="s">
        <v>27781</v>
      </c>
      <c r="B242" s="125" t="s">
        <v>28287</v>
      </c>
      <c r="C242" s="125">
        <v>1</v>
      </c>
    </row>
    <row r="243" spans="1:3" x14ac:dyDescent="0.25">
      <c r="A243" s="125" t="s">
        <v>27782</v>
      </c>
      <c r="B243" s="125" t="s">
        <v>28222</v>
      </c>
      <c r="C243" s="125">
        <v>1</v>
      </c>
    </row>
    <row r="244" spans="1:3" x14ac:dyDescent="0.25">
      <c r="A244" s="125" t="s">
        <v>25481</v>
      </c>
      <c r="B244" s="125" t="s">
        <v>28226</v>
      </c>
      <c r="C244" s="125">
        <v>1</v>
      </c>
    </row>
    <row r="245" spans="1:3" x14ac:dyDescent="0.25">
      <c r="A245" s="125" t="s">
        <v>28302</v>
      </c>
      <c r="B245" s="125" t="s">
        <v>28256</v>
      </c>
      <c r="C245" s="125">
        <v>1</v>
      </c>
    </row>
    <row r="246" spans="1:3" x14ac:dyDescent="0.25">
      <c r="A246" s="125" t="s">
        <v>25415</v>
      </c>
      <c r="B246" s="125" t="s">
        <v>28287</v>
      </c>
      <c r="C246" s="125">
        <v>1</v>
      </c>
    </row>
    <row r="247" spans="1:3" x14ac:dyDescent="0.25">
      <c r="A247" s="125" t="s">
        <v>25353</v>
      </c>
      <c r="B247" s="125" t="s">
        <v>28310</v>
      </c>
      <c r="C247" s="125">
        <v>1</v>
      </c>
    </row>
    <row r="248" spans="1:3" x14ac:dyDescent="0.25">
      <c r="A248" s="125" t="s">
        <v>137</v>
      </c>
      <c r="B248" s="125" t="s">
        <v>28220</v>
      </c>
      <c r="C248" s="125">
        <v>1</v>
      </c>
    </row>
    <row r="249" spans="1:3" x14ac:dyDescent="0.25">
      <c r="A249" s="125" t="s">
        <v>25537</v>
      </c>
      <c r="B249" s="125" t="s">
        <v>28226</v>
      </c>
      <c r="C249" s="125">
        <v>1</v>
      </c>
    </row>
    <row r="250" spans="1:3" x14ac:dyDescent="0.25">
      <c r="A250" s="125" t="s">
        <v>28321</v>
      </c>
      <c r="B250" s="125" t="s">
        <v>28247</v>
      </c>
      <c r="C250" s="125">
        <v>1</v>
      </c>
    </row>
    <row r="251" spans="1:3" x14ac:dyDescent="0.25">
      <c r="A251" s="141" t="s">
        <v>25424</v>
      </c>
      <c r="B251" s="125" t="s">
        <v>28297</v>
      </c>
      <c r="C251" s="125">
        <v>1</v>
      </c>
    </row>
    <row r="252" spans="1:3" x14ac:dyDescent="0.25">
      <c r="A252" s="141" t="s">
        <v>25410</v>
      </c>
      <c r="B252" s="125" t="s">
        <v>28287</v>
      </c>
      <c r="C252" s="125">
        <v>1</v>
      </c>
    </row>
    <row r="253" spans="1:3" x14ac:dyDescent="0.25">
      <c r="A253" s="141" t="s">
        <v>28322</v>
      </c>
      <c r="B253" s="125" t="s">
        <v>28252</v>
      </c>
      <c r="C253" s="125">
        <v>1</v>
      </c>
    </row>
    <row r="254" spans="1:3" x14ac:dyDescent="0.25">
      <c r="A254" s="141" t="s">
        <v>42</v>
      </c>
      <c r="B254" s="125" t="s">
        <v>28283</v>
      </c>
      <c r="C254" s="125">
        <v>1</v>
      </c>
    </row>
    <row r="255" spans="1:3" x14ac:dyDescent="0.25">
      <c r="A255" s="125" t="s">
        <v>1</v>
      </c>
      <c r="B255" s="125" t="s">
        <v>28323</v>
      </c>
      <c r="C255" s="125">
        <v>1</v>
      </c>
    </row>
    <row r="256" spans="1:3" x14ac:dyDescent="0.25">
      <c r="A256" s="125" t="s">
        <v>25499</v>
      </c>
      <c r="B256" s="125" t="s">
        <v>28298</v>
      </c>
      <c r="C256" s="125">
        <v>1</v>
      </c>
    </row>
    <row r="257" spans="1:3" x14ac:dyDescent="0.25">
      <c r="A257" s="125" t="s">
        <v>28324</v>
      </c>
      <c r="B257" s="125" t="s">
        <v>28311</v>
      </c>
      <c r="C257" s="125">
        <v>1</v>
      </c>
    </row>
    <row r="258" spans="1:3" x14ac:dyDescent="0.25">
      <c r="A258" s="125" t="s">
        <v>25393</v>
      </c>
      <c r="B258" s="125" t="s">
        <v>28325</v>
      </c>
      <c r="C258" s="125">
        <v>1</v>
      </c>
    </row>
    <row r="259" spans="1:3" x14ac:dyDescent="0.25">
      <c r="A259" s="125" t="s">
        <v>25440</v>
      </c>
      <c r="B259" s="125" t="s">
        <v>28326</v>
      </c>
      <c r="C259" s="125">
        <v>1</v>
      </c>
    </row>
    <row r="260" spans="1:3" x14ac:dyDescent="0.25">
      <c r="A260" s="125" t="s">
        <v>34</v>
      </c>
      <c r="B260" s="125" t="s">
        <v>28227</v>
      </c>
      <c r="C260" s="125">
        <v>1</v>
      </c>
    </row>
    <row r="261" spans="1:3" x14ac:dyDescent="0.25">
      <c r="A261" s="125" t="s">
        <v>25512</v>
      </c>
      <c r="B261" s="125" t="s">
        <v>28225</v>
      </c>
      <c r="C261" s="125">
        <v>1</v>
      </c>
    </row>
    <row r="262" spans="1:3" x14ac:dyDescent="0.25">
      <c r="A262" s="125" t="s">
        <v>28327</v>
      </c>
      <c r="B262" s="125" t="s">
        <v>28272</v>
      </c>
      <c r="C262" s="125">
        <v>1</v>
      </c>
    </row>
    <row r="263" spans="1:3" x14ac:dyDescent="0.25">
      <c r="A263" s="125" t="s">
        <v>28328</v>
      </c>
      <c r="B263" s="125" t="s">
        <v>28310</v>
      </c>
      <c r="C263" s="125">
        <v>1</v>
      </c>
    </row>
    <row r="264" spans="1:3" x14ac:dyDescent="0.25">
      <c r="A264" s="125" t="s">
        <v>28329</v>
      </c>
      <c r="B264" s="125" t="s">
        <v>28279</v>
      </c>
      <c r="C264" s="125">
        <v>1</v>
      </c>
    </row>
    <row r="265" spans="1:3" x14ac:dyDescent="0.25">
      <c r="A265" s="125" t="s">
        <v>28330</v>
      </c>
      <c r="B265" s="125" t="s">
        <v>28299</v>
      </c>
      <c r="C265" s="125">
        <v>1</v>
      </c>
    </row>
    <row r="266" spans="1:3" x14ac:dyDescent="0.25">
      <c r="A266" s="125" t="s">
        <v>25448</v>
      </c>
      <c r="B266" s="125" t="s">
        <v>28265</v>
      </c>
      <c r="C266" s="125">
        <v>1</v>
      </c>
    </row>
    <row r="267" spans="1:3" x14ac:dyDescent="0.25">
      <c r="A267" s="125" t="s">
        <v>25448</v>
      </c>
      <c r="B267" s="125" t="s">
        <v>25308</v>
      </c>
      <c r="C267" s="125">
        <v>1</v>
      </c>
    </row>
    <row r="268" spans="1:3" x14ac:dyDescent="0.25">
      <c r="A268" s="125" t="s">
        <v>43</v>
      </c>
      <c r="B268" s="125" t="s">
        <v>28301</v>
      </c>
      <c r="C268" s="125">
        <v>1</v>
      </c>
    </row>
    <row r="269" spans="1:3" x14ac:dyDescent="0.25">
      <c r="A269" s="125" t="s">
        <v>28412</v>
      </c>
      <c r="B269" s="125" t="s">
        <v>28301</v>
      </c>
      <c r="C269" s="125">
        <v>1</v>
      </c>
    </row>
    <row r="270" spans="1:3" x14ac:dyDescent="0.25">
      <c r="A270" s="125" t="s">
        <v>28331</v>
      </c>
      <c r="B270" s="125" t="s">
        <v>28332</v>
      </c>
      <c r="C270" s="125">
        <v>1</v>
      </c>
    </row>
    <row r="271" spans="1:3" x14ac:dyDescent="0.25">
      <c r="A271" s="125" t="s">
        <v>28333</v>
      </c>
      <c r="B271" s="125" t="s">
        <v>28313</v>
      </c>
      <c r="C271" s="125">
        <v>1</v>
      </c>
    </row>
    <row r="272" spans="1:3" x14ac:dyDescent="0.25">
      <c r="A272" s="125" t="s">
        <v>25504</v>
      </c>
      <c r="B272" s="125" t="s">
        <v>28253</v>
      </c>
      <c r="C272" s="125">
        <v>1</v>
      </c>
    </row>
    <row r="273" spans="1:3" x14ac:dyDescent="0.25">
      <c r="A273" s="125" t="s">
        <v>28334</v>
      </c>
      <c r="B273" s="125" t="s">
        <v>28317</v>
      </c>
      <c r="C273" s="125">
        <v>1</v>
      </c>
    </row>
    <row r="274" spans="1:3" x14ac:dyDescent="0.25">
      <c r="A274" s="125" t="s">
        <v>25542</v>
      </c>
      <c r="B274" s="125" t="s">
        <v>28319</v>
      </c>
      <c r="C274" s="125">
        <v>1</v>
      </c>
    </row>
    <row r="275" spans="1:3" x14ac:dyDescent="0.25">
      <c r="A275" s="125" t="s">
        <v>25448</v>
      </c>
      <c r="B275" s="125" t="s">
        <v>28225</v>
      </c>
      <c r="C275" s="125">
        <v>1</v>
      </c>
    </row>
    <row r="276" spans="1:3" x14ac:dyDescent="0.25">
      <c r="A276" s="125" t="s">
        <v>25346</v>
      </c>
      <c r="B276" s="125" t="s">
        <v>28283</v>
      </c>
      <c r="C276" s="125">
        <v>1</v>
      </c>
    </row>
    <row r="277" spans="1:3" x14ac:dyDescent="0.25">
      <c r="A277" s="125" t="s">
        <v>28335</v>
      </c>
      <c r="B277" s="125" t="s">
        <v>28245</v>
      </c>
      <c r="C277" s="125">
        <v>1</v>
      </c>
    </row>
    <row r="278" spans="1:3" x14ac:dyDescent="0.25">
      <c r="A278" s="125" t="s">
        <v>25537</v>
      </c>
      <c r="B278" s="125" t="s">
        <v>25334</v>
      </c>
      <c r="C278" s="125">
        <v>1</v>
      </c>
    </row>
    <row r="279" spans="1:3" x14ac:dyDescent="0.25">
      <c r="A279" s="125" t="s">
        <v>25440</v>
      </c>
      <c r="B279" s="125" t="s">
        <v>28278</v>
      </c>
      <c r="C279" s="125">
        <v>1</v>
      </c>
    </row>
    <row r="280" spans="1:3" x14ac:dyDescent="0.25">
      <c r="A280" s="125" t="s">
        <v>34</v>
      </c>
      <c r="B280" s="125" t="s">
        <v>28336</v>
      </c>
      <c r="C280" s="125">
        <v>1</v>
      </c>
    </row>
    <row r="281" spans="1:3" x14ac:dyDescent="0.25">
      <c r="A281" s="125" t="s">
        <v>25512</v>
      </c>
      <c r="B281" s="125" t="s">
        <v>28265</v>
      </c>
      <c r="C281" s="125">
        <v>1</v>
      </c>
    </row>
    <row r="282" spans="1:3" x14ac:dyDescent="0.25">
      <c r="A282" s="125" t="s">
        <v>28337</v>
      </c>
      <c r="B282" s="125" t="s">
        <v>28220</v>
      </c>
      <c r="C282" s="125">
        <v>1</v>
      </c>
    </row>
    <row r="283" spans="1:3" x14ac:dyDescent="0.25">
      <c r="A283" s="125" t="s">
        <v>28338</v>
      </c>
      <c r="B283" s="125" t="s">
        <v>28225</v>
      </c>
      <c r="C283" s="125">
        <v>1</v>
      </c>
    </row>
    <row r="284" spans="1:3" x14ac:dyDescent="0.25">
      <c r="A284" s="125" t="s">
        <v>28251</v>
      </c>
      <c r="B284" s="125" t="s">
        <v>28229</v>
      </c>
      <c r="C284" s="125">
        <v>1</v>
      </c>
    </row>
    <row r="285" spans="1:3" x14ac:dyDescent="0.25">
      <c r="A285" s="125" t="s">
        <v>137</v>
      </c>
      <c r="B285" s="125" t="s">
        <v>25334</v>
      </c>
      <c r="C285" s="125">
        <v>1</v>
      </c>
    </row>
    <row r="286" spans="1:3" x14ac:dyDescent="0.25">
      <c r="A286" s="125" t="s">
        <v>25411</v>
      </c>
      <c r="B286" s="125" t="s">
        <v>28339</v>
      </c>
      <c r="C286" s="125">
        <v>1</v>
      </c>
    </row>
    <row r="287" spans="1:3" x14ac:dyDescent="0.25">
      <c r="A287" s="125" t="s">
        <v>29</v>
      </c>
      <c r="B287" s="125" t="s">
        <v>28311</v>
      </c>
      <c r="C287" s="125">
        <v>1</v>
      </c>
    </row>
    <row r="288" spans="1:3" x14ac:dyDescent="0.25">
      <c r="A288" s="125" t="s">
        <v>220</v>
      </c>
      <c r="B288" s="125" t="s">
        <v>28283</v>
      </c>
      <c r="C288" s="125">
        <v>1</v>
      </c>
    </row>
    <row r="289" spans="1:3" x14ac:dyDescent="0.25">
      <c r="A289" s="125" t="s">
        <v>25494</v>
      </c>
      <c r="B289" s="125" t="s">
        <v>28242</v>
      </c>
      <c r="C289" s="125">
        <v>1</v>
      </c>
    </row>
    <row r="290" spans="1:3" x14ac:dyDescent="0.25">
      <c r="A290" s="125" t="s">
        <v>25499</v>
      </c>
      <c r="B290" s="125" t="s">
        <v>28253</v>
      </c>
      <c r="C290" s="125">
        <v>1</v>
      </c>
    </row>
    <row r="291" spans="1:3" x14ac:dyDescent="0.25">
      <c r="A291" s="125" t="s">
        <v>25511</v>
      </c>
      <c r="B291" s="125" t="s">
        <v>28340</v>
      </c>
      <c r="C291" s="125">
        <v>1</v>
      </c>
    </row>
    <row r="292" spans="1:3" x14ac:dyDescent="0.25">
      <c r="A292" s="125" t="s">
        <v>25388</v>
      </c>
      <c r="B292" s="125" t="s">
        <v>28263</v>
      </c>
      <c r="C292" s="125">
        <v>1</v>
      </c>
    </row>
    <row r="293" spans="1:3" x14ac:dyDescent="0.25">
      <c r="A293" s="125" t="s">
        <v>25425</v>
      </c>
      <c r="B293" s="125" t="s">
        <v>28297</v>
      </c>
      <c r="C293" s="125">
        <v>1</v>
      </c>
    </row>
    <row r="294" spans="1:3" x14ac:dyDescent="0.25">
      <c r="A294" s="125" t="s">
        <v>25519</v>
      </c>
      <c r="B294" s="125" t="s">
        <v>28253</v>
      </c>
      <c r="C294" s="125">
        <v>1</v>
      </c>
    </row>
    <row r="295" spans="1:3" x14ac:dyDescent="0.25">
      <c r="A295" s="125" t="s">
        <v>28341</v>
      </c>
      <c r="B295" s="125" t="s">
        <v>28310</v>
      </c>
      <c r="C295" s="125">
        <v>1</v>
      </c>
    </row>
    <row r="296" spans="1:3" x14ac:dyDescent="0.25">
      <c r="A296" s="125" t="s">
        <v>28342</v>
      </c>
      <c r="B296" s="125" t="s">
        <v>28282</v>
      </c>
      <c r="C296" s="125">
        <v>1</v>
      </c>
    </row>
    <row r="297" spans="1:3" x14ac:dyDescent="0.25">
      <c r="A297" s="125" t="s">
        <v>28343</v>
      </c>
      <c r="B297" s="125" t="s">
        <v>28236</v>
      </c>
      <c r="C297" s="125">
        <v>1</v>
      </c>
    </row>
    <row r="298" spans="1:3" x14ac:dyDescent="0.25">
      <c r="A298" s="125" t="s">
        <v>25476</v>
      </c>
      <c r="B298" s="125" t="s">
        <v>28278</v>
      </c>
      <c r="C298" s="125">
        <v>1</v>
      </c>
    </row>
    <row r="299" spans="1:3" x14ac:dyDescent="0.25">
      <c r="A299" s="125" t="s">
        <v>25343</v>
      </c>
      <c r="B299" s="125" t="s">
        <v>28263</v>
      </c>
      <c r="C299" s="125">
        <v>1</v>
      </c>
    </row>
    <row r="300" spans="1:3" x14ac:dyDescent="0.25">
      <c r="A300" s="125" t="s">
        <v>25353</v>
      </c>
      <c r="B300" s="125" t="s">
        <v>28278</v>
      </c>
      <c r="C300" s="125">
        <v>1</v>
      </c>
    </row>
    <row r="301" spans="1:3" x14ac:dyDescent="0.25">
      <c r="A301" s="125" t="s">
        <v>25355</v>
      </c>
      <c r="B301" s="125" t="s">
        <v>28344</v>
      </c>
      <c r="C301" s="125">
        <v>1</v>
      </c>
    </row>
    <row r="302" spans="1:3" x14ac:dyDescent="0.25">
      <c r="A302" s="125" t="s">
        <v>28240</v>
      </c>
      <c r="B302" s="125" t="s">
        <v>28227</v>
      </c>
      <c r="C302" s="125">
        <v>1</v>
      </c>
    </row>
    <row r="303" spans="1:3" x14ac:dyDescent="0.25">
      <c r="A303" s="125" t="s">
        <v>210</v>
      </c>
      <c r="B303" s="125" t="s">
        <v>28345</v>
      </c>
      <c r="C303" s="125">
        <v>1</v>
      </c>
    </row>
    <row r="304" spans="1:3" x14ac:dyDescent="0.25">
      <c r="A304" s="125" t="s">
        <v>25436</v>
      </c>
      <c r="B304" s="125" t="s">
        <v>28225</v>
      </c>
      <c r="C304" s="125">
        <v>1</v>
      </c>
    </row>
    <row r="305" spans="1:3" x14ac:dyDescent="0.25">
      <c r="A305" s="125" t="s">
        <v>28346</v>
      </c>
      <c r="B305" s="125" t="s">
        <v>28311</v>
      </c>
      <c r="C305" s="125">
        <v>1</v>
      </c>
    </row>
    <row r="306" spans="1:3" x14ac:dyDescent="0.25">
      <c r="A306" s="125" t="s">
        <v>25514</v>
      </c>
      <c r="B306" s="125" t="s">
        <v>28266</v>
      </c>
      <c r="C306" s="125">
        <v>1</v>
      </c>
    </row>
    <row r="307" spans="1:3" x14ac:dyDescent="0.25">
      <c r="A307" s="125" t="s">
        <v>25470</v>
      </c>
      <c r="B307" s="125" t="s">
        <v>28339</v>
      </c>
      <c r="C307" s="125">
        <v>1</v>
      </c>
    </row>
    <row r="308" spans="1:3" x14ac:dyDescent="0.25">
      <c r="A308" s="125" t="s">
        <v>28</v>
      </c>
      <c r="B308" s="125" t="s">
        <v>28228</v>
      </c>
      <c r="C308" s="125">
        <v>1</v>
      </c>
    </row>
    <row r="309" spans="1:3" x14ac:dyDescent="0.25">
      <c r="A309" s="125" t="s">
        <v>26</v>
      </c>
      <c r="B309" s="125" t="s">
        <v>25333</v>
      </c>
      <c r="C309" s="125">
        <v>1</v>
      </c>
    </row>
    <row r="310" spans="1:3" x14ac:dyDescent="0.25">
      <c r="A310" s="125" t="s">
        <v>28347</v>
      </c>
      <c r="B310" s="125" t="s">
        <v>28339</v>
      </c>
      <c r="C310" s="125">
        <v>1</v>
      </c>
    </row>
    <row r="311" spans="1:3" x14ac:dyDescent="0.25">
      <c r="A311" s="125" t="s">
        <v>25352</v>
      </c>
      <c r="B311" s="125" t="s">
        <v>28225</v>
      </c>
      <c r="C311" s="125">
        <v>1</v>
      </c>
    </row>
    <row r="312" spans="1:3" x14ac:dyDescent="0.25">
      <c r="A312" s="125" t="s">
        <v>28281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28313</v>
      </c>
      <c r="C313" s="125">
        <v>1</v>
      </c>
    </row>
    <row r="314" spans="1:3" x14ac:dyDescent="0.25">
      <c r="A314" s="125" t="s">
        <v>25450</v>
      </c>
      <c r="B314" s="125" t="s">
        <v>28348</v>
      </c>
      <c r="C314" s="125">
        <v>1</v>
      </c>
    </row>
    <row r="315" spans="1:3" x14ac:dyDescent="0.25">
      <c r="A315" s="125" t="s">
        <v>25454</v>
      </c>
      <c r="B315" s="125" t="s">
        <v>28310</v>
      </c>
      <c r="C315" s="125">
        <v>1</v>
      </c>
    </row>
    <row r="316" spans="1:3" x14ac:dyDescent="0.25">
      <c r="A316" s="125" t="s">
        <v>25495</v>
      </c>
      <c r="B316" s="125" t="s">
        <v>28349</v>
      </c>
      <c r="C316" s="125">
        <v>1</v>
      </c>
    </row>
    <row r="317" spans="1:3" x14ac:dyDescent="0.25">
      <c r="A317" s="125" t="s">
        <v>25500</v>
      </c>
      <c r="B317" s="125" t="s">
        <v>28350</v>
      </c>
      <c r="C317" s="125">
        <v>1</v>
      </c>
    </row>
    <row r="318" spans="1:3" x14ac:dyDescent="0.25">
      <c r="A318" s="125" t="s">
        <v>25501</v>
      </c>
      <c r="B318" s="125" t="s">
        <v>28260</v>
      </c>
      <c r="C318" s="125">
        <v>1</v>
      </c>
    </row>
    <row r="319" spans="1:3" x14ac:dyDescent="0.25">
      <c r="A319" s="125" t="s">
        <v>25502</v>
      </c>
      <c r="B319" s="125" t="s">
        <v>28285</v>
      </c>
      <c r="C319" s="125">
        <v>1</v>
      </c>
    </row>
    <row r="320" spans="1:3" x14ac:dyDescent="0.25">
      <c r="A320" s="125" t="s">
        <v>25534</v>
      </c>
      <c r="B320" s="125" t="s">
        <v>28314</v>
      </c>
      <c r="C320" s="125">
        <v>1</v>
      </c>
    </row>
    <row r="321" spans="1:3" x14ac:dyDescent="0.25">
      <c r="A321" s="125" t="s">
        <v>25539</v>
      </c>
      <c r="B321" s="125" t="s">
        <v>28286</v>
      </c>
      <c r="C321" s="125">
        <v>1</v>
      </c>
    </row>
    <row r="322" spans="1:3" x14ac:dyDescent="0.25">
      <c r="A322" s="125" t="s">
        <v>25370</v>
      </c>
      <c r="B322" s="125" t="s">
        <v>28351</v>
      </c>
      <c r="C322" s="125">
        <v>1</v>
      </c>
    </row>
    <row r="323" spans="1:3" x14ac:dyDescent="0.25">
      <c r="A323" s="125" t="s">
        <v>25466</v>
      </c>
      <c r="B323" s="125" t="s">
        <v>28222</v>
      </c>
      <c r="C323" s="125">
        <v>1</v>
      </c>
    </row>
    <row r="324" spans="1:3" x14ac:dyDescent="0.25">
      <c r="A324" s="125" t="s">
        <v>1</v>
      </c>
      <c r="B324" s="125" t="s">
        <v>28241</v>
      </c>
      <c r="C324" s="125">
        <v>1</v>
      </c>
    </row>
    <row r="325" spans="1:3" x14ac:dyDescent="0.25">
      <c r="A325" s="125" t="s">
        <v>25463</v>
      </c>
      <c r="B325" s="125" t="s">
        <v>28325</v>
      </c>
      <c r="C325" s="125">
        <v>1</v>
      </c>
    </row>
    <row r="326" spans="1:3" x14ac:dyDescent="0.25">
      <c r="A326" s="125" t="s">
        <v>28413</v>
      </c>
      <c r="B326" s="125" t="s">
        <v>28325</v>
      </c>
      <c r="C326" s="125">
        <v>1</v>
      </c>
    </row>
    <row r="327" spans="1:3" x14ac:dyDescent="0.25">
      <c r="A327" s="125" t="s">
        <v>35</v>
      </c>
      <c r="B327" s="125" t="s">
        <v>28221</v>
      </c>
      <c r="C327" s="125">
        <v>1</v>
      </c>
    </row>
    <row r="328" spans="1:3" x14ac:dyDescent="0.25">
      <c r="A328" s="125" t="s">
        <v>25420</v>
      </c>
      <c r="B328" s="125" t="s">
        <v>28319</v>
      </c>
      <c r="C328" s="125">
        <v>1</v>
      </c>
    </row>
    <row r="329" spans="1:3" x14ac:dyDescent="0.25">
      <c r="A329" s="125">
        <v>0</v>
      </c>
      <c r="B329" s="125" t="s">
        <v>28325</v>
      </c>
      <c r="C329" s="125">
        <v>1</v>
      </c>
    </row>
    <row r="330" spans="1:3" x14ac:dyDescent="0.25">
      <c r="A330" s="125">
        <v>0</v>
      </c>
      <c r="B330" s="125" t="s">
        <v>28221</v>
      </c>
      <c r="C330" s="125">
        <v>1</v>
      </c>
    </row>
    <row r="331" spans="1:3" x14ac:dyDescent="0.25">
      <c r="A331" s="125">
        <v>0</v>
      </c>
      <c r="B331" s="125" t="s">
        <v>28311</v>
      </c>
      <c r="C331" s="125">
        <v>1</v>
      </c>
    </row>
    <row r="332" spans="1:3" x14ac:dyDescent="0.25">
      <c r="A332" s="125">
        <v>0</v>
      </c>
      <c r="B332" s="125" t="s">
        <v>28222</v>
      </c>
      <c r="C332" s="125">
        <v>1</v>
      </c>
    </row>
    <row r="333" spans="1:3" x14ac:dyDescent="0.25">
      <c r="A333" s="125">
        <v>0</v>
      </c>
      <c r="B333" s="125" t="s">
        <v>25332</v>
      </c>
      <c r="C333" s="125">
        <v>1</v>
      </c>
    </row>
    <row r="334" spans="1:3" x14ac:dyDescent="0.25">
      <c r="A334" s="125">
        <v>0</v>
      </c>
      <c r="B334" s="125" t="s">
        <v>28283</v>
      </c>
      <c r="C334" s="125">
        <v>1</v>
      </c>
    </row>
    <row r="335" spans="1:3" x14ac:dyDescent="0.25">
      <c r="A335" s="125">
        <v>0</v>
      </c>
      <c r="B335" s="125" t="s">
        <v>28236</v>
      </c>
      <c r="C335" s="125">
        <v>1</v>
      </c>
    </row>
    <row r="336" spans="1:3" x14ac:dyDescent="0.25">
      <c r="A336" s="125">
        <v>0</v>
      </c>
      <c r="B336" s="125" t="s">
        <v>28228</v>
      </c>
      <c r="C336" s="125">
        <v>1</v>
      </c>
    </row>
    <row r="337" spans="1:3" x14ac:dyDescent="0.25">
      <c r="A337" s="125">
        <v>0</v>
      </c>
      <c r="B337" s="125" t="s">
        <v>25308</v>
      </c>
      <c r="C337" s="125">
        <v>1</v>
      </c>
    </row>
    <row r="338" spans="1:3" x14ac:dyDescent="0.25">
      <c r="A338" s="125" t="s">
        <v>25379</v>
      </c>
      <c r="B338" s="125" t="s">
        <v>28287</v>
      </c>
      <c r="C338" s="125">
        <v>1</v>
      </c>
    </row>
    <row r="339" spans="1:3" x14ac:dyDescent="0.25">
      <c r="A339" s="125" t="s">
        <v>25474</v>
      </c>
      <c r="B339" s="125" t="s">
        <v>28287</v>
      </c>
      <c r="C339" s="125">
        <v>1</v>
      </c>
    </row>
    <row r="340" spans="1:3" x14ac:dyDescent="0.25">
      <c r="A340" s="125" t="s">
        <v>25380</v>
      </c>
      <c r="B340" s="125" t="s">
        <v>28287</v>
      </c>
      <c r="C340" s="125">
        <v>1</v>
      </c>
    </row>
    <row r="341" spans="1:3" x14ac:dyDescent="0.25">
      <c r="A341" s="125" t="s">
        <v>22</v>
      </c>
      <c r="B341" s="125" t="s">
        <v>25334</v>
      </c>
      <c r="C341" s="125">
        <v>1</v>
      </c>
    </row>
    <row r="342" spans="1:3" x14ac:dyDescent="0.25">
      <c r="A342" s="125" t="s">
        <v>197</v>
      </c>
      <c r="B342" s="125" t="s">
        <v>28287</v>
      </c>
      <c r="C342" s="125">
        <v>1</v>
      </c>
    </row>
    <row r="343" spans="1:3" x14ac:dyDescent="0.25">
      <c r="A343" s="125" t="s">
        <v>28352</v>
      </c>
      <c r="B343" s="125" t="s">
        <v>28317</v>
      </c>
      <c r="C343" s="125">
        <v>1</v>
      </c>
    </row>
    <row r="344" spans="1:3" x14ac:dyDescent="0.25">
      <c r="A344" s="125" t="s">
        <v>26</v>
      </c>
      <c r="B344" s="125" t="s">
        <v>28245</v>
      </c>
      <c r="C344" s="125">
        <v>1</v>
      </c>
    </row>
    <row r="345" spans="1:3" x14ac:dyDescent="0.25">
      <c r="A345" s="125" t="s">
        <v>25423</v>
      </c>
      <c r="B345" s="125" t="s">
        <v>28287</v>
      </c>
      <c r="C345" s="125">
        <v>1</v>
      </c>
    </row>
    <row r="346" spans="1:3" x14ac:dyDescent="0.25">
      <c r="A346" s="125" t="s">
        <v>25480</v>
      </c>
      <c r="B346" s="125" t="s">
        <v>25333</v>
      </c>
      <c r="C346" s="125">
        <v>1</v>
      </c>
    </row>
    <row r="347" spans="1:3" x14ac:dyDescent="0.25">
      <c r="A347" s="125" t="s">
        <v>25533</v>
      </c>
      <c r="B347" s="125" t="s">
        <v>25334</v>
      </c>
      <c r="C347" s="125">
        <v>1</v>
      </c>
    </row>
    <row r="348" spans="1:3" x14ac:dyDescent="0.25">
      <c r="A348" s="125" t="s">
        <v>43</v>
      </c>
      <c r="B348" s="125" t="s">
        <v>28223</v>
      </c>
      <c r="C348" s="125">
        <v>1</v>
      </c>
    </row>
    <row r="349" spans="1:3" x14ac:dyDescent="0.25">
      <c r="A349" s="125" t="s">
        <v>25472</v>
      </c>
      <c r="B349" s="125" t="s">
        <v>28223</v>
      </c>
      <c r="C349" s="125">
        <v>1</v>
      </c>
    </row>
    <row r="350" spans="1:3" x14ac:dyDescent="0.25">
      <c r="A350" s="125" t="s">
        <v>25488</v>
      </c>
      <c r="B350" s="125" t="s">
        <v>28284</v>
      </c>
      <c r="C350" s="125">
        <v>1</v>
      </c>
    </row>
    <row r="351" spans="1:3" x14ac:dyDescent="0.25">
      <c r="A351" s="125" t="s">
        <v>26</v>
      </c>
      <c r="B351" s="125" t="s">
        <v>28236</v>
      </c>
      <c r="C351" s="125">
        <v>1</v>
      </c>
    </row>
    <row r="352" spans="1:3" x14ac:dyDescent="0.25">
      <c r="A352" s="125" t="s">
        <v>25490</v>
      </c>
      <c r="B352" s="125" t="s">
        <v>25308</v>
      </c>
      <c r="C352" s="125">
        <v>1</v>
      </c>
    </row>
    <row r="353" spans="1:3" x14ac:dyDescent="0.25">
      <c r="A353" s="125" t="s">
        <v>25406</v>
      </c>
      <c r="B353" s="125" t="s">
        <v>25308</v>
      </c>
      <c r="C353" s="125">
        <v>1</v>
      </c>
    </row>
    <row r="354" spans="1:3" x14ac:dyDescent="0.25">
      <c r="A354" s="125" t="s">
        <v>194</v>
      </c>
      <c r="B354" s="125" t="s">
        <v>28283</v>
      </c>
      <c r="C354" s="125">
        <v>1</v>
      </c>
    </row>
    <row r="355" spans="1:3" x14ac:dyDescent="0.25">
      <c r="A355" s="125" t="s">
        <v>35</v>
      </c>
      <c r="B355" s="125" t="s">
        <v>25334</v>
      </c>
      <c r="C355" s="125">
        <v>1</v>
      </c>
    </row>
    <row r="356" spans="1:3" x14ac:dyDescent="0.25">
      <c r="A356" s="125" t="s">
        <v>25438</v>
      </c>
      <c r="B356" s="125" t="s">
        <v>28340</v>
      </c>
      <c r="C356" s="125">
        <v>1</v>
      </c>
    </row>
    <row r="357" spans="1:3" x14ac:dyDescent="0.25">
      <c r="A357" s="125" t="s">
        <v>107</v>
      </c>
      <c r="B357" s="125" t="s">
        <v>28241</v>
      </c>
      <c r="C357" s="125">
        <v>1</v>
      </c>
    </row>
    <row r="358" spans="1:3" x14ac:dyDescent="0.25">
      <c r="A358" s="125" t="s">
        <v>28353</v>
      </c>
      <c r="B358" s="125" t="s">
        <v>28235</v>
      </c>
      <c r="C358" s="125">
        <v>1</v>
      </c>
    </row>
    <row r="359" spans="1:3" x14ac:dyDescent="0.25">
      <c r="A359" s="125" t="s">
        <v>1</v>
      </c>
      <c r="B359" s="125" t="s">
        <v>28311</v>
      </c>
      <c r="C359" s="125">
        <v>1</v>
      </c>
    </row>
    <row r="360" spans="1:3" x14ac:dyDescent="0.25">
      <c r="A360" s="125" t="s">
        <v>25360</v>
      </c>
      <c r="B360" s="125" t="s">
        <v>25308</v>
      </c>
      <c r="C360" s="125">
        <v>1</v>
      </c>
    </row>
    <row r="361" spans="1:3" x14ac:dyDescent="0.25">
      <c r="A361" s="125" t="s">
        <v>22</v>
      </c>
      <c r="B361" s="125" t="s">
        <v>28283</v>
      </c>
      <c r="C361" s="125">
        <v>1</v>
      </c>
    </row>
    <row r="362" spans="1:3" x14ac:dyDescent="0.25">
      <c r="A362" s="125" t="s">
        <v>25368</v>
      </c>
      <c r="B362" s="125" t="s">
        <v>28222</v>
      </c>
      <c r="C362" s="125">
        <v>1</v>
      </c>
    </row>
    <row r="363" spans="1:3" x14ac:dyDescent="0.25">
      <c r="A363" s="125" t="s">
        <v>25383</v>
      </c>
      <c r="B363" s="125" t="s">
        <v>28227</v>
      </c>
      <c r="C363" s="125">
        <v>1</v>
      </c>
    </row>
    <row r="364" spans="1:3" x14ac:dyDescent="0.25">
      <c r="A364" s="125" t="s">
        <v>201</v>
      </c>
      <c r="B364" s="125" t="s">
        <v>28255</v>
      </c>
      <c r="C364" s="125">
        <v>1</v>
      </c>
    </row>
    <row r="365" spans="1:3" x14ac:dyDescent="0.25">
      <c r="A365" s="125" t="s">
        <v>27</v>
      </c>
      <c r="B365" s="125" t="s">
        <v>25333</v>
      </c>
      <c r="C365" s="125">
        <v>1</v>
      </c>
    </row>
    <row r="366" spans="1:3" x14ac:dyDescent="0.25">
      <c r="A366" s="125" t="s">
        <v>123</v>
      </c>
      <c r="B366" s="125" t="s">
        <v>28279</v>
      </c>
      <c r="C366" s="125">
        <v>1</v>
      </c>
    </row>
    <row r="367" spans="1:3" x14ac:dyDescent="0.25">
      <c r="A367" s="125" t="s">
        <v>25426</v>
      </c>
      <c r="B367" s="125" t="s">
        <v>28295</v>
      </c>
      <c r="C367" s="125">
        <v>1</v>
      </c>
    </row>
    <row r="368" spans="1:3" x14ac:dyDescent="0.25">
      <c r="A368" s="125" t="s">
        <v>25437</v>
      </c>
      <c r="B368" s="125" t="s">
        <v>28232</v>
      </c>
      <c r="C368" s="125">
        <v>1</v>
      </c>
    </row>
    <row r="369" spans="1:3" x14ac:dyDescent="0.25">
      <c r="A369" s="125" t="s">
        <v>52</v>
      </c>
      <c r="B369" s="125" t="s">
        <v>28256</v>
      </c>
      <c r="C369" s="125">
        <v>1</v>
      </c>
    </row>
    <row r="370" spans="1:3" x14ac:dyDescent="0.25">
      <c r="A370" s="125" t="s">
        <v>25521</v>
      </c>
      <c r="B370" s="125" t="s">
        <v>28237</v>
      </c>
      <c r="C370" s="125">
        <v>1</v>
      </c>
    </row>
    <row r="371" spans="1:3" x14ac:dyDescent="0.25">
      <c r="A371" s="125" t="s">
        <v>201</v>
      </c>
      <c r="B371" s="125" t="s">
        <v>28284</v>
      </c>
      <c r="C371" s="125">
        <v>1</v>
      </c>
    </row>
    <row r="372" spans="1:3" x14ac:dyDescent="0.25">
      <c r="A372" s="125" t="s">
        <v>25414</v>
      </c>
      <c r="B372" s="125" t="s">
        <v>28313</v>
      </c>
      <c r="C372" s="125">
        <v>1</v>
      </c>
    </row>
    <row r="373" spans="1:3" x14ac:dyDescent="0.25">
      <c r="A373" s="125" t="s">
        <v>25424</v>
      </c>
      <c r="B373" s="125" t="s">
        <v>28348</v>
      </c>
      <c r="C373" s="125">
        <v>1</v>
      </c>
    </row>
    <row r="374" spans="1:3" x14ac:dyDescent="0.25">
      <c r="A374" s="125" t="s">
        <v>43</v>
      </c>
      <c r="B374" s="125" t="s">
        <v>28231</v>
      </c>
      <c r="C374" s="125">
        <v>1</v>
      </c>
    </row>
    <row r="375" spans="1:3" x14ac:dyDescent="0.25">
      <c r="A375" s="125" t="s">
        <v>25481</v>
      </c>
      <c r="B375" s="125" t="s">
        <v>28310</v>
      </c>
      <c r="C375" s="125">
        <v>1</v>
      </c>
    </row>
    <row r="376" spans="1:3" x14ac:dyDescent="0.25">
      <c r="A376" s="125" t="s">
        <v>25486</v>
      </c>
      <c r="B376" s="125" t="s">
        <v>28326</v>
      </c>
      <c r="C376" s="125">
        <v>1</v>
      </c>
    </row>
    <row r="377" spans="1:3" x14ac:dyDescent="0.25">
      <c r="A377" s="125" t="s">
        <v>58</v>
      </c>
      <c r="B377" s="125" t="s">
        <v>28245</v>
      </c>
      <c r="C377" s="125">
        <v>1</v>
      </c>
    </row>
    <row r="378" spans="1:3" x14ac:dyDescent="0.25">
      <c r="A378" s="125" t="s">
        <v>28414</v>
      </c>
      <c r="B378" s="125" t="s">
        <v>28245</v>
      </c>
      <c r="C378" s="125">
        <v>1</v>
      </c>
    </row>
    <row r="379" spans="1:3" x14ac:dyDescent="0.25">
      <c r="A379" s="125" t="s">
        <v>25481</v>
      </c>
      <c r="B379" s="125" t="s">
        <v>25308</v>
      </c>
      <c r="C379" s="125">
        <v>1</v>
      </c>
    </row>
    <row r="380" spans="1:3" x14ac:dyDescent="0.25">
      <c r="A380" s="125" t="s">
        <v>25414</v>
      </c>
      <c r="B380" s="125" t="s">
        <v>28354</v>
      </c>
      <c r="C380" s="125">
        <v>1</v>
      </c>
    </row>
    <row r="381" spans="1:3" x14ac:dyDescent="0.25">
      <c r="A381" s="125" t="s">
        <v>56</v>
      </c>
      <c r="B381" s="125" t="s">
        <v>28313</v>
      </c>
      <c r="C381" s="125">
        <v>1</v>
      </c>
    </row>
    <row r="382" spans="1:3" x14ac:dyDescent="0.25">
      <c r="A382" s="125" t="s">
        <v>25481</v>
      </c>
      <c r="B382" s="125" t="s">
        <v>28340</v>
      </c>
      <c r="C382" s="125">
        <v>1</v>
      </c>
    </row>
    <row r="383" spans="1:3" x14ac:dyDescent="0.25">
      <c r="A383" s="125" t="s">
        <v>25497</v>
      </c>
      <c r="B383" s="125" t="s">
        <v>28249</v>
      </c>
      <c r="C383" s="125">
        <v>1</v>
      </c>
    </row>
    <row r="384" spans="1:3" x14ac:dyDescent="0.25">
      <c r="A384" s="125" t="s">
        <v>25406</v>
      </c>
      <c r="B384" s="125" t="s">
        <v>28264</v>
      </c>
      <c r="C384" s="125">
        <v>1</v>
      </c>
    </row>
    <row r="385" spans="1:3" x14ac:dyDescent="0.25">
      <c r="A385" s="125" t="s">
        <v>25411</v>
      </c>
      <c r="B385" s="125" t="s">
        <v>28247</v>
      </c>
      <c r="C385" s="125">
        <v>1</v>
      </c>
    </row>
    <row r="386" spans="1:3" x14ac:dyDescent="0.25">
      <c r="A386" s="125" t="s">
        <v>36</v>
      </c>
      <c r="B386" s="125" t="s">
        <v>25308</v>
      </c>
      <c r="C386" s="125">
        <v>1</v>
      </c>
    </row>
    <row r="387" spans="1:3" x14ac:dyDescent="0.25">
      <c r="A387" s="125" t="s">
        <v>25409</v>
      </c>
      <c r="B387" s="125" t="s">
        <v>28287</v>
      </c>
      <c r="C387" s="125">
        <v>1</v>
      </c>
    </row>
    <row r="388" spans="1:3" x14ac:dyDescent="0.25">
      <c r="A388" s="125" t="s">
        <v>28432</v>
      </c>
      <c r="B388" s="125" t="s">
        <v>28223</v>
      </c>
      <c r="C388" s="125">
        <v>1</v>
      </c>
    </row>
    <row r="389" spans="1:3" x14ac:dyDescent="0.25">
      <c r="A389" s="125" t="s">
        <v>28429</v>
      </c>
      <c r="B389" s="125" t="s">
        <v>28286</v>
      </c>
      <c r="C389" s="125">
        <v>1</v>
      </c>
    </row>
    <row r="390" spans="1:3" x14ac:dyDescent="0.25">
      <c r="A390" s="125" t="s">
        <v>25412</v>
      </c>
      <c r="B390" s="125" t="s">
        <v>28225</v>
      </c>
      <c r="C390" s="125">
        <v>1</v>
      </c>
    </row>
    <row r="391" spans="1:3" x14ac:dyDescent="0.25">
      <c r="A391" s="125" t="s">
        <v>28</v>
      </c>
      <c r="B391" s="125" t="s">
        <v>28221</v>
      </c>
      <c r="C391" s="125">
        <v>1</v>
      </c>
    </row>
    <row r="392" spans="1:3" x14ac:dyDescent="0.25">
      <c r="A392" s="125" t="s">
        <v>25386</v>
      </c>
      <c r="B392" s="125" t="s">
        <v>28319</v>
      </c>
      <c r="C392" s="125">
        <v>1</v>
      </c>
    </row>
    <row r="393" spans="1:3" x14ac:dyDescent="0.25">
      <c r="A393" s="125" t="s">
        <v>25507</v>
      </c>
      <c r="B393" s="125" t="s">
        <v>28317</v>
      </c>
      <c r="C393" s="125">
        <v>1</v>
      </c>
    </row>
    <row r="394" spans="1:3" x14ac:dyDescent="0.25">
      <c r="A394" s="125" t="s">
        <v>25399</v>
      </c>
      <c r="B394" s="125" t="s">
        <v>28291</v>
      </c>
      <c r="C394" s="125">
        <v>1</v>
      </c>
    </row>
    <row r="395" spans="1:3" x14ac:dyDescent="0.25">
      <c r="A395" s="125" t="s">
        <v>25339</v>
      </c>
      <c r="B395" s="125" t="s">
        <v>28263</v>
      </c>
      <c r="C395" s="125">
        <v>1</v>
      </c>
    </row>
    <row r="396" spans="1:3" x14ac:dyDescent="0.25">
      <c r="A396" s="125" t="s">
        <v>96</v>
      </c>
      <c r="B396" s="125" t="s">
        <v>28220</v>
      </c>
      <c r="C396" s="125">
        <v>1</v>
      </c>
    </row>
    <row r="397" spans="1:3" x14ac:dyDescent="0.25">
      <c r="A397" s="125" t="s">
        <v>25381</v>
      </c>
      <c r="B397" s="125" t="s">
        <v>28253</v>
      </c>
      <c r="C397" s="125">
        <v>1</v>
      </c>
    </row>
    <row r="398" spans="1:3" x14ac:dyDescent="0.25">
      <c r="A398" s="125" t="s">
        <v>25437</v>
      </c>
      <c r="B398" s="125" t="s">
        <v>28340</v>
      </c>
      <c r="C398" s="125">
        <v>1</v>
      </c>
    </row>
    <row r="399" spans="1:3" x14ac:dyDescent="0.25">
      <c r="A399" s="125" t="s">
        <v>22</v>
      </c>
      <c r="B399" s="125" t="s">
        <v>28227</v>
      </c>
      <c r="C399" s="125">
        <v>1</v>
      </c>
    </row>
    <row r="400" spans="1:3" x14ac:dyDescent="0.25">
      <c r="A400" s="125" t="s">
        <v>25509</v>
      </c>
      <c r="B400" s="125" t="s">
        <v>28319</v>
      </c>
      <c r="C400" s="125">
        <v>1</v>
      </c>
    </row>
    <row r="401" spans="1:3" x14ac:dyDescent="0.25">
      <c r="A401" s="125" t="s">
        <v>25451</v>
      </c>
      <c r="B401" s="125" t="s">
        <v>28237</v>
      </c>
      <c r="C401" s="125">
        <v>1</v>
      </c>
    </row>
    <row r="402" spans="1:3" x14ac:dyDescent="0.25">
      <c r="A402" s="125" t="s">
        <v>25465</v>
      </c>
      <c r="B402" s="125" t="s">
        <v>28301</v>
      </c>
      <c r="C402" s="125">
        <v>1</v>
      </c>
    </row>
    <row r="403" spans="1:3" x14ac:dyDescent="0.25">
      <c r="A403" s="125" t="s">
        <v>25464</v>
      </c>
      <c r="B403" s="125" t="s">
        <v>28227</v>
      </c>
      <c r="C403" s="125">
        <v>1</v>
      </c>
    </row>
    <row r="404" spans="1:3" x14ac:dyDescent="0.25">
      <c r="A404" s="125" t="s">
        <v>52</v>
      </c>
      <c r="B404" s="125" t="s">
        <v>28271</v>
      </c>
      <c r="C404" s="125">
        <v>1</v>
      </c>
    </row>
    <row r="405" spans="1:3" x14ac:dyDescent="0.25">
      <c r="A405" s="125" t="s">
        <v>25382</v>
      </c>
      <c r="B405" s="125" t="s">
        <v>28355</v>
      </c>
      <c r="C405" s="125">
        <v>1</v>
      </c>
    </row>
    <row r="406" spans="1:3" x14ac:dyDescent="0.25">
      <c r="A406" s="125" t="s">
        <v>147</v>
      </c>
      <c r="B406" s="125" t="s">
        <v>28307</v>
      </c>
      <c r="C406" s="125">
        <v>1</v>
      </c>
    </row>
    <row r="407" spans="1:3" x14ac:dyDescent="0.25">
      <c r="A407" s="125" t="s">
        <v>25371</v>
      </c>
      <c r="B407" s="125" t="s">
        <v>28332</v>
      </c>
      <c r="C407" s="125">
        <v>1</v>
      </c>
    </row>
    <row r="408" spans="1:3" x14ac:dyDescent="0.25">
      <c r="A408" s="125" t="s">
        <v>52</v>
      </c>
      <c r="B408" s="125" t="s">
        <v>28325</v>
      </c>
      <c r="C408" s="125">
        <v>1</v>
      </c>
    </row>
    <row r="409" spans="1:3" x14ac:dyDescent="0.25">
      <c r="A409" s="125" t="s">
        <v>123</v>
      </c>
      <c r="B409" s="125" t="s">
        <v>28243</v>
      </c>
      <c r="C409" s="125">
        <v>1</v>
      </c>
    </row>
    <row r="410" spans="1:3" x14ac:dyDescent="0.25">
      <c r="A410" s="125" t="s">
        <v>25480</v>
      </c>
      <c r="B410" s="125" t="s">
        <v>28301</v>
      </c>
      <c r="C410" s="125">
        <v>1</v>
      </c>
    </row>
    <row r="411" spans="1:3" x14ac:dyDescent="0.25">
      <c r="A411" s="125" t="s">
        <v>25546</v>
      </c>
      <c r="B411" s="125" t="s">
        <v>28319</v>
      </c>
      <c r="C411" s="125">
        <v>1</v>
      </c>
    </row>
    <row r="412" spans="1:3" x14ac:dyDescent="0.25">
      <c r="A412" s="125" t="s">
        <v>25543</v>
      </c>
      <c r="B412" s="125" t="s">
        <v>28252</v>
      </c>
      <c r="C412" s="125">
        <v>1</v>
      </c>
    </row>
    <row r="413" spans="1:3" x14ac:dyDescent="0.25">
      <c r="A413" s="125" t="s">
        <v>25544</v>
      </c>
      <c r="B413" s="125" t="s">
        <v>28356</v>
      </c>
      <c r="C413" s="125">
        <v>1</v>
      </c>
    </row>
    <row r="414" spans="1:3" x14ac:dyDescent="0.25">
      <c r="A414" s="125" t="s">
        <v>25546</v>
      </c>
      <c r="B414" s="125" t="s">
        <v>28316</v>
      </c>
      <c r="C414" s="125">
        <v>1</v>
      </c>
    </row>
    <row r="415" spans="1:3" x14ac:dyDescent="0.25">
      <c r="A415" s="125" t="s">
        <v>25545</v>
      </c>
      <c r="B415" s="125" t="s">
        <v>28354</v>
      </c>
      <c r="C415" s="125">
        <v>1</v>
      </c>
    </row>
    <row r="416" spans="1:3" x14ac:dyDescent="0.25">
      <c r="A416" s="125" t="s">
        <v>25543</v>
      </c>
      <c r="B416" s="125" t="s">
        <v>28242</v>
      </c>
      <c r="C416" s="125">
        <v>1</v>
      </c>
    </row>
    <row r="417" spans="1:3" x14ac:dyDescent="0.25">
      <c r="A417" s="125" t="s">
        <v>25405</v>
      </c>
      <c r="B417" s="125" t="s">
        <v>25308</v>
      </c>
      <c r="C417" s="125">
        <v>1</v>
      </c>
    </row>
    <row r="418" spans="1:3" x14ac:dyDescent="0.25">
      <c r="A418" s="125" t="s">
        <v>23</v>
      </c>
      <c r="B418" s="125" t="s">
        <v>28299</v>
      </c>
      <c r="C418" s="125">
        <v>1</v>
      </c>
    </row>
    <row r="419" spans="1:3" x14ac:dyDescent="0.25">
      <c r="A419" s="125" t="s">
        <v>25538</v>
      </c>
      <c r="B419" s="125" t="s">
        <v>28265</v>
      </c>
      <c r="C419" s="125">
        <v>1</v>
      </c>
    </row>
    <row r="420" spans="1:3" x14ac:dyDescent="0.25">
      <c r="A420" s="125" t="s">
        <v>25405</v>
      </c>
      <c r="B420" s="125" t="s">
        <v>28301</v>
      </c>
      <c r="C420" s="125">
        <v>1</v>
      </c>
    </row>
    <row r="421" spans="1:3" x14ac:dyDescent="0.25">
      <c r="A421" s="125" t="s">
        <v>42</v>
      </c>
      <c r="B421" s="125" t="s">
        <v>28275</v>
      </c>
      <c r="C421" s="125">
        <v>1</v>
      </c>
    </row>
    <row r="422" spans="1:3" x14ac:dyDescent="0.25">
      <c r="A422" s="125" t="s">
        <v>22</v>
      </c>
      <c r="B422" s="125" t="s">
        <v>28295</v>
      </c>
      <c r="C422" s="125">
        <v>1</v>
      </c>
    </row>
    <row r="423" spans="1:3" x14ac:dyDescent="0.25">
      <c r="A423" s="125" t="s">
        <v>25468</v>
      </c>
      <c r="B423" s="125" t="s">
        <v>28319</v>
      </c>
      <c r="C423" s="125">
        <v>1</v>
      </c>
    </row>
    <row r="424" spans="1:3" x14ac:dyDescent="0.25">
      <c r="A424" s="125" t="s">
        <v>25418</v>
      </c>
      <c r="B424" s="125" t="s">
        <v>28287</v>
      </c>
      <c r="C424" s="125">
        <v>1</v>
      </c>
    </row>
    <row r="425" spans="1:3" x14ac:dyDescent="0.25">
      <c r="A425" s="125" t="s">
        <v>25377</v>
      </c>
      <c r="B425" s="125" t="s">
        <v>28237</v>
      </c>
      <c r="C425" s="125">
        <v>1</v>
      </c>
    </row>
    <row r="426" spans="1:3" x14ac:dyDescent="0.25">
      <c r="A426" s="125" t="s">
        <v>25494</v>
      </c>
      <c r="B426" s="125" t="s">
        <v>28221</v>
      </c>
      <c r="C426" s="125">
        <v>1</v>
      </c>
    </row>
    <row r="427" spans="1:3" x14ac:dyDescent="0.25">
      <c r="A427" s="125" t="s">
        <v>25418</v>
      </c>
      <c r="B427" s="125" t="s">
        <v>28245</v>
      </c>
      <c r="C427" s="125">
        <v>1</v>
      </c>
    </row>
    <row r="428" spans="1:3" x14ac:dyDescent="0.25">
      <c r="A428" s="125" t="s">
        <v>25424</v>
      </c>
      <c r="B428" s="125" t="s">
        <v>28221</v>
      </c>
      <c r="C428" s="125">
        <v>1</v>
      </c>
    </row>
    <row r="429" spans="1:3" x14ac:dyDescent="0.25">
      <c r="A429" s="125" t="s">
        <v>130</v>
      </c>
      <c r="B429" s="125" t="s">
        <v>28220</v>
      </c>
      <c r="C429" s="125">
        <v>1</v>
      </c>
    </row>
    <row r="430" spans="1:3" x14ac:dyDescent="0.25">
      <c r="A430" s="125" t="s">
        <v>25342</v>
      </c>
      <c r="B430" s="125" t="s">
        <v>28236</v>
      </c>
      <c r="C430" s="125">
        <v>1</v>
      </c>
    </row>
    <row r="431" spans="1:3" x14ac:dyDescent="0.25">
      <c r="A431" s="125" t="s">
        <v>25344</v>
      </c>
      <c r="B431" s="125" t="s">
        <v>28283</v>
      </c>
      <c r="C431" s="125">
        <v>1</v>
      </c>
    </row>
    <row r="432" spans="1:3" x14ac:dyDescent="0.25">
      <c r="A432" s="125" t="s">
        <v>25357</v>
      </c>
      <c r="B432" s="125" t="s">
        <v>28222</v>
      </c>
      <c r="C432" s="125">
        <v>1</v>
      </c>
    </row>
    <row r="433" spans="1:3" x14ac:dyDescent="0.25">
      <c r="A433" s="125" t="s">
        <v>25354</v>
      </c>
      <c r="B433" s="125" t="s">
        <v>28283</v>
      </c>
      <c r="C433" s="125">
        <v>1</v>
      </c>
    </row>
    <row r="434" spans="1:3" x14ac:dyDescent="0.25">
      <c r="A434" s="125" t="s">
        <v>56</v>
      </c>
      <c r="B434" s="125" t="s">
        <v>28287</v>
      </c>
      <c r="C434" s="125">
        <v>1</v>
      </c>
    </row>
    <row r="435" spans="1:3" x14ac:dyDescent="0.25">
      <c r="A435" s="125" t="s">
        <v>215</v>
      </c>
      <c r="B435" s="125" t="s">
        <v>28287</v>
      </c>
      <c r="C435" s="125">
        <v>1</v>
      </c>
    </row>
    <row r="436" spans="1:3" x14ac:dyDescent="0.25">
      <c r="A436" s="125" t="s">
        <v>28</v>
      </c>
      <c r="B436" s="125" t="s">
        <v>25334</v>
      </c>
      <c r="C436" s="125">
        <v>1</v>
      </c>
    </row>
    <row r="437" spans="1:3" x14ac:dyDescent="0.25">
      <c r="A437" s="125" t="s">
        <v>25347</v>
      </c>
      <c r="B437" s="125" t="s">
        <v>28283</v>
      </c>
      <c r="C437" s="125">
        <v>1</v>
      </c>
    </row>
    <row r="438" spans="1:3" x14ac:dyDescent="0.25">
      <c r="A438" s="125" t="s">
        <v>36</v>
      </c>
      <c r="B438" s="125" t="s">
        <v>28297</v>
      </c>
      <c r="C438" s="125">
        <v>1</v>
      </c>
    </row>
    <row r="439" spans="1:3" x14ac:dyDescent="0.25">
      <c r="A439" s="125" t="s">
        <v>23</v>
      </c>
      <c r="B439" s="125" t="s">
        <v>25334</v>
      </c>
      <c r="C439" s="125">
        <v>1</v>
      </c>
    </row>
    <row r="440" spans="1:3" x14ac:dyDescent="0.25">
      <c r="A440" s="125" t="s">
        <v>25492</v>
      </c>
      <c r="B440" s="125" t="s">
        <v>28247</v>
      </c>
      <c r="C440" s="125">
        <v>1</v>
      </c>
    </row>
    <row r="441" spans="1:3" x14ac:dyDescent="0.25">
      <c r="A441" s="125" t="s">
        <v>25544</v>
      </c>
      <c r="B441" s="125" t="s">
        <v>28229</v>
      </c>
      <c r="C441" s="125">
        <v>1</v>
      </c>
    </row>
    <row r="442" spans="1:3" x14ac:dyDescent="0.25">
      <c r="A442" s="125" t="s">
        <v>43</v>
      </c>
      <c r="B442" s="125" t="s">
        <v>28245</v>
      </c>
      <c r="C442" s="125">
        <v>1</v>
      </c>
    </row>
    <row r="443" spans="1:3" x14ac:dyDescent="0.25">
      <c r="A443" s="125" t="s">
        <v>28357</v>
      </c>
      <c r="B443" s="125" t="s">
        <v>28229</v>
      </c>
      <c r="C443" s="125">
        <v>1</v>
      </c>
    </row>
    <row r="444" spans="1:3" x14ac:dyDescent="0.25">
      <c r="A444" s="125" t="s">
        <v>27</v>
      </c>
      <c r="B444" s="125" t="s">
        <v>28272</v>
      </c>
      <c r="C444" s="125">
        <v>1</v>
      </c>
    </row>
    <row r="445" spans="1:3" x14ac:dyDescent="0.25">
      <c r="A445" s="125" t="s">
        <v>25532</v>
      </c>
      <c r="B445" s="125" t="s">
        <v>25334</v>
      </c>
      <c r="C445" s="125">
        <v>1</v>
      </c>
    </row>
    <row r="446" spans="1:3" x14ac:dyDescent="0.25">
      <c r="A446" s="125" t="s">
        <v>1</v>
      </c>
      <c r="B446" s="125" t="s">
        <v>28358</v>
      </c>
      <c r="C446" s="125">
        <v>1</v>
      </c>
    </row>
    <row r="447" spans="1:3" x14ac:dyDescent="0.25">
      <c r="A447" s="125" t="s">
        <v>25365</v>
      </c>
      <c r="B447" s="125" t="s">
        <v>28226</v>
      </c>
      <c r="C447" s="125">
        <v>1</v>
      </c>
    </row>
    <row r="448" spans="1:3" x14ac:dyDescent="0.25">
      <c r="A448" s="125" t="s">
        <v>25337</v>
      </c>
      <c r="B448" s="125" t="s">
        <v>25308</v>
      </c>
      <c r="C448" s="125">
        <v>1</v>
      </c>
    </row>
    <row r="449" spans="1:3" x14ac:dyDescent="0.25">
      <c r="A449" s="125" t="s">
        <v>28359</v>
      </c>
      <c r="B449" s="125" t="s">
        <v>28297</v>
      </c>
      <c r="C449" s="125">
        <v>1</v>
      </c>
    </row>
    <row r="450" spans="1:3" x14ac:dyDescent="0.25">
      <c r="A450" s="125" t="s">
        <v>28360</v>
      </c>
      <c r="B450" s="125" t="s">
        <v>28355</v>
      </c>
      <c r="C450" s="125">
        <v>1</v>
      </c>
    </row>
    <row r="451" spans="1:3" x14ac:dyDescent="0.25">
      <c r="A451" s="125" t="s">
        <v>36</v>
      </c>
      <c r="B451" s="125" t="s">
        <v>28361</v>
      </c>
      <c r="C451" s="125">
        <v>1</v>
      </c>
    </row>
    <row r="452" spans="1:3" x14ac:dyDescent="0.25">
      <c r="A452" s="125" t="s">
        <v>25343</v>
      </c>
      <c r="B452" s="125" t="s">
        <v>28283</v>
      </c>
      <c r="C452" s="125">
        <v>1</v>
      </c>
    </row>
    <row r="453" spans="1:3" x14ac:dyDescent="0.25">
      <c r="A453" s="125" t="s">
        <v>25503</v>
      </c>
      <c r="B453" s="125" t="s">
        <v>25308</v>
      </c>
      <c r="C453" s="125">
        <v>1</v>
      </c>
    </row>
    <row r="454" spans="1:3" x14ac:dyDescent="0.25">
      <c r="A454" s="125" t="s">
        <v>28362</v>
      </c>
      <c r="B454" s="125" t="s">
        <v>28247</v>
      </c>
      <c r="C454" s="125">
        <v>1</v>
      </c>
    </row>
    <row r="455" spans="1:3" x14ac:dyDescent="0.25">
      <c r="A455" s="125" t="s">
        <v>25418</v>
      </c>
      <c r="B455" s="125" t="s">
        <v>28253</v>
      </c>
      <c r="C455" s="125">
        <v>1</v>
      </c>
    </row>
    <row r="456" spans="1:3" x14ac:dyDescent="0.25">
      <c r="A456" s="125" t="s">
        <v>130</v>
      </c>
      <c r="B456" s="125" t="s">
        <v>28229</v>
      </c>
      <c r="C456" s="125">
        <v>1</v>
      </c>
    </row>
    <row r="457" spans="1:3" x14ac:dyDescent="0.25">
      <c r="A457" s="125" t="s">
        <v>25480</v>
      </c>
      <c r="B457" s="125" t="s">
        <v>25308</v>
      </c>
      <c r="C457" s="125">
        <v>1</v>
      </c>
    </row>
    <row r="458" spans="1:3" x14ac:dyDescent="0.25">
      <c r="A458" s="125" t="s">
        <v>25435</v>
      </c>
      <c r="B458" s="125" t="s">
        <v>28313</v>
      </c>
      <c r="C458" s="125">
        <v>1</v>
      </c>
    </row>
    <row r="459" spans="1:3" x14ac:dyDescent="0.25">
      <c r="A459" s="125" t="s">
        <v>28363</v>
      </c>
      <c r="B459" s="125" t="s">
        <v>28287</v>
      </c>
      <c r="C459" s="125">
        <v>1</v>
      </c>
    </row>
    <row r="460" spans="1:3" x14ac:dyDescent="0.25">
      <c r="A460" s="125" t="s">
        <v>22</v>
      </c>
      <c r="B460" s="125" t="s">
        <v>28313</v>
      </c>
      <c r="C460" s="125">
        <v>1</v>
      </c>
    </row>
    <row r="461" spans="1:3" x14ac:dyDescent="0.25">
      <c r="A461" s="125" t="s">
        <v>28364</v>
      </c>
      <c r="B461" s="125" t="s">
        <v>28221</v>
      </c>
      <c r="C461" s="125">
        <v>1</v>
      </c>
    </row>
    <row r="462" spans="1:3" x14ac:dyDescent="0.25">
      <c r="A462" s="125" t="s">
        <v>43</v>
      </c>
      <c r="B462" s="125" t="s">
        <v>28279</v>
      </c>
      <c r="C462" s="125">
        <v>1</v>
      </c>
    </row>
    <row r="463" spans="1:3" x14ac:dyDescent="0.25">
      <c r="A463" s="125" t="s">
        <v>215</v>
      </c>
      <c r="B463" s="125" t="s">
        <v>28319</v>
      </c>
      <c r="C463" s="125">
        <v>1</v>
      </c>
    </row>
    <row r="464" spans="1:3" x14ac:dyDescent="0.25">
      <c r="A464" s="125" t="s">
        <v>22</v>
      </c>
      <c r="B464" s="125" t="s">
        <v>28279</v>
      </c>
      <c r="C464" s="125">
        <v>1</v>
      </c>
    </row>
    <row r="465" spans="1:3" x14ac:dyDescent="0.25">
      <c r="A465" s="125" t="s">
        <v>25492</v>
      </c>
      <c r="B465" s="125" t="s">
        <v>25308</v>
      </c>
      <c r="C465" s="125">
        <v>1</v>
      </c>
    </row>
    <row r="466" spans="1:3" x14ac:dyDescent="0.25">
      <c r="A466" s="125" t="s">
        <v>28362</v>
      </c>
      <c r="B466" s="125" t="s">
        <v>25333</v>
      </c>
      <c r="C466" s="125">
        <v>1</v>
      </c>
    </row>
    <row r="467" spans="1:3" x14ac:dyDescent="0.25">
      <c r="A467" s="125" t="s">
        <v>25354</v>
      </c>
      <c r="B467" s="125" t="s">
        <v>28263</v>
      </c>
      <c r="C467" s="125">
        <v>1</v>
      </c>
    </row>
    <row r="468" spans="1:3" x14ac:dyDescent="0.25">
      <c r="A468" s="125" t="s">
        <v>28294</v>
      </c>
      <c r="B468" s="125" t="s">
        <v>28222</v>
      </c>
      <c r="C468" s="125">
        <v>1</v>
      </c>
    </row>
    <row r="469" spans="1:3" x14ac:dyDescent="0.25">
      <c r="A469" s="125" t="s">
        <v>52</v>
      </c>
      <c r="B469" s="125" t="s">
        <v>25333</v>
      </c>
      <c r="C469" s="125">
        <v>1</v>
      </c>
    </row>
    <row r="470" spans="1:3" x14ac:dyDescent="0.25">
      <c r="A470" s="125" t="s">
        <v>123</v>
      </c>
      <c r="B470" s="125" t="s">
        <v>28221</v>
      </c>
      <c r="C470" s="125">
        <v>1</v>
      </c>
    </row>
    <row r="471" spans="1:3" x14ac:dyDescent="0.25">
      <c r="A471" s="125" t="s">
        <v>25527</v>
      </c>
      <c r="B471" s="125" t="s">
        <v>25308</v>
      </c>
      <c r="C471" s="125">
        <v>1</v>
      </c>
    </row>
    <row r="472" spans="1:3" x14ac:dyDescent="0.25">
      <c r="A472" s="125" t="s">
        <v>28</v>
      </c>
      <c r="B472" s="125" t="s">
        <v>28255</v>
      </c>
      <c r="C472" s="125">
        <v>1</v>
      </c>
    </row>
    <row r="473" spans="1:3" x14ac:dyDescent="0.25">
      <c r="A473" s="125" t="s">
        <v>25416</v>
      </c>
      <c r="B473" s="125" t="s">
        <v>28287</v>
      </c>
      <c r="C473" s="125">
        <v>1</v>
      </c>
    </row>
    <row r="474" spans="1:3" x14ac:dyDescent="0.25">
      <c r="A474" s="125" t="s">
        <v>22</v>
      </c>
      <c r="B474" s="125" t="s">
        <v>25308</v>
      </c>
      <c r="C474" s="125">
        <v>1</v>
      </c>
    </row>
    <row r="475" spans="1:3" x14ac:dyDescent="0.25">
      <c r="A475" s="125" t="s">
        <v>28365</v>
      </c>
      <c r="B475" s="125" t="s">
        <v>25333</v>
      </c>
      <c r="C475" s="125">
        <v>1</v>
      </c>
    </row>
    <row r="476" spans="1:3" x14ac:dyDescent="0.25">
      <c r="A476" s="125" t="s">
        <v>28366</v>
      </c>
      <c r="B476" s="125" t="s">
        <v>28221</v>
      </c>
      <c r="C476" s="125">
        <v>1</v>
      </c>
    </row>
    <row r="477" spans="1:3" x14ac:dyDescent="0.25">
      <c r="A477" s="125" t="s">
        <v>42</v>
      </c>
      <c r="B477" s="125" t="s">
        <v>28231</v>
      </c>
      <c r="C477" s="125">
        <v>1</v>
      </c>
    </row>
    <row r="478" spans="1:3" x14ac:dyDescent="0.25">
      <c r="A478" s="125" t="s">
        <v>25494</v>
      </c>
      <c r="B478" s="125" t="s">
        <v>28255</v>
      </c>
      <c r="C478" s="125">
        <v>1</v>
      </c>
    </row>
    <row r="479" spans="1:3" x14ac:dyDescent="0.25">
      <c r="A479" s="125" t="s">
        <v>28367</v>
      </c>
      <c r="B479" s="125" t="s">
        <v>28221</v>
      </c>
      <c r="C479" s="125">
        <v>1</v>
      </c>
    </row>
    <row r="480" spans="1:3" x14ac:dyDescent="0.25">
      <c r="A480" s="125" t="s">
        <v>25472</v>
      </c>
      <c r="B480" s="125" t="s">
        <v>28229</v>
      </c>
      <c r="C480" s="125">
        <v>1</v>
      </c>
    </row>
    <row r="481" spans="1:3" x14ac:dyDescent="0.25">
      <c r="A481" s="125" t="s">
        <v>25480</v>
      </c>
      <c r="B481" s="125" t="s">
        <v>25334</v>
      </c>
      <c r="C481" s="125">
        <v>1</v>
      </c>
    </row>
    <row r="482" spans="1:3" x14ac:dyDescent="0.25">
      <c r="A482" s="125" t="s">
        <v>100</v>
      </c>
      <c r="B482" s="125" t="s">
        <v>28223</v>
      </c>
      <c r="C482" s="125">
        <v>1</v>
      </c>
    </row>
    <row r="483" spans="1:3" x14ac:dyDescent="0.25">
      <c r="A483" s="125" t="s">
        <v>25452</v>
      </c>
      <c r="B483" s="125" t="s">
        <v>25308</v>
      </c>
      <c r="C483" s="125">
        <v>1</v>
      </c>
    </row>
    <row r="484" spans="1:3" x14ac:dyDescent="0.25">
      <c r="A484" s="125" t="s">
        <v>23</v>
      </c>
      <c r="B484" s="125" t="s">
        <v>28227</v>
      </c>
      <c r="C484" s="125">
        <v>1</v>
      </c>
    </row>
    <row r="485" spans="1:3" x14ac:dyDescent="0.25">
      <c r="A485" s="125" t="s">
        <v>25340</v>
      </c>
      <c r="B485" s="125" t="s">
        <v>28226</v>
      </c>
      <c r="C485" s="125">
        <v>1</v>
      </c>
    </row>
    <row r="486" spans="1:3" x14ac:dyDescent="0.25">
      <c r="A486" s="125" t="s">
        <v>25352</v>
      </c>
      <c r="B486" s="125" t="s">
        <v>28283</v>
      </c>
      <c r="C486" s="125">
        <v>1</v>
      </c>
    </row>
    <row r="487" spans="1:3" x14ac:dyDescent="0.25">
      <c r="A487" s="125" t="s">
        <v>52</v>
      </c>
      <c r="B487" s="125" t="s">
        <v>28311</v>
      </c>
      <c r="C487" s="125">
        <v>1</v>
      </c>
    </row>
    <row r="488" spans="1:3" x14ac:dyDescent="0.25">
      <c r="A488" s="125" t="s">
        <v>25340</v>
      </c>
      <c r="B488" s="125" t="s">
        <v>25308</v>
      </c>
      <c r="C488" s="125">
        <v>1</v>
      </c>
    </row>
    <row r="489" spans="1:3" x14ac:dyDescent="0.25">
      <c r="A489" s="125" t="s">
        <v>25408</v>
      </c>
      <c r="B489" s="125" t="s">
        <v>28256</v>
      </c>
      <c r="C489" s="125">
        <v>1</v>
      </c>
    </row>
    <row r="490" spans="1:3" x14ac:dyDescent="0.25">
      <c r="A490" s="125" t="s">
        <v>25385</v>
      </c>
      <c r="B490" s="125" t="s">
        <v>28227</v>
      </c>
      <c r="C490" s="125">
        <v>1</v>
      </c>
    </row>
    <row r="491" spans="1:3" x14ac:dyDescent="0.25">
      <c r="A491" s="125" t="s">
        <v>25458</v>
      </c>
      <c r="B491" s="125" t="s">
        <v>28285</v>
      </c>
      <c r="C491" s="125">
        <v>1</v>
      </c>
    </row>
    <row r="492" spans="1:3" x14ac:dyDescent="0.25">
      <c r="A492" s="125" t="s">
        <v>25367</v>
      </c>
      <c r="B492" s="125" t="s">
        <v>28242</v>
      </c>
      <c r="C492" s="125">
        <v>1</v>
      </c>
    </row>
    <row r="493" spans="1:3" x14ac:dyDescent="0.25">
      <c r="A493" s="125" t="s">
        <v>25367</v>
      </c>
      <c r="B493" s="125" t="s">
        <v>28220</v>
      </c>
      <c r="C493" s="125">
        <v>1</v>
      </c>
    </row>
    <row r="494" spans="1:3" x14ac:dyDescent="0.25">
      <c r="A494" s="125" t="s">
        <v>28270</v>
      </c>
      <c r="B494" s="125" t="s">
        <v>28361</v>
      </c>
      <c r="C494" s="125">
        <v>1</v>
      </c>
    </row>
    <row r="495" spans="1:3" x14ac:dyDescent="0.25">
      <c r="A495" s="125" t="s">
        <v>28368</v>
      </c>
      <c r="B495" s="125" t="s">
        <v>28256</v>
      </c>
      <c r="C495" s="125">
        <v>1</v>
      </c>
    </row>
    <row r="496" spans="1:3" x14ac:dyDescent="0.25">
      <c r="A496" s="125" t="s">
        <v>25452</v>
      </c>
      <c r="B496" s="125" t="s">
        <v>28221</v>
      </c>
      <c r="C496" s="125">
        <v>1</v>
      </c>
    </row>
    <row r="497" spans="1:3" x14ac:dyDescent="0.25">
      <c r="A497" s="125" t="s">
        <v>200</v>
      </c>
      <c r="B497" s="125" t="s">
        <v>25334</v>
      </c>
      <c r="C497" s="125">
        <v>1</v>
      </c>
    </row>
    <row r="498" spans="1:3" x14ac:dyDescent="0.25">
      <c r="A498" s="125" t="s">
        <v>28369</v>
      </c>
      <c r="B498" s="125" t="s">
        <v>28247</v>
      </c>
      <c r="C498" s="125">
        <v>1</v>
      </c>
    </row>
    <row r="499" spans="1:3" x14ac:dyDescent="0.25">
      <c r="A499" s="125" t="s">
        <v>201</v>
      </c>
      <c r="B499" s="125" t="s">
        <v>28226</v>
      </c>
      <c r="C499" s="125">
        <v>1</v>
      </c>
    </row>
    <row r="500" spans="1:3" x14ac:dyDescent="0.25">
      <c r="A500" s="125" t="s">
        <v>208</v>
      </c>
      <c r="B500" s="125" t="s">
        <v>28242</v>
      </c>
      <c r="C500" s="125">
        <v>1</v>
      </c>
    </row>
    <row r="501" spans="1:3" x14ac:dyDescent="0.25">
      <c r="A501" s="125" t="s">
        <v>25544</v>
      </c>
      <c r="B501" s="125" t="s">
        <v>28242</v>
      </c>
      <c r="C501" s="125">
        <v>1</v>
      </c>
    </row>
    <row r="502" spans="1:3" x14ac:dyDescent="0.25">
      <c r="A502" s="125" t="s">
        <v>23</v>
      </c>
      <c r="B502" s="125" t="s">
        <v>28356</v>
      </c>
      <c r="C502" s="125">
        <v>1</v>
      </c>
    </row>
    <row r="503" spans="1:3" x14ac:dyDescent="0.25">
      <c r="A503" s="125" t="s">
        <v>25456</v>
      </c>
      <c r="B503" s="125" t="s">
        <v>28225</v>
      </c>
      <c r="C503" s="125">
        <v>1</v>
      </c>
    </row>
    <row r="504" spans="1:3" x14ac:dyDescent="0.25">
      <c r="A504" s="125" t="s">
        <v>43</v>
      </c>
      <c r="B504" s="125" t="s">
        <v>28283</v>
      </c>
      <c r="C504" s="125">
        <v>1</v>
      </c>
    </row>
    <row r="505" spans="1:3" x14ac:dyDescent="0.25">
      <c r="A505" s="125" t="s">
        <v>25350</v>
      </c>
      <c r="B505" s="125" t="s">
        <v>28283</v>
      </c>
      <c r="C505" s="125">
        <v>1</v>
      </c>
    </row>
    <row r="506" spans="1:3" x14ac:dyDescent="0.25">
      <c r="A506" s="125" t="s">
        <v>25488</v>
      </c>
      <c r="B506" s="125" t="s">
        <v>28221</v>
      </c>
      <c r="C506" s="125">
        <v>1</v>
      </c>
    </row>
    <row r="507" spans="1:3" x14ac:dyDescent="0.25">
      <c r="A507" s="125" t="s">
        <v>130</v>
      </c>
      <c r="B507" s="125" t="s">
        <v>28242</v>
      </c>
      <c r="C507" s="125">
        <v>1</v>
      </c>
    </row>
    <row r="508" spans="1:3" x14ac:dyDescent="0.25">
      <c r="A508" s="125" t="s">
        <v>25402</v>
      </c>
      <c r="B508" s="125" t="s">
        <v>25308</v>
      </c>
      <c r="C508" s="125">
        <v>1</v>
      </c>
    </row>
    <row r="509" spans="1:3" x14ac:dyDescent="0.25">
      <c r="A509" s="125" t="s">
        <v>25488</v>
      </c>
      <c r="B509" s="125" t="s">
        <v>28233</v>
      </c>
      <c r="C509" s="125">
        <v>1</v>
      </c>
    </row>
    <row r="510" spans="1:3" x14ac:dyDescent="0.25">
      <c r="A510" s="125" t="s">
        <v>25395</v>
      </c>
      <c r="B510" s="125" t="s">
        <v>28256</v>
      </c>
      <c r="C510" s="125">
        <v>1</v>
      </c>
    </row>
    <row r="511" spans="1:3" x14ac:dyDescent="0.25">
      <c r="A511" s="125" t="s">
        <v>25391</v>
      </c>
      <c r="B511" s="125" t="s">
        <v>28227</v>
      </c>
      <c r="C511" s="125">
        <v>1</v>
      </c>
    </row>
    <row r="512" spans="1:3" x14ac:dyDescent="0.25">
      <c r="A512" s="125" t="s">
        <v>25457</v>
      </c>
      <c r="B512" s="125" t="s">
        <v>28225</v>
      </c>
      <c r="C512" s="125">
        <v>1</v>
      </c>
    </row>
    <row r="513" spans="1:3" x14ac:dyDescent="0.25">
      <c r="A513" s="125" t="s">
        <v>25480</v>
      </c>
      <c r="B513" s="125" t="s">
        <v>28228</v>
      </c>
      <c r="C513" s="125">
        <v>1</v>
      </c>
    </row>
    <row r="514" spans="1:3" x14ac:dyDescent="0.25">
      <c r="A514" s="125" t="s">
        <v>25406</v>
      </c>
      <c r="B514" s="125" t="s">
        <v>28245</v>
      </c>
      <c r="C514" s="125">
        <v>1</v>
      </c>
    </row>
    <row r="515" spans="1:3" x14ac:dyDescent="0.25">
      <c r="A515" s="125" t="s">
        <v>25541</v>
      </c>
      <c r="B515" s="125" t="s">
        <v>28222</v>
      </c>
      <c r="C515" s="125">
        <v>1</v>
      </c>
    </row>
    <row r="516" spans="1:3" x14ac:dyDescent="0.25">
      <c r="A516" s="125" t="s">
        <v>123</v>
      </c>
      <c r="B516" s="125" t="s">
        <v>28256</v>
      </c>
      <c r="C516" s="125">
        <v>1</v>
      </c>
    </row>
    <row r="517" spans="1:3" x14ac:dyDescent="0.25">
      <c r="A517" s="125" t="s">
        <v>58</v>
      </c>
      <c r="B517" s="125" t="s">
        <v>28228</v>
      </c>
      <c r="C517" s="125">
        <v>1</v>
      </c>
    </row>
    <row r="518" spans="1:3" x14ac:dyDescent="0.25">
      <c r="A518" s="125" t="s">
        <v>29</v>
      </c>
      <c r="B518" s="125" t="s">
        <v>28256</v>
      </c>
      <c r="C518" s="125">
        <v>1</v>
      </c>
    </row>
    <row r="519" spans="1:3" x14ac:dyDescent="0.25">
      <c r="A519" s="125" t="s">
        <v>25392</v>
      </c>
      <c r="B519" s="125" t="s">
        <v>28227</v>
      </c>
      <c r="C519" s="125">
        <v>1</v>
      </c>
    </row>
    <row r="520" spans="1:3" x14ac:dyDescent="0.25">
      <c r="A520" s="125" t="s">
        <v>1</v>
      </c>
      <c r="B520" s="125" t="s">
        <v>28298</v>
      </c>
      <c r="C520" s="125">
        <v>1</v>
      </c>
    </row>
    <row r="521" spans="1:3" x14ac:dyDescent="0.25">
      <c r="A521" s="125" t="s">
        <v>25384</v>
      </c>
      <c r="B521" s="125" t="s">
        <v>28227</v>
      </c>
      <c r="C521" s="125">
        <v>1</v>
      </c>
    </row>
    <row r="522" spans="1:3" x14ac:dyDescent="0.25">
      <c r="A522" s="125" t="s">
        <v>25529</v>
      </c>
      <c r="B522" s="125" t="s">
        <v>28287</v>
      </c>
      <c r="C522" s="125">
        <v>1</v>
      </c>
    </row>
    <row r="523" spans="1:3" x14ac:dyDescent="0.25">
      <c r="A523" s="125" t="s">
        <v>25381</v>
      </c>
      <c r="B523" s="125" t="s">
        <v>28279</v>
      </c>
      <c r="C523" s="125">
        <v>1</v>
      </c>
    </row>
    <row r="524" spans="1:3" x14ac:dyDescent="0.25">
      <c r="A524" s="125" t="s">
        <v>1</v>
      </c>
      <c r="B524" s="125" t="s">
        <v>28287</v>
      </c>
      <c r="C524" s="125">
        <v>1</v>
      </c>
    </row>
    <row r="525" spans="1:3" x14ac:dyDescent="0.25">
      <c r="A525" s="125" t="s">
        <v>197</v>
      </c>
      <c r="B525" s="125" t="s">
        <v>28222</v>
      </c>
      <c r="C525" s="125">
        <v>1</v>
      </c>
    </row>
    <row r="526" spans="1:3" x14ac:dyDescent="0.25">
      <c r="A526" s="125" t="s">
        <v>25481</v>
      </c>
      <c r="B526" s="125" t="s">
        <v>28355</v>
      </c>
      <c r="C526" s="125">
        <v>1</v>
      </c>
    </row>
    <row r="527" spans="1:3" x14ac:dyDescent="0.25">
      <c r="A527" s="125" t="s">
        <v>25489</v>
      </c>
      <c r="B527" s="125" t="s">
        <v>28227</v>
      </c>
      <c r="C527" s="125">
        <v>1</v>
      </c>
    </row>
    <row r="528" spans="1:3" x14ac:dyDescent="0.25">
      <c r="A528" s="125" t="s">
        <v>25497</v>
      </c>
      <c r="B528" s="125" t="s">
        <v>28301</v>
      </c>
      <c r="C528" s="125">
        <v>1</v>
      </c>
    </row>
    <row r="529" spans="1:3" x14ac:dyDescent="0.25">
      <c r="A529" s="125" t="s">
        <v>28370</v>
      </c>
      <c r="B529" s="125" t="s">
        <v>28298</v>
      </c>
      <c r="C529" s="125">
        <v>1</v>
      </c>
    </row>
    <row r="530" spans="1:3" x14ac:dyDescent="0.25">
      <c r="A530" s="125" t="s">
        <v>127</v>
      </c>
      <c r="B530" s="125" t="s">
        <v>28256</v>
      </c>
      <c r="C530" s="125">
        <v>1</v>
      </c>
    </row>
    <row r="531" spans="1:3" x14ac:dyDescent="0.25">
      <c r="A531" s="125" t="s">
        <v>55</v>
      </c>
      <c r="B531" s="125" t="s">
        <v>28247</v>
      </c>
      <c r="C531" s="125">
        <v>1</v>
      </c>
    </row>
    <row r="532" spans="1:3" x14ac:dyDescent="0.25">
      <c r="A532" s="125" t="s">
        <v>22</v>
      </c>
      <c r="B532" s="125" t="s">
        <v>28226</v>
      </c>
      <c r="C532" s="125">
        <v>1</v>
      </c>
    </row>
    <row r="533" spans="1:3" x14ac:dyDescent="0.25">
      <c r="A533" s="125" t="s">
        <v>35</v>
      </c>
      <c r="B533" s="125" t="s">
        <v>28222</v>
      </c>
      <c r="C533" s="125">
        <v>1</v>
      </c>
    </row>
    <row r="534" spans="1:3" x14ac:dyDescent="0.25">
      <c r="A534" s="125" t="s">
        <v>25508</v>
      </c>
      <c r="B534" s="125" t="s">
        <v>28313</v>
      </c>
      <c r="C534" s="125">
        <v>1</v>
      </c>
    </row>
    <row r="535" spans="1:3" x14ac:dyDescent="0.25">
      <c r="A535" s="125" t="s">
        <v>25413</v>
      </c>
      <c r="B535" s="125" t="s">
        <v>28220</v>
      </c>
      <c r="C535" s="125">
        <v>1</v>
      </c>
    </row>
    <row r="536" spans="1:3" x14ac:dyDescent="0.25">
      <c r="A536" s="125" t="s">
        <v>28293</v>
      </c>
      <c r="B536" s="125" t="s">
        <v>28371</v>
      </c>
      <c r="C536" s="125">
        <v>1</v>
      </c>
    </row>
    <row r="537" spans="1:3" x14ac:dyDescent="0.25">
      <c r="A537" s="125" t="s">
        <v>28289</v>
      </c>
      <c r="B537" s="125" t="s">
        <v>28234</v>
      </c>
      <c r="C537" s="125">
        <v>1</v>
      </c>
    </row>
    <row r="538" spans="1:3" x14ac:dyDescent="0.25">
      <c r="A538" s="125" t="s">
        <v>25536</v>
      </c>
      <c r="B538" s="125" t="s">
        <v>25334</v>
      </c>
      <c r="C538" s="125">
        <v>1</v>
      </c>
    </row>
    <row r="539" spans="1:3" x14ac:dyDescent="0.25">
      <c r="A539" s="125" t="s">
        <v>25402</v>
      </c>
      <c r="B539" s="125" t="s">
        <v>28245</v>
      </c>
      <c r="C539" s="125">
        <v>1</v>
      </c>
    </row>
    <row r="540" spans="1:3" x14ac:dyDescent="0.25">
      <c r="A540" s="125" t="s">
        <v>25516</v>
      </c>
      <c r="B540" s="125" t="s">
        <v>28297</v>
      </c>
      <c r="C540" s="125">
        <v>1</v>
      </c>
    </row>
    <row r="541" spans="1:3" x14ac:dyDescent="0.25">
      <c r="A541" s="125" t="s">
        <v>25477</v>
      </c>
      <c r="B541" s="125" t="s">
        <v>28332</v>
      </c>
      <c r="C541" s="125">
        <v>1</v>
      </c>
    </row>
    <row r="542" spans="1:3" x14ac:dyDescent="0.25">
      <c r="A542" s="125" t="s">
        <v>25517</v>
      </c>
      <c r="B542" s="125" t="s">
        <v>28229</v>
      </c>
      <c r="C542" s="125">
        <v>1</v>
      </c>
    </row>
    <row r="543" spans="1:3" x14ac:dyDescent="0.25">
      <c r="A543" s="125" t="s">
        <v>25394</v>
      </c>
      <c r="B543" s="125" t="s">
        <v>28229</v>
      </c>
      <c r="C543" s="125">
        <v>1</v>
      </c>
    </row>
    <row r="544" spans="1:3" x14ac:dyDescent="0.25">
      <c r="A544" s="125" t="s">
        <v>25461</v>
      </c>
      <c r="B544" s="125" t="s">
        <v>25332</v>
      </c>
      <c r="C544" s="125">
        <v>1</v>
      </c>
    </row>
    <row r="545" spans="1:3" x14ac:dyDescent="0.25">
      <c r="A545" s="125" t="s">
        <v>29</v>
      </c>
      <c r="B545" s="125" t="s">
        <v>28247</v>
      </c>
      <c r="C545" s="125">
        <v>1</v>
      </c>
    </row>
    <row r="546" spans="1:3" x14ac:dyDescent="0.25">
      <c r="A546" s="125" t="s">
        <v>25483</v>
      </c>
      <c r="B546" s="125" t="s">
        <v>28266</v>
      </c>
      <c r="C546" s="125">
        <v>1</v>
      </c>
    </row>
    <row r="547" spans="1:3" x14ac:dyDescent="0.25">
      <c r="A547" s="125" t="s">
        <v>25504</v>
      </c>
      <c r="B547" s="125" t="s">
        <v>28220</v>
      </c>
      <c r="C547" s="125">
        <v>1</v>
      </c>
    </row>
    <row r="548" spans="1:3" x14ac:dyDescent="0.25">
      <c r="A548" s="125" t="s">
        <v>27</v>
      </c>
      <c r="B548" s="125" t="s">
        <v>28228</v>
      </c>
      <c r="C548" s="125">
        <v>1</v>
      </c>
    </row>
    <row r="549" spans="1:3" x14ac:dyDescent="0.25">
      <c r="A549" s="125" t="s">
        <v>52</v>
      </c>
      <c r="B549" s="125" t="s">
        <v>28223</v>
      </c>
      <c r="C549" s="125">
        <v>1</v>
      </c>
    </row>
    <row r="550" spans="1:3" x14ac:dyDescent="0.25">
      <c r="A550" s="125" t="s">
        <v>26</v>
      </c>
      <c r="B550" s="125" t="s">
        <v>25334</v>
      </c>
      <c r="C550" s="125">
        <v>1</v>
      </c>
    </row>
    <row r="551" spans="1:3" x14ac:dyDescent="0.25">
      <c r="A551" s="125" t="s">
        <v>25397</v>
      </c>
      <c r="B551" s="125" t="s">
        <v>28372</v>
      </c>
      <c r="C551" s="125">
        <v>1</v>
      </c>
    </row>
    <row r="552" spans="1:3" x14ac:dyDescent="0.25">
      <c r="A552" s="125" t="s">
        <v>52</v>
      </c>
      <c r="B552" s="125" t="s">
        <v>28305</v>
      </c>
      <c r="C552" s="125">
        <v>1</v>
      </c>
    </row>
    <row r="553" spans="1:3" x14ac:dyDescent="0.25">
      <c r="A553" s="125" t="s">
        <v>25506</v>
      </c>
      <c r="B553" s="125" t="s">
        <v>28301</v>
      </c>
      <c r="C553" s="125">
        <v>1</v>
      </c>
    </row>
    <row r="554" spans="1:3" x14ac:dyDescent="0.25">
      <c r="A554" s="125" t="s">
        <v>25338</v>
      </c>
      <c r="B554" s="125" t="s">
        <v>28242</v>
      </c>
      <c r="C554" s="125">
        <v>1</v>
      </c>
    </row>
    <row r="555" spans="1:3" x14ac:dyDescent="0.25">
      <c r="A555" s="125" t="s">
        <v>25419</v>
      </c>
      <c r="B555" s="125" t="s">
        <v>28305</v>
      </c>
      <c r="C555" s="125">
        <v>1</v>
      </c>
    </row>
    <row r="556" spans="1:3" x14ac:dyDescent="0.25">
      <c r="A556" s="125" t="s">
        <v>25526</v>
      </c>
      <c r="B556" s="125" t="s">
        <v>28323</v>
      </c>
      <c r="C556" s="125">
        <v>1</v>
      </c>
    </row>
    <row r="557" spans="1:3" x14ac:dyDescent="0.25">
      <c r="A557" s="125" t="s">
        <v>25441</v>
      </c>
      <c r="B557" s="125" t="s">
        <v>28313</v>
      </c>
      <c r="C557" s="125">
        <v>1</v>
      </c>
    </row>
    <row r="558" spans="1:3" x14ac:dyDescent="0.25">
      <c r="A558" s="125" t="s">
        <v>25468</v>
      </c>
      <c r="B558" s="125" t="s">
        <v>28358</v>
      </c>
      <c r="C558" s="125">
        <v>1</v>
      </c>
    </row>
    <row r="559" spans="1:3" x14ac:dyDescent="0.25">
      <c r="A559" s="125" t="s">
        <v>25530</v>
      </c>
      <c r="B559" s="125" t="s">
        <v>28269</v>
      </c>
      <c r="C559" s="125">
        <v>1</v>
      </c>
    </row>
    <row r="560" spans="1:3" x14ac:dyDescent="0.25">
      <c r="A560" s="125" t="s">
        <v>25393</v>
      </c>
      <c r="B560" s="125" t="s">
        <v>28245</v>
      </c>
      <c r="C560" s="125">
        <v>1</v>
      </c>
    </row>
    <row r="561" spans="1:3" x14ac:dyDescent="0.25">
      <c r="A561" s="125" t="s">
        <v>123</v>
      </c>
      <c r="B561" s="125" t="s">
        <v>28286</v>
      </c>
      <c r="C561" s="125">
        <v>1</v>
      </c>
    </row>
    <row r="562" spans="1:3" x14ac:dyDescent="0.25">
      <c r="A562" s="125" t="s">
        <v>25366</v>
      </c>
      <c r="B562" s="125" t="s">
        <v>28238</v>
      </c>
      <c r="C562" s="125">
        <v>1</v>
      </c>
    </row>
    <row r="563" spans="1:3" x14ac:dyDescent="0.25">
      <c r="A563" s="125" t="s">
        <v>25422</v>
      </c>
      <c r="B563" s="125" t="s">
        <v>28316</v>
      </c>
      <c r="C563" s="125">
        <v>1</v>
      </c>
    </row>
    <row r="564" spans="1:3" x14ac:dyDescent="0.25">
      <c r="A564" s="125" t="s">
        <v>25376</v>
      </c>
      <c r="B564" s="125" t="s">
        <v>28231</v>
      </c>
      <c r="C564" s="125">
        <v>1</v>
      </c>
    </row>
    <row r="565" spans="1:3" x14ac:dyDescent="0.25">
      <c r="A565" s="125" t="s">
        <v>25474</v>
      </c>
      <c r="B565" s="125" t="s">
        <v>25333</v>
      </c>
      <c r="C565" s="125">
        <v>1</v>
      </c>
    </row>
    <row r="566" spans="1:3" x14ac:dyDescent="0.25">
      <c r="A566" s="125" t="s">
        <v>25366</v>
      </c>
      <c r="B566" s="125" t="s">
        <v>28226</v>
      </c>
      <c r="C566" s="125">
        <v>1</v>
      </c>
    </row>
    <row r="567" spans="1:3" x14ac:dyDescent="0.25">
      <c r="A567" s="125" t="s">
        <v>25377</v>
      </c>
      <c r="B567" s="125" t="s">
        <v>28298</v>
      </c>
      <c r="C567" s="125">
        <v>1</v>
      </c>
    </row>
    <row r="568" spans="1:3" x14ac:dyDescent="0.25">
      <c r="A568" s="125" t="s">
        <v>25460</v>
      </c>
      <c r="B568" s="125" t="s">
        <v>28256</v>
      </c>
      <c r="C568" s="125">
        <v>1</v>
      </c>
    </row>
    <row r="569" spans="1:3" x14ac:dyDescent="0.25">
      <c r="A569" s="125" t="s">
        <v>25473</v>
      </c>
      <c r="B569" s="125" t="s">
        <v>28236</v>
      </c>
      <c r="C569" s="125">
        <v>1</v>
      </c>
    </row>
    <row r="570" spans="1:3" x14ac:dyDescent="0.25">
      <c r="A570" s="125" t="s">
        <v>25525</v>
      </c>
      <c r="B570" s="125" t="s">
        <v>28222</v>
      </c>
      <c r="C570" s="125">
        <v>1</v>
      </c>
    </row>
    <row r="571" spans="1:3" x14ac:dyDescent="0.25">
      <c r="A571" s="125" t="s">
        <v>25471</v>
      </c>
      <c r="B571" s="125" t="s">
        <v>28373</v>
      </c>
      <c r="C571" s="125">
        <v>1</v>
      </c>
    </row>
    <row r="572" spans="1:3" x14ac:dyDescent="0.25">
      <c r="A572" s="125" t="s">
        <v>25480</v>
      </c>
      <c r="B572" s="125" t="s">
        <v>28287</v>
      </c>
      <c r="C572" s="125">
        <v>1</v>
      </c>
    </row>
    <row r="573" spans="1:3" x14ac:dyDescent="0.25">
      <c r="A573" s="125" t="s">
        <v>25492</v>
      </c>
      <c r="B573" s="125" t="s">
        <v>28221</v>
      </c>
      <c r="C573" s="125">
        <v>1</v>
      </c>
    </row>
    <row r="574" spans="1:3" x14ac:dyDescent="0.25">
      <c r="A574" s="125" t="s">
        <v>25476</v>
      </c>
      <c r="B574" s="125" t="s">
        <v>25333</v>
      </c>
      <c r="C574" s="125">
        <v>1</v>
      </c>
    </row>
    <row r="575" spans="1:3" x14ac:dyDescent="0.25">
      <c r="A575" s="125" t="s">
        <v>25457</v>
      </c>
      <c r="B575" s="125" t="s">
        <v>25308</v>
      </c>
      <c r="C575" s="125">
        <v>1</v>
      </c>
    </row>
    <row r="576" spans="1:3" x14ac:dyDescent="0.25">
      <c r="A576" s="125" t="s">
        <v>25438</v>
      </c>
      <c r="B576" s="125" t="s">
        <v>28220</v>
      </c>
      <c r="C576" s="125">
        <v>1</v>
      </c>
    </row>
    <row r="577" spans="1:3" x14ac:dyDescent="0.25">
      <c r="A577" s="125" t="s">
        <v>25453</v>
      </c>
      <c r="B577" s="125" t="s">
        <v>28225</v>
      </c>
      <c r="C577" s="125">
        <v>1</v>
      </c>
    </row>
    <row r="578" spans="1:3" x14ac:dyDescent="0.25">
      <c r="A578" s="125" t="s">
        <v>25405</v>
      </c>
      <c r="B578" s="125" t="s">
        <v>28245</v>
      </c>
      <c r="C578" s="125">
        <v>1</v>
      </c>
    </row>
    <row r="579" spans="1:3" x14ac:dyDescent="0.25">
      <c r="A579" s="125" t="s">
        <v>25368</v>
      </c>
      <c r="B579" s="125" t="s">
        <v>28374</v>
      </c>
      <c r="C579" s="125">
        <v>1</v>
      </c>
    </row>
    <row r="580" spans="1:3" x14ac:dyDescent="0.25">
      <c r="A580" s="125" t="s">
        <v>25467</v>
      </c>
      <c r="B580" s="125" t="s">
        <v>28276</v>
      </c>
      <c r="C580" s="125">
        <v>1</v>
      </c>
    </row>
    <row r="581" spans="1:3" x14ac:dyDescent="0.25">
      <c r="A581" s="125" t="s">
        <v>25493</v>
      </c>
      <c r="B581" s="125" t="s">
        <v>28239</v>
      </c>
      <c r="C581" s="125">
        <v>1</v>
      </c>
    </row>
    <row r="582" spans="1:3" x14ac:dyDescent="0.25">
      <c r="A582" s="125" t="s">
        <v>25522</v>
      </c>
      <c r="B582" s="125" t="s">
        <v>28344</v>
      </c>
      <c r="C582" s="125">
        <v>1</v>
      </c>
    </row>
    <row r="583" spans="1:3" x14ac:dyDescent="0.25">
      <c r="A583" s="125" t="s">
        <v>25471</v>
      </c>
      <c r="B583" s="125" t="s">
        <v>28247</v>
      </c>
      <c r="C583" s="125">
        <v>1</v>
      </c>
    </row>
    <row r="584" spans="1:3" x14ac:dyDescent="0.25">
      <c r="A584" s="125" t="s">
        <v>41</v>
      </c>
      <c r="B584" s="125" t="s">
        <v>28260</v>
      </c>
      <c r="C584" s="125">
        <v>1</v>
      </c>
    </row>
    <row r="585" spans="1:3" x14ac:dyDescent="0.25">
      <c r="A585" s="125" t="s">
        <v>25444</v>
      </c>
      <c r="B585" s="125" t="s">
        <v>28266</v>
      </c>
      <c r="C585" s="125">
        <v>1</v>
      </c>
    </row>
    <row r="586" spans="1:3" x14ac:dyDescent="0.25">
      <c r="A586" s="125" t="s">
        <v>25358</v>
      </c>
      <c r="B586" s="125" t="s">
        <v>28283</v>
      </c>
      <c r="C586" s="125">
        <v>1</v>
      </c>
    </row>
    <row r="587" spans="1:3" x14ac:dyDescent="0.25">
      <c r="A587" s="125" t="s">
        <v>25459</v>
      </c>
      <c r="B587" s="125" t="s">
        <v>28298</v>
      </c>
      <c r="C587" s="125">
        <v>1</v>
      </c>
    </row>
    <row r="588" spans="1:3" x14ac:dyDescent="0.25">
      <c r="A588" s="125" t="s">
        <v>28</v>
      </c>
      <c r="B588" s="125" t="s">
        <v>28220</v>
      </c>
      <c r="C588" s="125">
        <v>1</v>
      </c>
    </row>
    <row r="589" spans="1:3" x14ac:dyDescent="0.25">
      <c r="A589" s="125" t="s">
        <v>25374</v>
      </c>
      <c r="B589" s="125" t="s">
        <v>28227</v>
      </c>
      <c r="C589" s="125">
        <v>1</v>
      </c>
    </row>
    <row r="590" spans="1:3" x14ac:dyDescent="0.25">
      <c r="A590" s="125" t="s">
        <v>28353</v>
      </c>
      <c r="B590" s="125" t="s">
        <v>28311</v>
      </c>
      <c r="C590" s="125">
        <v>1</v>
      </c>
    </row>
    <row r="591" spans="1:3" x14ac:dyDescent="0.25">
      <c r="A591" s="125" t="s">
        <v>25518</v>
      </c>
      <c r="B591" s="125" t="s">
        <v>28229</v>
      </c>
      <c r="C591" s="125">
        <v>1</v>
      </c>
    </row>
    <row r="592" spans="1:3" x14ac:dyDescent="0.25">
      <c r="A592" s="125" t="s">
        <v>25485</v>
      </c>
      <c r="B592" s="125" t="s">
        <v>25333</v>
      </c>
      <c r="C592" s="125">
        <v>1</v>
      </c>
    </row>
    <row r="593" spans="1:3" x14ac:dyDescent="0.25">
      <c r="A593" s="125" t="s">
        <v>25515</v>
      </c>
      <c r="B593" s="125" t="s">
        <v>28229</v>
      </c>
      <c r="C593" s="125">
        <v>1</v>
      </c>
    </row>
    <row r="594" spans="1:3" x14ac:dyDescent="0.25">
      <c r="A594" s="125" t="s">
        <v>25497</v>
      </c>
      <c r="B594" s="125" t="s">
        <v>28221</v>
      </c>
      <c r="C594" s="125">
        <v>1</v>
      </c>
    </row>
    <row r="595" spans="1:3" x14ac:dyDescent="0.25">
      <c r="A595" s="125" t="s">
        <v>28277</v>
      </c>
      <c r="B595" s="125" t="s">
        <v>28228</v>
      </c>
      <c r="C595" s="125">
        <v>1</v>
      </c>
    </row>
    <row r="596" spans="1:3" x14ac:dyDescent="0.25">
      <c r="A596" s="125" t="s">
        <v>34</v>
      </c>
      <c r="B596" s="125" t="s">
        <v>28229</v>
      </c>
      <c r="C596" s="125">
        <v>1</v>
      </c>
    </row>
    <row r="597" spans="1:3" x14ac:dyDescent="0.25">
      <c r="A597" s="125" t="s">
        <v>23</v>
      </c>
      <c r="B597" s="125" t="s">
        <v>28336</v>
      </c>
      <c r="C597" s="125">
        <v>1</v>
      </c>
    </row>
    <row r="598" spans="1:3" x14ac:dyDescent="0.25">
      <c r="A598" s="125" t="s">
        <v>54</v>
      </c>
      <c r="B598" s="125" t="s">
        <v>28361</v>
      </c>
      <c r="C598" s="125">
        <v>1</v>
      </c>
    </row>
    <row r="599" spans="1:3" x14ac:dyDescent="0.25">
      <c r="A599" s="125" t="s">
        <v>27779</v>
      </c>
      <c r="B599" s="125" t="s">
        <v>28221</v>
      </c>
      <c r="C599" s="125">
        <v>1</v>
      </c>
    </row>
    <row r="600" spans="1:3" x14ac:dyDescent="0.25">
      <c r="A600" s="125" t="s">
        <v>28250</v>
      </c>
      <c r="B600" s="125" t="s">
        <v>28223</v>
      </c>
      <c r="C600" s="125">
        <v>1</v>
      </c>
    </row>
    <row r="601" spans="1:3" x14ac:dyDescent="0.25">
      <c r="A601" s="125" t="s">
        <v>28375</v>
      </c>
      <c r="B601" s="125" t="s">
        <v>28361</v>
      </c>
      <c r="C601" s="125">
        <v>1</v>
      </c>
    </row>
    <row r="602" spans="1:3" x14ac:dyDescent="0.25">
      <c r="A602" s="125" t="s">
        <v>54</v>
      </c>
      <c r="B602" s="125" t="s">
        <v>28222</v>
      </c>
      <c r="C602" s="125">
        <v>1</v>
      </c>
    </row>
    <row r="603" spans="1:3" x14ac:dyDescent="0.25">
      <c r="A603" s="125" t="s">
        <v>147</v>
      </c>
      <c r="B603" s="125" t="s">
        <v>28221</v>
      </c>
      <c r="C603" s="125">
        <v>1</v>
      </c>
    </row>
    <row r="604" spans="1:3" x14ac:dyDescent="0.25">
      <c r="A604" s="125" t="s">
        <v>200</v>
      </c>
      <c r="B604" s="125" t="s">
        <v>28225</v>
      </c>
      <c r="C604" s="125">
        <v>1</v>
      </c>
    </row>
    <row r="605" spans="1:3" x14ac:dyDescent="0.25">
      <c r="A605" s="125" t="s">
        <v>25376</v>
      </c>
      <c r="B605" s="125" t="s">
        <v>28285</v>
      </c>
      <c r="C605" s="125">
        <v>1</v>
      </c>
    </row>
    <row r="606" spans="1:3" x14ac:dyDescent="0.25">
      <c r="A606" s="125" t="s">
        <v>25523</v>
      </c>
      <c r="B606" s="125" t="s">
        <v>28298</v>
      </c>
      <c r="C606" s="125">
        <v>1</v>
      </c>
    </row>
    <row r="607" spans="1:3" x14ac:dyDescent="0.25">
      <c r="A607" s="125" t="s">
        <v>25400</v>
      </c>
      <c r="B607" s="125" t="s">
        <v>28249</v>
      </c>
      <c r="C607" s="125">
        <v>1</v>
      </c>
    </row>
    <row r="608" spans="1:3" x14ac:dyDescent="0.25">
      <c r="A608" s="125" t="s">
        <v>25447</v>
      </c>
      <c r="B608" s="125" t="s">
        <v>28239</v>
      </c>
      <c r="C608" s="125">
        <v>1</v>
      </c>
    </row>
    <row r="609" spans="1:3" x14ac:dyDescent="0.25">
      <c r="A609" s="125" t="s">
        <v>25481</v>
      </c>
      <c r="B609" s="125" t="s">
        <v>28228</v>
      </c>
      <c r="C609" s="125">
        <v>1</v>
      </c>
    </row>
    <row r="610" spans="1:3" x14ac:dyDescent="0.25">
      <c r="A610" s="125" t="s">
        <v>25496</v>
      </c>
      <c r="B610" s="125" t="s">
        <v>28221</v>
      </c>
      <c r="C610" s="125">
        <v>1</v>
      </c>
    </row>
    <row r="611" spans="1:3" x14ac:dyDescent="0.25">
      <c r="A611" s="125" t="s">
        <v>25487</v>
      </c>
      <c r="B611" s="125" t="s">
        <v>28221</v>
      </c>
      <c r="C611" s="125">
        <v>1</v>
      </c>
    </row>
    <row r="612" spans="1:3" x14ac:dyDescent="0.25">
      <c r="A612" s="125" t="s">
        <v>25364</v>
      </c>
      <c r="B612" s="125" t="s">
        <v>28226</v>
      </c>
      <c r="C612" s="125">
        <v>1</v>
      </c>
    </row>
    <row r="613" spans="1:3" x14ac:dyDescent="0.25">
      <c r="A613" s="125" t="s">
        <v>25479</v>
      </c>
      <c r="B613" s="125" t="s">
        <v>25333</v>
      </c>
      <c r="C613" s="125">
        <v>1</v>
      </c>
    </row>
    <row r="614" spans="1:3" x14ac:dyDescent="0.25">
      <c r="A614" s="125" t="s">
        <v>25373</v>
      </c>
      <c r="B614" s="125" t="s">
        <v>28226</v>
      </c>
      <c r="C614" s="125">
        <v>1</v>
      </c>
    </row>
    <row r="615" spans="1:3" x14ac:dyDescent="0.25">
      <c r="A615" s="125" t="s">
        <v>25492</v>
      </c>
      <c r="B615" s="125" t="s">
        <v>28239</v>
      </c>
      <c r="C615" s="125">
        <v>1</v>
      </c>
    </row>
    <row r="616" spans="1:3" x14ac:dyDescent="0.25">
      <c r="A616" s="125" t="s">
        <v>25401</v>
      </c>
      <c r="B616" s="125" t="s">
        <v>28245</v>
      </c>
      <c r="C616" s="125">
        <v>1</v>
      </c>
    </row>
    <row r="617" spans="1:3" x14ac:dyDescent="0.25">
      <c r="A617" s="125" t="s">
        <v>25362</v>
      </c>
      <c r="B617" s="125" t="s">
        <v>28242</v>
      </c>
      <c r="C617" s="125">
        <v>1</v>
      </c>
    </row>
    <row r="618" spans="1:3" x14ac:dyDescent="0.25">
      <c r="A618" s="125" t="s">
        <v>25389</v>
      </c>
      <c r="B618" s="125" t="s">
        <v>28227</v>
      </c>
      <c r="C618" s="125">
        <v>1</v>
      </c>
    </row>
    <row r="619" spans="1:3" x14ac:dyDescent="0.25">
      <c r="A619" s="125" t="s">
        <v>25455</v>
      </c>
      <c r="B619" s="125" t="s">
        <v>28225</v>
      </c>
      <c r="C619" s="125">
        <v>1</v>
      </c>
    </row>
    <row r="620" spans="1:3" x14ac:dyDescent="0.25">
      <c r="A620" s="125" t="s">
        <v>42</v>
      </c>
      <c r="B620" s="125" t="s">
        <v>25334</v>
      </c>
      <c r="C620" s="125">
        <v>1</v>
      </c>
    </row>
    <row r="621" spans="1:3" x14ac:dyDescent="0.25">
      <c r="A621" s="125" t="s">
        <v>28327</v>
      </c>
      <c r="B621" s="125" t="s">
        <v>28225</v>
      </c>
      <c r="C621" s="125">
        <v>1</v>
      </c>
    </row>
    <row r="622" spans="1:3" x14ac:dyDescent="0.25">
      <c r="A622" s="125" t="s">
        <v>28376</v>
      </c>
      <c r="B622" s="125" t="s">
        <v>25308</v>
      </c>
      <c r="C622" s="125">
        <v>1</v>
      </c>
    </row>
    <row r="623" spans="1:3" x14ac:dyDescent="0.25">
      <c r="A623" s="125" t="s">
        <v>28376</v>
      </c>
      <c r="B623" s="125" t="s">
        <v>28315</v>
      </c>
      <c r="C623" s="125">
        <v>1</v>
      </c>
    </row>
    <row r="624" spans="1:3" x14ac:dyDescent="0.25">
      <c r="A624" s="125" t="s">
        <v>25352</v>
      </c>
      <c r="B624" s="125" t="s">
        <v>28226</v>
      </c>
      <c r="C624" s="125">
        <v>1</v>
      </c>
    </row>
    <row r="625" spans="1:3" x14ac:dyDescent="0.25">
      <c r="A625" s="125" t="s">
        <v>28377</v>
      </c>
      <c r="B625" s="125" t="s">
        <v>28226</v>
      </c>
      <c r="C625" s="125">
        <v>1</v>
      </c>
    </row>
    <row r="626" spans="1:3" x14ac:dyDescent="0.25">
      <c r="A626" s="125" t="s">
        <v>28378</v>
      </c>
      <c r="B626" s="125" t="s">
        <v>28237</v>
      </c>
      <c r="C626" s="125">
        <v>1</v>
      </c>
    </row>
    <row r="627" spans="1:3" x14ac:dyDescent="0.25">
      <c r="A627" s="125" t="s">
        <v>28379</v>
      </c>
      <c r="B627" s="125" t="s">
        <v>28221</v>
      </c>
      <c r="C627" s="125">
        <v>1</v>
      </c>
    </row>
    <row r="628" spans="1:3" x14ac:dyDescent="0.25">
      <c r="A628" s="125" t="s">
        <v>28322</v>
      </c>
      <c r="B628" s="125" t="s">
        <v>28245</v>
      </c>
      <c r="C628" s="125">
        <v>1</v>
      </c>
    </row>
    <row r="629" spans="1:3" x14ac:dyDescent="0.25">
      <c r="A629" s="125" t="s">
        <v>28380</v>
      </c>
      <c r="B629" s="125" t="s">
        <v>28245</v>
      </c>
      <c r="C629" s="125">
        <v>1</v>
      </c>
    </row>
    <row r="630" spans="1:3" x14ac:dyDescent="0.25">
      <c r="A630" s="125" t="s">
        <v>28381</v>
      </c>
      <c r="B630" s="125" t="s">
        <v>28283</v>
      </c>
      <c r="C630" s="125">
        <v>1</v>
      </c>
    </row>
    <row r="631" spans="1:3" x14ac:dyDescent="0.25">
      <c r="A631" s="125" t="s">
        <v>28382</v>
      </c>
      <c r="B631" s="125" t="s">
        <v>28237</v>
      </c>
      <c r="C631" s="125">
        <v>1</v>
      </c>
    </row>
    <row r="632" spans="1:3" x14ac:dyDescent="0.25">
      <c r="A632" s="125" t="s">
        <v>28383</v>
      </c>
      <c r="B632" s="125" t="s">
        <v>28237</v>
      </c>
      <c r="C632" s="125">
        <v>1</v>
      </c>
    </row>
    <row r="633" spans="1:3" x14ac:dyDescent="0.25">
      <c r="A633" s="125" t="s">
        <v>28</v>
      </c>
      <c r="B633" s="125" t="s">
        <v>28236</v>
      </c>
      <c r="C633" s="125">
        <v>1</v>
      </c>
    </row>
    <row r="634" spans="1:3" x14ac:dyDescent="0.25">
      <c r="A634" s="125" t="s">
        <v>25423</v>
      </c>
      <c r="B634" s="125" t="s">
        <v>28384</v>
      </c>
      <c r="C634" s="125">
        <v>1</v>
      </c>
    </row>
    <row r="635" spans="1:3" x14ac:dyDescent="0.25">
      <c r="A635" s="125" t="s">
        <v>28385</v>
      </c>
      <c r="B635" s="125" t="s">
        <v>28256</v>
      </c>
      <c r="C635" s="125">
        <v>1</v>
      </c>
    </row>
    <row r="636" spans="1:3" x14ac:dyDescent="0.25">
      <c r="A636" s="125" t="s">
        <v>25494</v>
      </c>
      <c r="B636" s="125" t="s">
        <v>25333</v>
      </c>
      <c r="C636" s="125">
        <v>1</v>
      </c>
    </row>
    <row r="637" spans="1:3" x14ac:dyDescent="0.25">
      <c r="A637" s="125" t="s">
        <v>23</v>
      </c>
      <c r="B637" s="125" t="s">
        <v>28262</v>
      </c>
      <c r="C637" s="125">
        <v>1</v>
      </c>
    </row>
    <row r="638" spans="1:3" x14ac:dyDescent="0.25">
      <c r="A638" s="125" t="s">
        <v>25485</v>
      </c>
      <c r="B638" s="125" t="s">
        <v>28246</v>
      </c>
      <c r="C638" s="125">
        <v>1</v>
      </c>
    </row>
    <row r="639" spans="1:3" x14ac:dyDescent="0.25">
      <c r="A639" s="125" t="s">
        <v>28386</v>
      </c>
      <c r="B639" s="125" t="s">
        <v>28227</v>
      </c>
      <c r="C639" s="125">
        <v>1</v>
      </c>
    </row>
    <row r="640" spans="1:3" x14ac:dyDescent="0.25">
      <c r="A640" s="125" t="s">
        <v>28387</v>
      </c>
      <c r="B640" s="125" t="s">
        <v>28245</v>
      </c>
      <c r="C640" s="125">
        <v>1</v>
      </c>
    </row>
    <row r="641" spans="1:3" x14ac:dyDescent="0.25">
      <c r="A641" s="125" t="s">
        <v>25483</v>
      </c>
      <c r="B641" s="125" t="s">
        <v>25308</v>
      </c>
      <c r="C641" s="125">
        <v>1</v>
      </c>
    </row>
    <row r="642" spans="1:3" x14ac:dyDescent="0.25">
      <c r="A642" s="125" t="s">
        <v>25494</v>
      </c>
      <c r="B642" s="125" t="s">
        <v>28311</v>
      </c>
      <c r="C642" s="125">
        <v>1</v>
      </c>
    </row>
    <row r="643" spans="1:3" x14ac:dyDescent="0.25">
      <c r="A643" s="125" t="s">
        <v>22</v>
      </c>
      <c r="B643" s="125" t="s">
        <v>28236</v>
      </c>
      <c r="C643" s="125">
        <v>1</v>
      </c>
    </row>
    <row r="644" spans="1:3" x14ac:dyDescent="0.25">
      <c r="A644" s="125" t="s">
        <v>58</v>
      </c>
      <c r="B644" s="125" t="s">
        <v>25308</v>
      </c>
      <c r="C644" s="125">
        <v>1</v>
      </c>
    </row>
    <row r="645" spans="1:3" x14ac:dyDescent="0.25">
      <c r="A645" s="125" t="s">
        <v>208</v>
      </c>
      <c r="B645" s="125" t="s">
        <v>28243</v>
      </c>
      <c r="C645" s="125">
        <v>1</v>
      </c>
    </row>
    <row r="646" spans="1:3" x14ac:dyDescent="0.25">
      <c r="A646" s="125" t="s">
        <v>25439</v>
      </c>
      <c r="B646" s="125" t="s">
        <v>28326</v>
      </c>
      <c r="C646" s="125">
        <v>1</v>
      </c>
    </row>
    <row r="647" spans="1:3" x14ac:dyDescent="0.25">
      <c r="A647" s="125" t="s">
        <v>25404</v>
      </c>
      <c r="B647" s="125" t="s">
        <v>28388</v>
      </c>
      <c r="C647" s="125">
        <v>1</v>
      </c>
    </row>
    <row r="648" spans="1:3" x14ac:dyDescent="0.25">
      <c r="A648" s="125" t="s">
        <v>28389</v>
      </c>
      <c r="B648" s="125" t="s">
        <v>28226</v>
      </c>
      <c r="C648" s="125">
        <v>1</v>
      </c>
    </row>
    <row r="649" spans="1:3" x14ac:dyDescent="0.25">
      <c r="A649" s="125" t="s">
        <v>28390</v>
      </c>
      <c r="B649" s="125" t="s">
        <v>28247</v>
      </c>
      <c r="C649" s="125">
        <v>1</v>
      </c>
    </row>
    <row r="650" spans="1:3" x14ac:dyDescent="0.25">
      <c r="A650" s="125" t="s">
        <v>28391</v>
      </c>
      <c r="B650" s="125" t="s">
        <v>28225</v>
      </c>
      <c r="C650" s="125">
        <v>1</v>
      </c>
    </row>
    <row r="651" spans="1:3" x14ac:dyDescent="0.25">
      <c r="A651" s="125" t="s">
        <v>28392</v>
      </c>
      <c r="B651" s="125" t="s">
        <v>28225</v>
      </c>
      <c r="C651" s="125">
        <v>1</v>
      </c>
    </row>
    <row r="652" spans="1:3" x14ac:dyDescent="0.25">
      <c r="A652" s="125" t="s">
        <v>25489</v>
      </c>
      <c r="B652" s="125" t="s">
        <v>25308</v>
      </c>
      <c r="C652" s="125">
        <v>1</v>
      </c>
    </row>
    <row r="653" spans="1:3" x14ac:dyDescent="0.25">
      <c r="A653" s="125" t="s">
        <v>25432</v>
      </c>
      <c r="B653" s="125" t="s">
        <v>28220</v>
      </c>
      <c r="C653" s="125">
        <v>1</v>
      </c>
    </row>
    <row r="654" spans="1:3" x14ac:dyDescent="0.25">
      <c r="A654" s="125" t="s">
        <v>25398</v>
      </c>
      <c r="B654" s="125" t="s">
        <v>28256</v>
      </c>
      <c r="C654" s="125">
        <v>1</v>
      </c>
    </row>
    <row r="655" spans="1:3" x14ac:dyDescent="0.25">
      <c r="A655" s="125" t="s">
        <v>147</v>
      </c>
      <c r="B655" s="125" t="s">
        <v>28220</v>
      </c>
      <c r="C655" s="125">
        <v>1</v>
      </c>
    </row>
    <row r="656" spans="1:3" x14ac:dyDescent="0.25">
      <c r="A656" s="125" t="s">
        <v>25486</v>
      </c>
      <c r="B656" s="125" t="s">
        <v>28223</v>
      </c>
      <c r="C656" s="125">
        <v>1</v>
      </c>
    </row>
    <row r="657" spans="1:3" x14ac:dyDescent="0.25">
      <c r="A657" s="125" t="s">
        <v>25466</v>
      </c>
      <c r="B657" s="125" t="s">
        <v>28245</v>
      </c>
      <c r="C657" s="125">
        <v>1</v>
      </c>
    </row>
    <row r="658" spans="1:3" x14ac:dyDescent="0.25">
      <c r="A658" s="125" t="s">
        <v>25512</v>
      </c>
      <c r="B658" s="125" t="s">
        <v>28253</v>
      </c>
      <c r="C658" s="125">
        <v>1</v>
      </c>
    </row>
    <row r="659" spans="1:3" x14ac:dyDescent="0.25">
      <c r="A659" s="125" t="s">
        <v>25479</v>
      </c>
      <c r="B659" s="125" t="s">
        <v>28228</v>
      </c>
      <c r="C659" s="125">
        <v>1</v>
      </c>
    </row>
    <row r="660" spans="1:3" x14ac:dyDescent="0.25">
      <c r="A660" s="125" t="s">
        <v>28393</v>
      </c>
      <c r="B660" s="125" t="s">
        <v>28245</v>
      </c>
      <c r="C660" s="125">
        <v>1</v>
      </c>
    </row>
    <row r="661" spans="1:3" x14ac:dyDescent="0.25">
      <c r="A661" s="125" t="s">
        <v>25472</v>
      </c>
      <c r="B661" s="125" t="s">
        <v>25333</v>
      </c>
      <c r="C661" s="125">
        <v>1</v>
      </c>
    </row>
    <row r="662" spans="1:3" x14ac:dyDescent="0.25">
      <c r="A662" s="125" t="s">
        <v>28330</v>
      </c>
      <c r="B662" s="125" t="s">
        <v>28234</v>
      </c>
      <c r="C662" s="125">
        <v>1</v>
      </c>
    </row>
    <row r="663" spans="1:3" x14ac:dyDescent="0.25">
      <c r="A663" s="125" t="s">
        <v>141</v>
      </c>
      <c r="B663" s="125" t="s">
        <v>28247</v>
      </c>
      <c r="C663" s="125">
        <v>1</v>
      </c>
    </row>
    <row r="664" spans="1:3" x14ac:dyDescent="0.25">
      <c r="A664" s="125" t="s">
        <v>123</v>
      </c>
      <c r="B664" s="125" t="s">
        <v>28220</v>
      </c>
      <c r="C664" s="125">
        <v>1</v>
      </c>
    </row>
    <row r="665" spans="1:3" x14ac:dyDescent="0.25">
      <c r="A665" s="125" t="s">
        <v>25427</v>
      </c>
      <c r="B665" s="125" t="s">
        <v>28279</v>
      </c>
      <c r="C665" s="125">
        <v>1</v>
      </c>
    </row>
    <row r="666" spans="1:3" x14ac:dyDescent="0.25">
      <c r="A666" s="125" t="s">
        <v>197</v>
      </c>
      <c r="B666" s="125" t="s">
        <v>28299</v>
      </c>
      <c r="C666" s="125">
        <v>1</v>
      </c>
    </row>
    <row r="667" spans="1:3" x14ac:dyDescent="0.25">
      <c r="A667" s="125" t="s">
        <v>43</v>
      </c>
      <c r="B667" s="125" t="s">
        <v>25335</v>
      </c>
      <c r="C667" s="125">
        <v>1</v>
      </c>
    </row>
    <row r="668" spans="1:3" x14ac:dyDescent="0.25">
      <c r="A668" s="125" t="s">
        <v>25503</v>
      </c>
      <c r="B668" s="125" t="s">
        <v>28301</v>
      </c>
      <c r="C668" s="125">
        <v>1</v>
      </c>
    </row>
    <row r="669" spans="1:3" x14ac:dyDescent="0.25">
      <c r="A669" s="125" t="s">
        <v>215</v>
      </c>
      <c r="B669" s="125" t="s">
        <v>28311</v>
      </c>
      <c r="C669" s="125">
        <v>1</v>
      </c>
    </row>
    <row r="670" spans="1:3" x14ac:dyDescent="0.25">
      <c r="A670" s="125" t="s">
        <v>25366</v>
      </c>
      <c r="B670" s="125" t="s">
        <v>28272</v>
      </c>
      <c r="C670" s="125">
        <v>1</v>
      </c>
    </row>
    <row r="671" spans="1:3" x14ac:dyDescent="0.25">
      <c r="A671" s="125" t="s">
        <v>25349</v>
      </c>
      <c r="B671" s="125" t="s">
        <v>28313</v>
      </c>
      <c r="C671" s="125">
        <v>1</v>
      </c>
    </row>
    <row r="672" spans="1:3" x14ac:dyDescent="0.25">
      <c r="A672" s="125" t="s">
        <v>25366</v>
      </c>
      <c r="B672" s="125" t="s">
        <v>28356</v>
      </c>
      <c r="C672" s="125">
        <v>1</v>
      </c>
    </row>
    <row r="673" spans="1:3" x14ac:dyDescent="0.25">
      <c r="A673" s="125" t="s">
        <v>107</v>
      </c>
      <c r="B673" s="125" t="s">
        <v>28297</v>
      </c>
      <c r="C673" s="125">
        <v>1</v>
      </c>
    </row>
    <row r="674" spans="1:3" x14ac:dyDescent="0.25">
      <c r="A674" s="125" t="s">
        <v>25378</v>
      </c>
      <c r="B674" s="125" t="s">
        <v>25308</v>
      </c>
      <c r="C674" s="125">
        <v>1</v>
      </c>
    </row>
    <row r="675" spans="1:3" x14ac:dyDescent="0.25">
      <c r="A675" s="125" t="s">
        <v>28394</v>
      </c>
      <c r="B675" s="125" t="s">
        <v>28223</v>
      </c>
      <c r="C675" s="125">
        <v>1</v>
      </c>
    </row>
    <row r="676" spans="1:3" x14ac:dyDescent="0.25">
      <c r="A676" s="125" t="s">
        <v>25498</v>
      </c>
      <c r="B676" s="125" t="s">
        <v>25333</v>
      </c>
      <c r="C676" s="125">
        <v>1</v>
      </c>
    </row>
    <row r="677" spans="1:3" x14ac:dyDescent="0.25">
      <c r="A677" s="125" t="s">
        <v>25411</v>
      </c>
      <c r="B677" s="125" t="s">
        <v>28279</v>
      </c>
      <c r="C677" s="125">
        <v>1</v>
      </c>
    </row>
    <row r="678" spans="1:3" x14ac:dyDescent="0.25">
      <c r="A678" s="125" t="s">
        <v>25410</v>
      </c>
      <c r="B678" s="125" t="s">
        <v>28272</v>
      </c>
      <c r="C678" s="125">
        <v>1</v>
      </c>
    </row>
    <row r="679" spans="1:3" x14ac:dyDescent="0.25">
      <c r="A679" s="125" t="s">
        <v>25469</v>
      </c>
      <c r="B679" s="125" t="s">
        <v>28222</v>
      </c>
      <c r="C679" s="125">
        <v>1</v>
      </c>
    </row>
    <row r="680" spans="1:3" x14ac:dyDescent="0.25">
      <c r="A680" s="125" t="s">
        <v>25472</v>
      </c>
      <c r="B680" s="125" t="s">
        <v>28283</v>
      </c>
      <c r="C680" s="125">
        <v>1</v>
      </c>
    </row>
    <row r="681" spans="1:3" x14ac:dyDescent="0.25">
      <c r="A681" s="125" t="s">
        <v>25363</v>
      </c>
      <c r="B681" s="125" t="s">
        <v>28227</v>
      </c>
      <c r="C681" s="125">
        <v>1</v>
      </c>
    </row>
    <row r="682" spans="1:3" x14ac:dyDescent="0.25">
      <c r="A682" s="125" t="s">
        <v>25371</v>
      </c>
      <c r="B682" s="125" t="s">
        <v>25333</v>
      </c>
      <c r="C682" s="125">
        <v>1</v>
      </c>
    </row>
    <row r="683" spans="1:3" x14ac:dyDescent="0.25">
      <c r="A683" s="125" t="s">
        <v>201</v>
      </c>
      <c r="B683" s="125" t="s">
        <v>25335</v>
      </c>
      <c r="C683" s="125">
        <v>1</v>
      </c>
    </row>
    <row r="684" spans="1:3" x14ac:dyDescent="0.25">
      <c r="A684" s="125" t="s">
        <v>25372</v>
      </c>
      <c r="B684" s="125" t="s">
        <v>28229</v>
      </c>
      <c r="C684" s="125">
        <v>1</v>
      </c>
    </row>
    <row r="685" spans="1:3" x14ac:dyDescent="0.25">
      <c r="A685" s="125" t="s">
        <v>25354</v>
      </c>
      <c r="B685" s="125" t="s">
        <v>28241</v>
      </c>
      <c r="C685" s="125">
        <v>1</v>
      </c>
    </row>
    <row r="686" spans="1:3" x14ac:dyDescent="0.25">
      <c r="A686" s="125" t="s">
        <v>42</v>
      </c>
      <c r="B686" s="125" t="s">
        <v>28235</v>
      </c>
      <c r="C686" s="125">
        <v>1</v>
      </c>
    </row>
    <row r="687" spans="1:3" x14ac:dyDescent="0.25">
      <c r="A687" s="125" t="s">
        <v>215</v>
      </c>
      <c r="B687" s="125" t="s">
        <v>25335</v>
      </c>
      <c r="C687" s="125">
        <v>1</v>
      </c>
    </row>
    <row r="688" spans="1:3" x14ac:dyDescent="0.25">
      <c r="A688" s="125" t="s">
        <v>25354</v>
      </c>
      <c r="B688" s="125" t="s">
        <v>28235</v>
      </c>
      <c r="C688" s="125">
        <v>1</v>
      </c>
    </row>
    <row r="689" spans="1:3" x14ac:dyDescent="0.25">
      <c r="A689" s="125" t="s">
        <v>25346</v>
      </c>
      <c r="B689" s="125" t="s">
        <v>28242</v>
      </c>
      <c r="C689" s="125">
        <v>1</v>
      </c>
    </row>
    <row r="690" spans="1:3" x14ac:dyDescent="0.25">
      <c r="A690" s="125" t="s">
        <v>52</v>
      </c>
      <c r="B690" s="125" t="s">
        <v>28299</v>
      </c>
      <c r="C690" s="125">
        <v>1</v>
      </c>
    </row>
    <row r="691" spans="1:3" x14ac:dyDescent="0.25">
      <c r="A691" s="125" t="s">
        <v>100</v>
      </c>
      <c r="B691" s="125" t="s">
        <v>28283</v>
      </c>
      <c r="C691" s="125">
        <v>1</v>
      </c>
    </row>
    <row r="692" spans="1:3" x14ac:dyDescent="0.25">
      <c r="A692" s="125" t="s">
        <v>43</v>
      </c>
      <c r="B692" s="125" t="s">
        <v>28311</v>
      </c>
      <c r="C692" s="125">
        <v>1</v>
      </c>
    </row>
    <row r="693" spans="1:3" x14ac:dyDescent="0.25">
      <c r="A693" s="125" t="s">
        <v>28395</v>
      </c>
      <c r="B693" s="125" t="s">
        <v>28285</v>
      </c>
      <c r="C693" s="125">
        <v>1</v>
      </c>
    </row>
    <row r="694" spans="1:3" x14ac:dyDescent="0.25">
      <c r="A694" s="125" t="s">
        <v>25354</v>
      </c>
      <c r="B694" s="125" t="s">
        <v>28336</v>
      </c>
      <c r="C694" s="125">
        <v>1</v>
      </c>
    </row>
    <row r="695" spans="1:3" x14ac:dyDescent="0.25">
      <c r="A695" s="125" t="s">
        <v>28273</v>
      </c>
      <c r="B695" s="125" t="s">
        <v>28269</v>
      </c>
      <c r="C695" s="125">
        <v>1</v>
      </c>
    </row>
    <row r="696" spans="1:3" x14ac:dyDescent="0.25">
      <c r="A696" s="125" t="s">
        <v>25341</v>
      </c>
      <c r="B696" s="125" t="s">
        <v>25308</v>
      </c>
      <c r="C696" s="125">
        <v>1</v>
      </c>
    </row>
    <row r="697" spans="1:3" x14ac:dyDescent="0.25">
      <c r="A697" s="125" t="s">
        <v>28268</v>
      </c>
      <c r="B697" s="125" t="s">
        <v>28283</v>
      </c>
      <c r="C697" s="125">
        <v>1</v>
      </c>
    </row>
    <row r="698" spans="1:3" x14ac:dyDescent="0.25">
      <c r="A698" s="125" t="s">
        <v>42</v>
      </c>
      <c r="B698" s="125" t="s">
        <v>25335</v>
      </c>
      <c r="C698" s="125">
        <v>1</v>
      </c>
    </row>
    <row r="699" spans="1:3" x14ac:dyDescent="0.25">
      <c r="A699" s="125" t="s">
        <v>25374</v>
      </c>
      <c r="B699" s="125" t="s">
        <v>28231</v>
      </c>
      <c r="C699" s="125">
        <v>1</v>
      </c>
    </row>
    <row r="700" spans="1:3" x14ac:dyDescent="0.25">
      <c r="A700" s="125" t="s">
        <v>96</v>
      </c>
      <c r="B700" s="125" t="s">
        <v>28239</v>
      </c>
      <c r="C700" s="125">
        <v>1</v>
      </c>
    </row>
    <row r="701" spans="1:3" x14ac:dyDescent="0.25">
      <c r="A701" s="125" t="s">
        <v>28352</v>
      </c>
      <c r="B701" s="125" t="s">
        <v>28301</v>
      </c>
      <c r="C701" s="125">
        <v>1</v>
      </c>
    </row>
    <row r="702" spans="1:3" x14ac:dyDescent="0.25">
      <c r="A702" s="125" t="s">
        <v>25411</v>
      </c>
      <c r="B702" s="125" t="s">
        <v>28238</v>
      </c>
      <c r="C702" s="125">
        <v>1</v>
      </c>
    </row>
    <row r="703" spans="1:3" x14ac:dyDescent="0.25">
      <c r="A703" s="125" t="s">
        <v>28396</v>
      </c>
      <c r="B703" s="125" t="s">
        <v>28371</v>
      </c>
      <c r="C703" s="125">
        <v>1</v>
      </c>
    </row>
    <row r="704" spans="1:3" x14ac:dyDescent="0.25">
      <c r="A704" s="125" t="s">
        <v>197</v>
      </c>
      <c r="B704" s="125" t="s">
        <v>28313</v>
      </c>
      <c r="C704" s="125">
        <v>1</v>
      </c>
    </row>
    <row r="705" spans="1:3" x14ac:dyDescent="0.25">
      <c r="A705" s="125" t="s">
        <v>25469</v>
      </c>
      <c r="B705" s="125" t="s">
        <v>28397</v>
      </c>
      <c r="C705" s="125">
        <v>1</v>
      </c>
    </row>
    <row r="706" spans="1:3" x14ac:dyDescent="0.25">
      <c r="A706" s="125" t="s">
        <v>25504</v>
      </c>
      <c r="B706" s="125" t="s">
        <v>28237</v>
      </c>
      <c r="C706" s="125">
        <v>1</v>
      </c>
    </row>
    <row r="707" spans="1:3" x14ac:dyDescent="0.25">
      <c r="A707" s="125" t="s">
        <v>25505</v>
      </c>
      <c r="B707" s="125" t="s">
        <v>25308</v>
      </c>
      <c r="C707" s="125">
        <v>1</v>
      </c>
    </row>
    <row r="708" spans="1:3" x14ac:dyDescent="0.25">
      <c r="A708" s="125" t="s">
        <v>25520</v>
      </c>
      <c r="B708" s="125" t="s">
        <v>28247</v>
      </c>
      <c r="C708" s="125">
        <v>1</v>
      </c>
    </row>
    <row r="709" spans="1:3" x14ac:dyDescent="0.25">
      <c r="A709" s="125" t="s">
        <v>28398</v>
      </c>
      <c r="B709" s="125" t="s">
        <v>28311</v>
      </c>
      <c r="C709" s="125">
        <v>1</v>
      </c>
    </row>
    <row r="710" spans="1:3" x14ac:dyDescent="0.25">
      <c r="A710" s="125" t="s">
        <v>25409</v>
      </c>
      <c r="B710" s="125" t="s">
        <v>28234</v>
      </c>
      <c r="C710" s="125">
        <v>1</v>
      </c>
    </row>
    <row r="711" spans="1:3" x14ac:dyDescent="0.25">
      <c r="A711" s="125" t="s">
        <v>25410</v>
      </c>
      <c r="B711" s="125" t="s">
        <v>28316</v>
      </c>
      <c r="C711" s="125">
        <v>1</v>
      </c>
    </row>
    <row r="712" spans="1:3" x14ac:dyDescent="0.25">
      <c r="A712" s="125" t="s">
        <v>43</v>
      </c>
      <c r="B712" s="125" t="s">
        <v>28287</v>
      </c>
      <c r="C712" s="125">
        <v>1</v>
      </c>
    </row>
    <row r="713" spans="1:3" x14ac:dyDescent="0.25">
      <c r="A713" s="125" t="s">
        <v>197</v>
      </c>
      <c r="B713" s="125" t="s">
        <v>28256</v>
      </c>
      <c r="C713" s="125">
        <v>1</v>
      </c>
    </row>
    <row r="714" spans="1:3" x14ac:dyDescent="0.25">
      <c r="A714" s="125" t="s">
        <v>1</v>
      </c>
      <c r="B714" s="125" t="s">
        <v>28246</v>
      </c>
      <c r="C714" s="125">
        <v>1</v>
      </c>
    </row>
    <row r="715" spans="1:3" x14ac:dyDescent="0.25">
      <c r="A715" s="125" t="s">
        <v>25469</v>
      </c>
      <c r="B715" s="125" t="s">
        <v>25332</v>
      </c>
      <c r="C715" s="125">
        <v>1</v>
      </c>
    </row>
    <row r="716" spans="1:3" x14ac:dyDescent="0.25">
      <c r="A716" s="125" t="s">
        <v>28399</v>
      </c>
      <c r="B716" s="125" t="s">
        <v>28249</v>
      </c>
      <c r="C716" s="125">
        <v>1</v>
      </c>
    </row>
    <row r="717" spans="1:3" x14ac:dyDescent="0.25">
      <c r="A717" s="125" t="s">
        <v>25411</v>
      </c>
      <c r="B717" s="125" t="s">
        <v>28299</v>
      </c>
      <c r="C717" s="125">
        <v>1</v>
      </c>
    </row>
    <row r="718" spans="1:3" x14ac:dyDescent="0.25">
      <c r="A718" s="125" t="s">
        <v>43</v>
      </c>
      <c r="B718" s="125" t="s">
        <v>28264</v>
      </c>
      <c r="C718" s="125">
        <v>1</v>
      </c>
    </row>
    <row r="719" spans="1:3" x14ac:dyDescent="0.25">
      <c r="A719" s="125" t="s">
        <v>28393</v>
      </c>
      <c r="B719" s="125" t="s">
        <v>28256</v>
      </c>
      <c r="C719" s="125">
        <v>1</v>
      </c>
    </row>
    <row r="720" spans="1:3" x14ac:dyDescent="0.25">
      <c r="A720" s="125" t="s">
        <v>35</v>
      </c>
      <c r="B720" s="125" t="s">
        <v>28245</v>
      </c>
      <c r="C720" s="125">
        <v>1</v>
      </c>
    </row>
    <row r="721" spans="1:3" x14ac:dyDescent="0.25">
      <c r="A721" s="125" t="s">
        <v>25353</v>
      </c>
      <c r="B721" s="125" t="s">
        <v>28283</v>
      </c>
      <c r="C721" s="125">
        <v>1</v>
      </c>
    </row>
    <row r="722" spans="1:3" x14ac:dyDescent="0.25">
      <c r="A722" s="125" t="s">
        <v>197</v>
      </c>
      <c r="B722" s="125" t="s">
        <v>28283</v>
      </c>
      <c r="C722" s="125">
        <v>1</v>
      </c>
    </row>
    <row r="723" spans="1:3" x14ac:dyDescent="0.25">
      <c r="A723" s="125" t="s">
        <v>25485</v>
      </c>
      <c r="B723" s="125" t="s">
        <v>28236</v>
      </c>
      <c r="C723" s="125">
        <v>1</v>
      </c>
    </row>
    <row r="724" spans="1:3" x14ac:dyDescent="0.25">
      <c r="A724" s="125" t="s">
        <v>96</v>
      </c>
      <c r="B724" s="125" t="s">
        <v>28345</v>
      </c>
      <c r="C724" s="125">
        <v>1</v>
      </c>
    </row>
    <row r="725" spans="1:3" x14ac:dyDescent="0.25">
      <c r="A725" s="125" t="s">
        <v>28357</v>
      </c>
      <c r="B725" s="125" t="s">
        <v>28339</v>
      </c>
      <c r="C725" s="125">
        <v>1</v>
      </c>
    </row>
    <row r="726" spans="1:3" x14ac:dyDescent="0.25">
      <c r="A726" s="125" t="s">
        <v>28</v>
      </c>
      <c r="B726" s="125" t="s">
        <v>28283</v>
      </c>
      <c r="C726" s="125">
        <v>1</v>
      </c>
    </row>
    <row r="727" spans="1:3" x14ac:dyDescent="0.25">
      <c r="A727" s="125" t="s">
        <v>25503</v>
      </c>
      <c r="B727" s="125" t="s">
        <v>28299</v>
      </c>
      <c r="C727" s="125">
        <v>1</v>
      </c>
    </row>
    <row r="728" spans="1:3" x14ac:dyDescent="0.25">
      <c r="A728" s="125" t="s">
        <v>28400</v>
      </c>
      <c r="B728" s="125" t="s">
        <v>25308</v>
      </c>
      <c r="C728" s="125">
        <v>1</v>
      </c>
    </row>
    <row r="729" spans="1:3" x14ac:dyDescent="0.25">
      <c r="A729" s="125" t="s">
        <v>25427</v>
      </c>
      <c r="B729" s="125" t="s">
        <v>28345</v>
      </c>
      <c r="C729" s="125">
        <v>1</v>
      </c>
    </row>
    <row r="730" spans="1:3" x14ac:dyDescent="0.25">
      <c r="A730" s="125" t="s">
        <v>147</v>
      </c>
      <c r="B730" s="125" t="s">
        <v>28274</v>
      </c>
      <c r="C730" s="125">
        <v>1</v>
      </c>
    </row>
    <row r="731" spans="1:3" x14ac:dyDescent="0.25">
      <c r="A731" s="125" t="s">
        <v>25433</v>
      </c>
      <c r="B731" s="125" t="s">
        <v>28317</v>
      </c>
      <c r="C731" s="125">
        <v>1</v>
      </c>
    </row>
    <row r="732" spans="1:3" x14ac:dyDescent="0.25">
      <c r="A732" s="125" t="s">
        <v>25487</v>
      </c>
      <c r="B732" s="125" t="s">
        <v>28287</v>
      </c>
      <c r="C732" s="125">
        <v>1</v>
      </c>
    </row>
    <row r="733" spans="1:3" x14ac:dyDescent="0.25">
      <c r="A733" s="125" t="s">
        <v>25494</v>
      </c>
      <c r="B733" s="125" t="s">
        <v>28279</v>
      </c>
      <c r="C733" s="125">
        <v>1</v>
      </c>
    </row>
    <row r="734" spans="1:3" x14ac:dyDescent="0.25">
      <c r="A734" s="125" t="s">
        <v>25524</v>
      </c>
      <c r="B734" s="125" t="s">
        <v>28340</v>
      </c>
      <c r="C734" s="125">
        <v>1</v>
      </c>
    </row>
    <row r="735" spans="1:3" x14ac:dyDescent="0.25">
      <c r="A735" s="125" t="s">
        <v>25434</v>
      </c>
      <c r="B735" s="125" t="s">
        <v>28223</v>
      </c>
      <c r="C735" s="125">
        <v>1</v>
      </c>
    </row>
    <row r="736" spans="1:3" x14ac:dyDescent="0.25">
      <c r="A736" s="125" t="s">
        <v>25486</v>
      </c>
      <c r="B736" s="125" t="s">
        <v>28348</v>
      </c>
      <c r="C736" s="125">
        <v>1</v>
      </c>
    </row>
    <row r="737" spans="1:3" x14ac:dyDescent="0.25">
      <c r="A737" s="125" t="s">
        <v>25463</v>
      </c>
      <c r="B737" s="125" t="s">
        <v>28282</v>
      </c>
      <c r="C737" s="125">
        <v>1</v>
      </c>
    </row>
    <row r="738" spans="1:3" x14ac:dyDescent="0.25">
      <c r="A738" s="125" t="s">
        <v>25472</v>
      </c>
      <c r="B738" s="125" t="s">
        <v>28226</v>
      </c>
      <c r="C738" s="125">
        <v>1</v>
      </c>
    </row>
    <row r="739" spans="1:3" x14ac:dyDescent="0.25">
      <c r="A739" s="125" t="s">
        <v>25411</v>
      </c>
      <c r="B739" s="125" t="s">
        <v>25308</v>
      </c>
      <c r="C739" s="125">
        <v>1</v>
      </c>
    </row>
    <row r="740" spans="1:3" x14ac:dyDescent="0.25">
      <c r="A740" s="125" t="s">
        <v>28375</v>
      </c>
      <c r="B740" s="125" t="s">
        <v>28222</v>
      </c>
      <c r="C740" s="125">
        <v>1</v>
      </c>
    </row>
    <row r="741" spans="1:3" x14ac:dyDescent="0.25">
      <c r="A741" s="125" t="s">
        <v>25340</v>
      </c>
      <c r="B741" s="125" t="s">
        <v>28223</v>
      </c>
      <c r="C741" s="125">
        <v>1</v>
      </c>
    </row>
    <row r="742" spans="1:3" x14ac:dyDescent="0.25">
      <c r="A742" s="125" t="s">
        <v>25527</v>
      </c>
      <c r="B742" s="125" t="s">
        <v>28241</v>
      </c>
      <c r="C742" s="125">
        <v>1</v>
      </c>
    </row>
    <row r="743" spans="1:3" x14ac:dyDescent="0.25">
      <c r="A743" s="125" t="s">
        <v>25463</v>
      </c>
      <c r="B743" s="125" t="s">
        <v>28372</v>
      </c>
      <c r="C743" s="125">
        <v>1</v>
      </c>
    </row>
    <row r="744" spans="1:3" x14ac:dyDescent="0.25">
      <c r="A744" s="125" t="s">
        <v>25527</v>
      </c>
      <c r="B744" s="125" t="s">
        <v>28235</v>
      </c>
      <c r="C744" s="125">
        <v>1</v>
      </c>
    </row>
    <row r="745" spans="1:3" x14ac:dyDescent="0.25">
      <c r="A745" s="125" t="s">
        <v>25347</v>
      </c>
      <c r="B745" s="125" t="s">
        <v>28275</v>
      </c>
      <c r="C745" s="125">
        <v>1</v>
      </c>
    </row>
    <row r="746" spans="1:3" x14ac:dyDescent="0.25">
      <c r="A746" s="125" t="s">
        <v>25360</v>
      </c>
      <c r="B746" s="125" t="s">
        <v>28354</v>
      </c>
      <c r="C746" s="125">
        <v>1</v>
      </c>
    </row>
    <row r="747" spans="1:3" x14ac:dyDescent="0.25">
      <c r="A747" s="125" t="s">
        <v>25364</v>
      </c>
      <c r="B747" s="125" t="s">
        <v>28256</v>
      </c>
      <c r="C747" s="125">
        <v>1</v>
      </c>
    </row>
    <row r="748" spans="1:3" x14ac:dyDescent="0.25">
      <c r="A748" s="125" t="s">
        <v>25486</v>
      </c>
      <c r="B748" s="125" t="s">
        <v>25333</v>
      </c>
      <c r="C748" s="125">
        <v>1</v>
      </c>
    </row>
    <row r="749" spans="1:3" x14ac:dyDescent="0.25">
      <c r="A749" s="125" t="s">
        <v>25363</v>
      </c>
      <c r="B749" s="125" t="s">
        <v>28336</v>
      </c>
      <c r="C749" s="125">
        <v>1</v>
      </c>
    </row>
    <row r="750" spans="1:3" x14ac:dyDescent="0.25">
      <c r="A750" s="125" t="s">
        <v>25487</v>
      </c>
      <c r="B750" s="125" t="s">
        <v>28263</v>
      </c>
      <c r="C750" s="125">
        <v>1</v>
      </c>
    </row>
    <row r="751" spans="1:3" x14ac:dyDescent="0.25">
      <c r="A751" s="125" t="s">
        <v>25533</v>
      </c>
      <c r="B751" s="125" t="s">
        <v>28269</v>
      </c>
      <c r="C751" s="125">
        <v>1</v>
      </c>
    </row>
    <row r="752" spans="1:3" x14ac:dyDescent="0.25">
      <c r="A752" s="125" t="s">
        <v>25360</v>
      </c>
      <c r="B752" s="125" t="s">
        <v>28226</v>
      </c>
      <c r="C752" s="125">
        <v>1</v>
      </c>
    </row>
    <row r="753" spans="1:3" x14ac:dyDescent="0.25">
      <c r="A753" s="125" t="s">
        <v>25410</v>
      </c>
      <c r="B753" s="125" t="s">
        <v>28253</v>
      </c>
      <c r="C753" s="125">
        <v>1</v>
      </c>
    </row>
    <row r="754" spans="1:3" x14ac:dyDescent="0.25">
      <c r="A754" s="125" t="s">
        <v>25499</v>
      </c>
      <c r="B754" s="125" t="s">
        <v>28237</v>
      </c>
      <c r="C754" s="125">
        <v>1</v>
      </c>
    </row>
    <row r="755" spans="1:3" x14ac:dyDescent="0.25">
      <c r="A755" s="125" t="s">
        <v>25343</v>
      </c>
      <c r="B755" s="125" t="s">
        <v>28227</v>
      </c>
      <c r="C755" s="125">
        <v>1</v>
      </c>
    </row>
    <row r="756" spans="1:3" x14ac:dyDescent="0.25">
      <c r="A756" s="125" t="s">
        <v>25360</v>
      </c>
      <c r="B756" s="125" t="s">
        <v>28351</v>
      </c>
      <c r="C756" s="125">
        <v>1</v>
      </c>
    </row>
    <row r="757" spans="1:3" x14ac:dyDescent="0.25">
      <c r="A757" s="125" t="s">
        <v>25370</v>
      </c>
      <c r="B757" s="125" t="s">
        <v>28226</v>
      </c>
      <c r="C757" s="125">
        <v>1</v>
      </c>
    </row>
    <row r="758" spans="1:3" x14ac:dyDescent="0.25">
      <c r="A758" s="125" t="s">
        <v>25369</v>
      </c>
      <c r="B758" s="125" t="s">
        <v>28351</v>
      </c>
      <c r="C758" s="125">
        <v>1</v>
      </c>
    </row>
    <row r="759" spans="1:3" x14ac:dyDescent="0.25">
      <c r="A759" s="125" t="s">
        <v>25370</v>
      </c>
      <c r="B759" s="125" t="s">
        <v>28225</v>
      </c>
      <c r="C759" s="125">
        <v>1</v>
      </c>
    </row>
    <row r="760" spans="1:3" x14ac:dyDescent="0.25">
      <c r="A760" s="125" t="s">
        <v>25378</v>
      </c>
      <c r="B760" s="125" t="s">
        <v>28237</v>
      </c>
      <c r="C760" s="125">
        <v>1</v>
      </c>
    </row>
    <row r="761" spans="1:3" x14ac:dyDescent="0.25">
      <c r="A761" s="125" t="s">
        <v>25394</v>
      </c>
      <c r="B761" s="125" t="s">
        <v>28247</v>
      </c>
      <c r="C761" s="125">
        <v>1</v>
      </c>
    </row>
    <row r="762" spans="1:3" x14ac:dyDescent="0.25">
      <c r="A762" s="125" t="s">
        <v>25463</v>
      </c>
      <c r="B762" s="125" t="s">
        <v>28254</v>
      </c>
      <c r="C762" s="125">
        <v>1</v>
      </c>
    </row>
    <row r="763" spans="1:3" x14ac:dyDescent="0.25">
      <c r="A763" s="125" t="s">
        <v>25471</v>
      </c>
      <c r="B763" s="125" t="s">
        <v>28263</v>
      </c>
      <c r="C763" s="125">
        <v>1</v>
      </c>
    </row>
    <row r="764" spans="1:3" x14ac:dyDescent="0.25">
      <c r="A764" s="125" t="s">
        <v>34</v>
      </c>
      <c r="B764" s="125" t="s">
        <v>28344</v>
      </c>
      <c r="C764" s="125">
        <v>1</v>
      </c>
    </row>
    <row r="765" spans="1:3" x14ac:dyDescent="0.25">
      <c r="A765" s="125" t="s">
        <v>28331</v>
      </c>
      <c r="B765" s="125" t="s">
        <v>28285</v>
      </c>
      <c r="C765" s="125">
        <v>1</v>
      </c>
    </row>
    <row r="766" spans="1:3" x14ac:dyDescent="0.25">
      <c r="A766" s="125" t="s">
        <v>25488</v>
      </c>
      <c r="B766" s="125" t="s">
        <v>28229</v>
      </c>
      <c r="C766" s="125">
        <v>1</v>
      </c>
    </row>
    <row r="767" spans="1:3" x14ac:dyDescent="0.25">
      <c r="A767" s="125" t="s">
        <v>25352</v>
      </c>
      <c r="B767" s="125" t="s">
        <v>25308</v>
      </c>
      <c r="C767" s="125">
        <v>1</v>
      </c>
    </row>
    <row r="768" spans="1:3" x14ac:dyDescent="0.25">
      <c r="A768" s="125" t="s">
        <v>28368</v>
      </c>
      <c r="B768" s="125" t="s">
        <v>28361</v>
      </c>
      <c r="C768" s="125">
        <v>1</v>
      </c>
    </row>
    <row r="769" spans="1:3" x14ac:dyDescent="0.25">
      <c r="A769" s="125" t="s">
        <v>28331</v>
      </c>
      <c r="B769" s="125" t="s">
        <v>28356</v>
      </c>
      <c r="C769" s="125">
        <v>1</v>
      </c>
    </row>
    <row r="770" spans="1:3" x14ac:dyDescent="0.25">
      <c r="A770" s="125" t="s">
        <v>25503</v>
      </c>
      <c r="B770" s="125" t="s">
        <v>28351</v>
      </c>
      <c r="C770" s="125">
        <v>1</v>
      </c>
    </row>
    <row r="771" spans="1:3" x14ac:dyDescent="0.25">
      <c r="A771" s="125" t="s">
        <v>25505</v>
      </c>
      <c r="B771" s="125" t="s">
        <v>28401</v>
      </c>
      <c r="C771" s="125">
        <v>1</v>
      </c>
    </row>
    <row r="772" spans="1:3" x14ac:dyDescent="0.25">
      <c r="A772" s="125" t="s">
        <v>1</v>
      </c>
      <c r="B772" s="125" t="s">
        <v>28235</v>
      </c>
      <c r="C772" s="125">
        <v>1</v>
      </c>
    </row>
    <row r="773" spans="1:3" x14ac:dyDescent="0.25">
      <c r="A773" s="125" t="s">
        <v>25504</v>
      </c>
      <c r="B773" s="125" t="s">
        <v>28287</v>
      </c>
      <c r="C773" s="125">
        <v>1</v>
      </c>
    </row>
    <row r="774" spans="1:3" x14ac:dyDescent="0.25">
      <c r="A774" s="125" t="s">
        <v>25442</v>
      </c>
      <c r="B774" s="125" t="s">
        <v>28222</v>
      </c>
      <c r="C774" s="125">
        <v>1</v>
      </c>
    </row>
    <row r="775" spans="1:3" x14ac:dyDescent="0.25">
      <c r="A775" s="125" t="s">
        <v>25443</v>
      </c>
      <c r="B775" s="125" t="s">
        <v>28247</v>
      </c>
      <c r="C775" s="125">
        <v>1</v>
      </c>
    </row>
    <row r="776" spans="1:3" x14ac:dyDescent="0.25">
      <c r="A776" s="125" t="s">
        <v>25341</v>
      </c>
      <c r="B776" s="125" t="s">
        <v>28283</v>
      </c>
      <c r="C776" s="125">
        <v>1</v>
      </c>
    </row>
    <row r="777" spans="1:3" x14ac:dyDescent="0.25">
      <c r="A777" s="125" t="s">
        <v>25453</v>
      </c>
      <c r="B777" s="125" t="s">
        <v>25308</v>
      </c>
      <c r="C777" s="125">
        <v>1</v>
      </c>
    </row>
    <row r="778" spans="1:3" x14ac:dyDescent="0.25">
      <c r="A778" s="125" t="s">
        <v>28402</v>
      </c>
      <c r="B778" s="125" t="s">
        <v>28229</v>
      </c>
      <c r="C778" s="125">
        <v>1</v>
      </c>
    </row>
    <row r="779" spans="1:3" x14ac:dyDescent="0.25">
      <c r="A779" s="125" t="s">
        <v>28331</v>
      </c>
      <c r="B779" s="125" t="s">
        <v>28298</v>
      </c>
      <c r="C779" s="125">
        <v>1</v>
      </c>
    </row>
    <row r="780" spans="1:3" x14ac:dyDescent="0.25">
      <c r="A780" s="125" t="s">
        <v>25374</v>
      </c>
      <c r="B780" s="125" t="s">
        <v>28221</v>
      </c>
      <c r="C780" s="125">
        <v>1</v>
      </c>
    </row>
    <row r="781" spans="1:3" x14ac:dyDescent="0.25">
      <c r="A781" s="125" t="s">
        <v>25512</v>
      </c>
      <c r="B781" s="125" t="s">
        <v>28358</v>
      </c>
      <c r="C781" s="125">
        <v>1</v>
      </c>
    </row>
    <row r="782" spans="1:3" x14ac:dyDescent="0.25">
      <c r="A782" s="125" t="s">
        <v>28403</v>
      </c>
      <c r="B782" s="125" t="s">
        <v>28231</v>
      </c>
      <c r="C782" s="125">
        <v>1</v>
      </c>
    </row>
    <row r="783" spans="1:3" x14ac:dyDescent="0.25">
      <c r="A783" s="125" t="s">
        <v>25393</v>
      </c>
      <c r="B783" s="125" t="s">
        <v>28247</v>
      </c>
      <c r="C783" s="125">
        <v>1</v>
      </c>
    </row>
    <row r="784" spans="1:3" x14ac:dyDescent="0.25">
      <c r="A784" s="125" t="s">
        <v>197</v>
      </c>
      <c r="B784" s="125" t="s">
        <v>28279</v>
      </c>
      <c r="C784" s="125">
        <v>1</v>
      </c>
    </row>
    <row r="785" spans="1:3" x14ac:dyDescent="0.25">
      <c r="A785" s="125" t="s">
        <v>25360</v>
      </c>
      <c r="B785" s="125" t="s">
        <v>28374</v>
      </c>
      <c r="C785" s="125">
        <v>1</v>
      </c>
    </row>
    <row r="786" spans="1:3" x14ac:dyDescent="0.25">
      <c r="A786" s="125" t="s">
        <v>25360</v>
      </c>
      <c r="B786" s="125" t="s">
        <v>28332</v>
      </c>
      <c r="C786" s="125">
        <v>1</v>
      </c>
    </row>
    <row r="787" spans="1:3" x14ac:dyDescent="0.25">
      <c r="A787" s="125" t="s">
        <v>25527</v>
      </c>
      <c r="B787" s="125" t="s">
        <v>25334</v>
      </c>
      <c r="C787" s="125">
        <v>1</v>
      </c>
    </row>
    <row r="788" spans="1:3" x14ac:dyDescent="0.25">
      <c r="A788" s="125" t="s">
        <v>25463</v>
      </c>
      <c r="B788" s="125" t="s">
        <v>28283</v>
      </c>
      <c r="C788" s="125">
        <v>1</v>
      </c>
    </row>
    <row r="789" spans="1:3" x14ac:dyDescent="0.25">
      <c r="A789" s="125" t="s">
        <v>25527</v>
      </c>
      <c r="B789" s="125" t="s">
        <v>28242</v>
      </c>
      <c r="C789" s="125">
        <v>1</v>
      </c>
    </row>
    <row r="790" spans="1:3" x14ac:dyDescent="0.25">
      <c r="A790" s="125" t="s">
        <v>25341</v>
      </c>
      <c r="B790" s="125" t="s">
        <v>28313</v>
      </c>
      <c r="C790" s="125">
        <v>1</v>
      </c>
    </row>
    <row r="791" spans="1:3" x14ac:dyDescent="0.25">
      <c r="A791" s="125" t="s">
        <v>107</v>
      </c>
      <c r="B791" s="125" t="s">
        <v>28226</v>
      </c>
      <c r="C791" s="125">
        <v>1</v>
      </c>
    </row>
    <row r="792" spans="1:3" x14ac:dyDescent="0.25">
      <c r="A792" s="125" t="s">
        <v>25356</v>
      </c>
      <c r="B792" s="125" t="s">
        <v>25308</v>
      </c>
      <c r="C792" s="125">
        <v>1</v>
      </c>
    </row>
    <row r="793" spans="1:3" x14ac:dyDescent="0.25">
      <c r="A793" s="125" t="s">
        <v>25478</v>
      </c>
      <c r="B793" s="125" t="s">
        <v>28374</v>
      </c>
      <c r="C793" s="125">
        <v>1</v>
      </c>
    </row>
    <row r="794" spans="1:3" x14ac:dyDescent="0.25">
      <c r="A794" s="125" t="s">
        <v>58</v>
      </c>
      <c r="B794" s="125" t="s">
        <v>28283</v>
      </c>
      <c r="C794" s="125">
        <v>1</v>
      </c>
    </row>
    <row r="795" spans="1:3" x14ac:dyDescent="0.25">
      <c r="A795" s="125" t="s">
        <v>107</v>
      </c>
      <c r="B795" s="125" t="s">
        <v>28242</v>
      </c>
      <c r="C795" s="125">
        <v>1</v>
      </c>
    </row>
    <row r="796" spans="1:3" x14ac:dyDescent="0.25">
      <c r="A796" s="125" t="s">
        <v>215</v>
      </c>
      <c r="B796" s="125" t="s">
        <v>25334</v>
      </c>
      <c r="C796" s="125">
        <v>1</v>
      </c>
    </row>
    <row r="797" spans="1:3" x14ac:dyDescent="0.25">
      <c r="A797" s="125" t="s">
        <v>25427</v>
      </c>
      <c r="B797" s="125" t="s">
        <v>28371</v>
      </c>
      <c r="C797" s="125">
        <v>1</v>
      </c>
    </row>
    <row r="798" spans="1:3" x14ac:dyDescent="0.25">
      <c r="A798" s="125" t="s">
        <v>25466</v>
      </c>
      <c r="B798" s="125" t="s">
        <v>28228</v>
      </c>
      <c r="C798" s="125">
        <v>1</v>
      </c>
    </row>
    <row r="799" spans="1:3" x14ac:dyDescent="0.25">
      <c r="A799" s="125" t="s">
        <v>25475</v>
      </c>
      <c r="B799" s="125" t="s">
        <v>28227</v>
      </c>
      <c r="C799" s="125">
        <v>1</v>
      </c>
    </row>
    <row r="800" spans="1:3" x14ac:dyDescent="0.25">
      <c r="A800" s="125" t="s">
        <v>25354</v>
      </c>
      <c r="B800" s="125" t="s">
        <v>28221</v>
      </c>
      <c r="C800" s="125">
        <v>1</v>
      </c>
    </row>
    <row r="801" spans="1:3" x14ac:dyDescent="0.25">
      <c r="A801" s="125" t="s">
        <v>194</v>
      </c>
      <c r="B801" s="125" t="s">
        <v>28286</v>
      </c>
      <c r="C801" s="125">
        <v>1</v>
      </c>
    </row>
    <row r="802" spans="1:3" x14ac:dyDescent="0.25">
      <c r="A802" s="125" t="s">
        <v>25359</v>
      </c>
      <c r="B802" s="125" t="s">
        <v>28283</v>
      </c>
      <c r="C802" s="125">
        <v>1</v>
      </c>
    </row>
    <row r="803" spans="1:3" x14ac:dyDescent="0.25">
      <c r="A803" s="125" t="s">
        <v>52</v>
      </c>
      <c r="B803" s="125" t="s">
        <v>28247</v>
      </c>
      <c r="C803" s="125">
        <v>1</v>
      </c>
    </row>
    <row r="804" spans="1:3" x14ac:dyDescent="0.25">
      <c r="A804" s="125" t="s">
        <v>96</v>
      </c>
      <c r="B804" s="125" t="s">
        <v>28298</v>
      </c>
      <c r="C804" s="125">
        <v>1</v>
      </c>
    </row>
    <row r="805" spans="1:3" x14ac:dyDescent="0.25">
      <c r="A805" s="125" t="s">
        <v>25390</v>
      </c>
      <c r="B805" s="125" t="s">
        <v>28326</v>
      </c>
      <c r="C805" s="125">
        <v>1</v>
      </c>
    </row>
    <row r="806" spans="1:3" x14ac:dyDescent="0.25">
      <c r="A806" s="125" t="s">
        <v>25354</v>
      </c>
      <c r="B806" s="125" t="s">
        <v>28223</v>
      </c>
      <c r="C806" s="125">
        <v>1</v>
      </c>
    </row>
    <row r="807" spans="1:3" x14ac:dyDescent="0.25">
      <c r="A807" s="125" t="s">
        <v>25347</v>
      </c>
      <c r="B807" s="125" t="s">
        <v>28371</v>
      </c>
      <c r="C807" s="125">
        <v>1</v>
      </c>
    </row>
    <row r="808" spans="1:3" x14ac:dyDescent="0.25">
      <c r="A808" s="125" t="s">
        <v>25433</v>
      </c>
      <c r="B808" s="125" t="s">
        <v>28221</v>
      </c>
      <c r="C808" s="125">
        <v>1</v>
      </c>
    </row>
    <row r="809" spans="1:3" x14ac:dyDescent="0.25">
      <c r="A809" s="125" t="s">
        <v>25445</v>
      </c>
      <c r="B809" s="125" t="s">
        <v>28247</v>
      </c>
      <c r="C809" s="125">
        <v>1</v>
      </c>
    </row>
    <row r="810" spans="1:3" x14ac:dyDescent="0.25">
      <c r="A810" s="125" t="s">
        <v>25347</v>
      </c>
      <c r="B810" s="125" t="s">
        <v>28220</v>
      </c>
      <c r="C810" s="125">
        <v>1</v>
      </c>
    </row>
    <row r="811" spans="1:3" x14ac:dyDescent="0.25">
      <c r="A811" s="125" t="s">
        <v>25341</v>
      </c>
      <c r="B811" s="125" t="s">
        <v>28220</v>
      </c>
      <c r="C811" s="125">
        <v>1</v>
      </c>
    </row>
    <row r="812" spans="1:3" x14ac:dyDescent="0.25">
      <c r="A812" s="125" t="s">
        <v>25350</v>
      </c>
      <c r="B812" s="125" t="s">
        <v>25308</v>
      </c>
      <c r="C812" s="125">
        <v>1</v>
      </c>
    </row>
    <row r="813" spans="1:3" x14ac:dyDescent="0.25">
      <c r="A813" s="125" t="s">
        <v>25346</v>
      </c>
      <c r="B813" s="125" t="s">
        <v>28223</v>
      </c>
      <c r="C813" s="125">
        <v>1</v>
      </c>
    </row>
    <row r="814" spans="1:3" x14ac:dyDescent="0.25">
      <c r="A814" s="125" t="s">
        <v>25427</v>
      </c>
      <c r="B814" s="125" t="s">
        <v>28299</v>
      </c>
      <c r="C814" s="125">
        <v>1</v>
      </c>
    </row>
    <row r="815" spans="1:3" x14ac:dyDescent="0.25">
      <c r="A815" s="125" t="s">
        <v>25345</v>
      </c>
      <c r="B815" s="125" t="s">
        <v>28245</v>
      </c>
      <c r="C815" s="125">
        <v>1</v>
      </c>
    </row>
    <row r="816" spans="1:3" x14ac:dyDescent="0.25">
      <c r="A816" s="125" t="s">
        <v>25341</v>
      </c>
      <c r="B816" s="125" t="s">
        <v>28237</v>
      </c>
      <c r="C816" s="125">
        <v>1</v>
      </c>
    </row>
    <row r="817" spans="1:3" x14ac:dyDescent="0.25">
      <c r="A817" s="125" t="s">
        <v>25369</v>
      </c>
      <c r="B817" s="125" t="s">
        <v>25308</v>
      </c>
      <c r="C817" s="125">
        <v>1</v>
      </c>
    </row>
    <row r="818" spans="1:3" x14ac:dyDescent="0.25">
      <c r="A818" s="125" t="s">
        <v>25387</v>
      </c>
      <c r="B818" s="125" t="s">
        <v>28326</v>
      </c>
      <c r="C818" s="125">
        <v>1</v>
      </c>
    </row>
    <row r="819" spans="1:3" x14ac:dyDescent="0.25">
      <c r="A819" s="125" t="s">
        <v>52</v>
      </c>
      <c r="B819" s="125" t="s">
        <v>28226</v>
      </c>
      <c r="C819" s="125">
        <v>1</v>
      </c>
    </row>
    <row r="820" spans="1:3" x14ac:dyDescent="0.25">
      <c r="A820" s="125" t="s">
        <v>42</v>
      </c>
      <c r="B820" s="125" t="s">
        <v>28242</v>
      </c>
      <c r="C820" s="125">
        <v>1</v>
      </c>
    </row>
    <row r="821" spans="1:3" x14ac:dyDescent="0.25">
      <c r="A821" s="125" t="s">
        <v>25361</v>
      </c>
      <c r="B821" s="125" t="s">
        <v>28226</v>
      </c>
      <c r="C821" s="125">
        <v>1</v>
      </c>
    </row>
    <row r="822" spans="1:3" x14ac:dyDescent="0.25">
      <c r="A822" s="125" t="s">
        <v>28404</v>
      </c>
      <c r="B822" s="125" t="s">
        <v>28241</v>
      </c>
      <c r="C822" s="125">
        <v>1</v>
      </c>
    </row>
    <row r="823" spans="1:3" x14ac:dyDescent="0.25">
      <c r="A823" s="125" t="s">
        <v>25351</v>
      </c>
      <c r="B823" s="125" t="s">
        <v>28286</v>
      </c>
      <c r="C823" s="125">
        <v>1</v>
      </c>
    </row>
    <row r="824" spans="1:3" x14ac:dyDescent="0.25">
      <c r="A824" s="125" t="s">
        <v>25350</v>
      </c>
      <c r="B824" s="125" t="s">
        <v>28310</v>
      </c>
      <c r="C824" s="125">
        <v>1</v>
      </c>
    </row>
    <row r="825" spans="1:3" x14ac:dyDescent="0.25">
      <c r="A825" s="125" t="s">
        <v>25352</v>
      </c>
      <c r="B825" s="125" t="s">
        <v>28313</v>
      </c>
      <c r="C825" s="125">
        <v>1</v>
      </c>
    </row>
    <row r="826" spans="1:3" x14ac:dyDescent="0.25">
      <c r="A826" s="125" t="s">
        <v>25340</v>
      </c>
      <c r="B826" s="125" t="s">
        <v>28283</v>
      </c>
      <c r="C826" s="125">
        <v>1</v>
      </c>
    </row>
    <row r="827" spans="1:3" x14ac:dyDescent="0.25">
      <c r="A827" s="125" t="s">
        <v>25429</v>
      </c>
      <c r="B827" s="125" t="s">
        <v>28313</v>
      </c>
      <c r="C827" s="125">
        <v>1</v>
      </c>
    </row>
    <row r="828" spans="1:3" x14ac:dyDescent="0.25">
      <c r="A828" s="125" t="s">
        <v>25369</v>
      </c>
      <c r="B828" s="125" t="s">
        <v>28226</v>
      </c>
      <c r="C828" s="125">
        <v>1</v>
      </c>
    </row>
    <row r="829" spans="1:3" x14ac:dyDescent="0.25">
      <c r="A829" s="125" t="s">
        <v>25480</v>
      </c>
      <c r="B829" s="125" t="s">
        <v>28278</v>
      </c>
      <c r="C829" s="125">
        <v>1</v>
      </c>
    </row>
    <row r="830" spans="1:3" x14ac:dyDescent="0.25">
      <c r="A830" s="125" t="s">
        <v>25356</v>
      </c>
      <c r="B830" s="125" t="s">
        <v>28283</v>
      </c>
      <c r="C830" s="125">
        <v>1</v>
      </c>
    </row>
    <row r="831" spans="1:3" x14ac:dyDescent="0.25">
      <c r="A831" s="125" t="s">
        <v>194</v>
      </c>
      <c r="B831" s="125" t="s">
        <v>28255</v>
      </c>
      <c r="C831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28405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25604</v>
      </c>
      <c r="B1" s="32">
        <v>1</v>
      </c>
    </row>
    <row r="2" spans="1:2" x14ac:dyDescent="0.25">
      <c r="A2" s="33" t="s">
        <v>25605</v>
      </c>
      <c r="B2" s="32">
        <v>1</v>
      </c>
    </row>
    <row r="3" spans="1:2" x14ac:dyDescent="0.25">
      <c r="A3" s="33" t="s">
        <v>25606</v>
      </c>
      <c r="B3" s="32">
        <v>1</v>
      </c>
    </row>
    <row r="4" spans="1:2" x14ac:dyDescent="0.25">
      <c r="A4" s="33" t="s">
        <v>25607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25608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25609</v>
      </c>
      <c r="B3" s="138">
        <v>1</v>
      </c>
    </row>
    <row r="4" spans="1:2" x14ac:dyDescent="0.25">
      <c r="A4" s="137" t="s">
        <v>25610</v>
      </c>
      <c r="B4" s="138">
        <v>1</v>
      </c>
    </row>
    <row r="5" spans="1:2" x14ac:dyDescent="0.25">
      <c r="A5" s="137" t="s">
        <v>25611</v>
      </c>
      <c r="B5" s="138">
        <v>1</v>
      </c>
    </row>
    <row r="6" spans="1:2" x14ac:dyDescent="0.25">
      <c r="A6" s="137" t="s">
        <v>25612</v>
      </c>
      <c r="B6" s="138">
        <v>1</v>
      </c>
    </row>
    <row r="7" spans="1:2" x14ac:dyDescent="0.25">
      <c r="A7" s="137" t="s">
        <v>25613</v>
      </c>
      <c r="B7" s="138">
        <v>1</v>
      </c>
    </row>
    <row r="8" spans="1:2" x14ac:dyDescent="0.25">
      <c r="A8" s="137" t="s">
        <v>25614</v>
      </c>
      <c r="B8" s="138">
        <v>1</v>
      </c>
    </row>
    <row r="9" spans="1:2" x14ac:dyDescent="0.25">
      <c r="A9" s="137" t="s">
        <v>25615</v>
      </c>
      <c r="B9" s="138">
        <v>1</v>
      </c>
    </row>
    <row r="10" spans="1:2" x14ac:dyDescent="0.25">
      <c r="A10" s="137" t="s">
        <v>25616</v>
      </c>
      <c r="B10" s="138">
        <v>1</v>
      </c>
    </row>
    <row r="11" spans="1:2" x14ac:dyDescent="0.25">
      <c r="A11" s="137" t="s">
        <v>25617</v>
      </c>
      <c r="B11" s="138">
        <v>1</v>
      </c>
    </row>
    <row r="12" spans="1:2" x14ac:dyDescent="0.25">
      <c r="A12" s="137" t="s">
        <v>25618</v>
      </c>
      <c r="B12" s="138">
        <v>1</v>
      </c>
    </row>
    <row r="13" spans="1:2" x14ac:dyDescent="0.25">
      <c r="A13" s="137" t="s">
        <v>25619</v>
      </c>
      <c r="B13" s="138">
        <v>1</v>
      </c>
    </row>
    <row r="14" spans="1:2" x14ac:dyDescent="0.25">
      <c r="A14" s="137" t="s">
        <v>25620</v>
      </c>
      <c r="B14" s="138">
        <v>1</v>
      </c>
    </row>
    <row r="15" spans="1:2" x14ac:dyDescent="0.25">
      <c r="A15" s="137" t="s">
        <v>25621</v>
      </c>
      <c r="B15" s="138">
        <v>1</v>
      </c>
    </row>
    <row r="16" spans="1:2" x14ac:dyDescent="0.25">
      <c r="A16" s="137" t="s">
        <v>25622</v>
      </c>
      <c r="B16" s="138">
        <v>1</v>
      </c>
    </row>
    <row r="17" spans="1:2" x14ac:dyDescent="0.25">
      <c r="A17" s="137" t="s">
        <v>25623</v>
      </c>
      <c r="B17" s="138">
        <v>1</v>
      </c>
    </row>
    <row r="18" spans="1:2" x14ac:dyDescent="0.25">
      <c r="A18" s="137" t="s">
        <v>25624</v>
      </c>
      <c r="B18" s="138">
        <v>1</v>
      </c>
    </row>
    <row r="19" spans="1:2" x14ac:dyDescent="0.25">
      <c r="A19" s="137" t="s">
        <v>25625</v>
      </c>
      <c r="B19" s="138">
        <v>1</v>
      </c>
    </row>
    <row r="20" spans="1:2" x14ac:dyDescent="0.25">
      <c r="A20" s="137" t="s">
        <v>25626</v>
      </c>
      <c r="B20" s="138">
        <v>1</v>
      </c>
    </row>
    <row r="21" spans="1:2" x14ac:dyDescent="0.25">
      <c r="A21" s="137" t="s">
        <v>25627</v>
      </c>
      <c r="B21" s="138">
        <v>1</v>
      </c>
    </row>
    <row r="22" spans="1:2" x14ac:dyDescent="0.25">
      <c r="A22" s="137" t="s">
        <v>25628</v>
      </c>
      <c r="B22" s="138">
        <v>1</v>
      </c>
    </row>
    <row r="23" spans="1:2" x14ac:dyDescent="0.25">
      <c r="A23" s="137" t="s">
        <v>25629</v>
      </c>
      <c r="B23" s="138">
        <v>1</v>
      </c>
    </row>
    <row r="24" spans="1:2" x14ac:dyDescent="0.25">
      <c r="A24" s="137" t="s">
        <v>25630</v>
      </c>
      <c r="B24" s="138">
        <v>1</v>
      </c>
    </row>
    <row r="25" spans="1:2" x14ac:dyDescent="0.25">
      <c r="A25" s="137" t="s">
        <v>25631</v>
      </c>
      <c r="B25" s="138">
        <v>1</v>
      </c>
    </row>
    <row r="26" spans="1:2" x14ac:dyDescent="0.25">
      <c r="A26" s="137" t="s">
        <v>25632</v>
      </c>
      <c r="B26" s="138">
        <v>1</v>
      </c>
    </row>
    <row r="27" spans="1:2" x14ac:dyDescent="0.25">
      <c r="A27" s="137" t="s">
        <v>25633</v>
      </c>
      <c r="B27" s="138">
        <v>1</v>
      </c>
    </row>
    <row r="28" spans="1:2" x14ac:dyDescent="0.25">
      <c r="A28" s="137" t="s">
        <v>25634</v>
      </c>
      <c r="B28" s="138">
        <v>1</v>
      </c>
    </row>
    <row r="29" spans="1:2" x14ac:dyDescent="0.25">
      <c r="A29" s="137" t="s">
        <v>25635</v>
      </c>
      <c r="B29" s="138">
        <v>1</v>
      </c>
    </row>
    <row r="30" spans="1:2" x14ac:dyDescent="0.25">
      <c r="A30" s="137" t="s">
        <v>25636</v>
      </c>
      <c r="B30" s="138">
        <v>1</v>
      </c>
    </row>
    <row r="31" spans="1:2" x14ac:dyDescent="0.25">
      <c r="A31" s="137" t="s">
        <v>25637</v>
      </c>
      <c r="B31" s="138">
        <v>1</v>
      </c>
    </row>
    <row r="32" spans="1:2" x14ac:dyDescent="0.25">
      <c r="A32" s="137" t="s">
        <v>25638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25639</v>
      </c>
      <c r="B34" s="138">
        <v>1</v>
      </c>
    </row>
    <row r="35" spans="1:2" x14ac:dyDescent="0.25">
      <c r="A35" s="137" t="s">
        <v>25640</v>
      </c>
      <c r="B35" s="138">
        <v>1</v>
      </c>
    </row>
    <row r="36" spans="1:2" x14ac:dyDescent="0.25">
      <c r="A36" s="137" t="s">
        <v>25641</v>
      </c>
      <c r="B36" s="138">
        <v>1</v>
      </c>
    </row>
    <row r="37" spans="1:2" x14ac:dyDescent="0.25">
      <c r="A37" s="137" t="s">
        <v>25642</v>
      </c>
      <c r="B37" s="138">
        <v>1</v>
      </c>
    </row>
    <row r="38" spans="1:2" x14ac:dyDescent="0.25">
      <c r="A38" s="137" t="s">
        <v>25643</v>
      </c>
      <c r="B38" s="138">
        <v>1</v>
      </c>
    </row>
    <row r="39" spans="1:2" x14ac:dyDescent="0.25">
      <c r="A39" s="137" t="s">
        <v>25644</v>
      </c>
      <c r="B39" s="138">
        <v>1</v>
      </c>
    </row>
    <row r="40" spans="1:2" x14ac:dyDescent="0.25">
      <c r="A40" s="137" t="s">
        <v>25645</v>
      </c>
      <c r="B40" s="138">
        <v>1</v>
      </c>
    </row>
    <row r="41" spans="1:2" x14ac:dyDescent="0.25">
      <c r="A41" s="137" t="s">
        <v>25646</v>
      </c>
      <c r="B41" s="138">
        <v>1</v>
      </c>
    </row>
    <row r="42" spans="1:2" x14ac:dyDescent="0.25">
      <c r="A42" s="137" t="s">
        <v>25647</v>
      </c>
      <c r="B42" s="138">
        <v>1</v>
      </c>
    </row>
    <row r="43" spans="1:2" x14ac:dyDescent="0.25">
      <c r="A43" s="137" t="s">
        <v>25648</v>
      </c>
      <c r="B43" s="138">
        <v>1</v>
      </c>
    </row>
    <row r="44" spans="1:2" x14ac:dyDescent="0.25">
      <c r="A44" s="137" t="s">
        <v>25649</v>
      </c>
      <c r="B44" s="138">
        <v>1</v>
      </c>
    </row>
    <row r="45" spans="1:2" x14ac:dyDescent="0.25">
      <c r="A45" s="137" t="s">
        <v>25650</v>
      </c>
      <c r="B45" s="138">
        <v>1</v>
      </c>
    </row>
    <row r="46" spans="1:2" x14ac:dyDescent="0.25">
      <c r="A46" s="137" t="s">
        <v>25651</v>
      </c>
      <c r="B46" s="138">
        <v>1</v>
      </c>
    </row>
    <row r="47" spans="1:2" x14ac:dyDescent="0.25">
      <c r="A47" s="137" t="s">
        <v>25652</v>
      </c>
      <c r="B47" s="138">
        <v>1</v>
      </c>
    </row>
    <row r="48" spans="1:2" x14ac:dyDescent="0.25">
      <c r="A48" s="137" t="s">
        <v>25653</v>
      </c>
      <c r="B48" s="138">
        <v>1</v>
      </c>
    </row>
    <row r="49" spans="1:2" x14ac:dyDescent="0.25">
      <c r="A49" s="137" t="s">
        <v>25654</v>
      </c>
      <c r="B49" s="138">
        <v>1</v>
      </c>
    </row>
    <row r="50" spans="1:2" x14ac:dyDescent="0.25">
      <c r="A50" s="137" t="s">
        <v>25655</v>
      </c>
      <c r="B50" s="138">
        <v>1</v>
      </c>
    </row>
    <row r="51" spans="1:2" x14ac:dyDescent="0.25">
      <c r="A51" s="137" t="s">
        <v>25656</v>
      </c>
      <c r="B51" s="138">
        <v>1</v>
      </c>
    </row>
    <row r="52" spans="1:2" x14ac:dyDescent="0.25">
      <c r="A52" s="137" t="s">
        <v>25657</v>
      </c>
      <c r="B52" s="138">
        <v>1</v>
      </c>
    </row>
    <row r="53" spans="1:2" x14ac:dyDescent="0.25">
      <c r="A53" s="137" t="s">
        <v>25658</v>
      </c>
      <c r="B53" s="138">
        <v>1</v>
      </c>
    </row>
    <row r="54" spans="1:2" x14ac:dyDescent="0.25">
      <c r="A54" s="137" t="s">
        <v>25659</v>
      </c>
      <c r="B54" s="138">
        <v>1</v>
      </c>
    </row>
    <row r="55" spans="1:2" x14ac:dyDescent="0.25">
      <c r="A55" s="137" t="s">
        <v>25660</v>
      </c>
      <c r="B55" s="138">
        <v>1</v>
      </c>
    </row>
    <row r="56" spans="1:2" x14ac:dyDescent="0.25">
      <c r="A56" s="137" t="s">
        <v>25661</v>
      </c>
      <c r="B56" s="138">
        <v>1</v>
      </c>
    </row>
    <row r="57" spans="1:2" x14ac:dyDescent="0.25">
      <c r="A57" s="137" t="s">
        <v>25662</v>
      </c>
      <c r="B57" s="138">
        <v>1</v>
      </c>
    </row>
    <row r="58" spans="1:2" x14ac:dyDescent="0.25">
      <c r="A58" s="137" t="s">
        <v>25663</v>
      </c>
      <c r="B58" s="138">
        <v>1</v>
      </c>
    </row>
    <row r="59" spans="1:2" x14ac:dyDescent="0.25">
      <c r="A59" s="137" t="s">
        <v>25664</v>
      </c>
      <c r="B59" s="138">
        <v>1</v>
      </c>
    </row>
    <row r="60" spans="1:2" x14ac:dyDescent="0.25">
      <c r="A60" s="137" t="s">
        <v>25665</v>
      </c>
      <c r="B60" s="138">
        <v>1</v>
      </c>
    </row>
    <row r="61" spans="1:2" x14ac:dyDescent="0.25">
      <c r="A61" s="137" t="s">
        <v>25666</v>
      </c>
      <c r="B61" s="138">
        <v>1</v>
      </c>
    </row>
    <row r="62" spans="1:2" x14ac:dyDescent="0.25">
      <c r="A62" s="137" t="s">
        <v>25667</v>
      </c>
      <c r="B62" s="138">
        <v>1</v>
      </c>
    </row>
    <row r="63" spans="1:2" x14ac:dyDescent="0.25">
      <c r="A63" s="137" t="s">
        <v>25668</v>
      </c>
      <c r="B63" s="138">
        <v>1</v>
      </c>
    </row>
    <row r="64" spans="1:2" x14ac:dyDescent="0.25">
      <c r="A64" s="137" t="s">
        <v>25669</v>
      </c>
      <c r="B64" s="138">
        <v>1</v>
      </c>
    </row>
    <row r="65" spans="1:2" x14ac:dyDescent="0.25">
      <c r="A65" s="137" t="s">
        <v>25670</v>
      </c>
      <c r="B65" s="138">
        <v>1</v>
      </c>
    </row>
    <row r="66" spans="1:2" x14ac:dyDescent="0.25">
      <c r="A66" s="137" t="s">
        <v>25671</v>
      </c>
      <c r="B66" s="138">
        <v>1</v>
      </c>
    </row>
    <row r="67" spans="1:2" x14ac:dyDescent="0.25">
      <c r="A67" s="137" t="s">
        <v>25672</v>
      </c>
      <c r="B67" s="138">
        <v>1</v>
      </c>
    </row>
    <row r="68" spans="1:2" x14ac:dyDescent="0.25">
      <c r="A68" s="137" t="s">
        <v>25673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25674</v>
      </c>
      <c r="B70" s="138">
        <v>1</v>
      </c>
    </row>
    <row r="71" spans="1:2" x14ac:dyDescent="0.25">
      <c r="A71" s="137" t="s">
        <v>25675</v>
      </c>
      <c r="B71" s="138">
        <v>1</v>
      </c>
    </row>
    <row r="72" spans="1:2" x14ac:dyDescent="0.25">
      <c r="A72" s="137" t="s">
        <v>25676</v>
      </c>
      <c r="B72" s="138">
        <v>1</v>
      </c>
    </row>
    <row r="73" spans="1:2" x14ac:dyDescent="0.25">
      <c r="A73" s="137" t="s">
        <v>25677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25678</v>
      </c>
      <c r="B1" s="138">
        <v>1</v>
      </c>
    </row>
    <row r="2" spans="1:2" x14ac:dyDescent="0.25">
      <c r="A2" s="137" t="s">
        <v>25679</v>
      </c>
      <c r="B2" s="138">
        <v>1</v>
      </c>
    </row>
    <row r="3" spans="1:2" x14ac:dyDescent="0.25">
      <c r="A3" s="137" t="s">
        <v>25680</v>
      </c>
      <c r="B3" s="138">
        <v>1</v>
      </c>
    </row>
    <row r="4" spans="1:2" x14ac:dyDescent="0.25">
      <c r="A4" s="137" t="s">
        <v>25681</v>
      </c>
      <c r="B4" s="138">
        <v>1</v>
      </c>
    </row>
    <row r="5" spans="1:2" x14ac:dyDescent="0.25">
      <c r="A5" s="137" t="s">
        <v>25682</v>
      </c>
      <c r="B5" s="138">
        <v>1</v>
      </c>
    </row>
    <row r="6" spans="1:2" x14ac:dyDescent="0.25">
      <c r="A6" s="137" t="s">
        <v>25683</v>
      </c>
      <c r="B6" s="138">
        <v>1</v>
      </c>
    </row>
    <row r="7" spans="1:2" x14ac:dyDescent="0.25">
      <c r="A7" s="137" t="s">
        <v>25684</v>
      </c>
      <c r="B7" s="138">
        <v>1</v>
      </c>
    </row>
    <row r="8" spans="1:2" x14ac:dyDescent="0.25">
      <c r="A8" s="137" t="s">
        <v>25685</v>
      </c>
      <c r="B8" s="138">
        <v>1</v>
      </c>
    </row>
    <row r="9" spans="1:2" x14ac:dyDescent="0.25">
      <c r="A9" s="137" t="s">
        <v>25686</v>
      </c>
      <c r="B9" s="138">
        <v>1</v>
      </c>
    </row>
    <row r="10" spans="1:2" x14ac:dyDescent="0.25">
      <c r="A10" s="137" t="s">
        <v>25687</v>
      </c>
      <c r="B10" s="138">
        <v>1</v>
      </c>
    </row>
    <row r="11" spans="1:2" x14ac:dyDescent="0.25">
      <c r="A11" s="137" t="s">
        <v>25688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25689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4"/>
  <sheetViews>
    <sheetView showGridLines="0" workbookViewId="0">
      <selection activeCell="C32" sqref="C32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25690</v>
      </c>
      <c r="B1" s="135">
        <v>1</v>
      </c>
    </row>
    <row r="2" spans="1:2" x14ac:dyDescent="0.25">
      <c r="A2" s="134" t="s">
        <v>25691</v>
      </c>
      <c r="B2" s="135">
        <v>1</v>
      </c>
    </row>
    <row r="3" spans="1:2" x14ac:dyDescent="0.25">
      <c r="A3" s="134" t="s">
        <v>25692</v>
      </c>
      <c r="B3" s="135">
        <v>1</v>
      </c>
    </row>
    <row r="4" spans="1:2" x14ac:dyDescent="0.25">
      <c r="A4" s="134" t="s">
        <v>25693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25694</v>
      </c>
      <c r="B6" s="135">
        <v>1</v>
      </c>
    </row>
    <row r="7" spans="1:2" x14ac:dyDescent="0.25">
      <c r="A7" s="134" t="s">
        <v>25647</v>
      </c>
      <c r="B7" s="135">
        <v>1</v>
      </c>
    </row>
    <row r="8" spans="1:2" x14ac:dyDescent="0.25">
      <c r="A8" s="134" t="s">
        <v>25695</v>
      </c>
      <c r="B8" s="135">
        <v>1</v>
      </c>
    </row>
    <row r="9" spans="1:2" x14ac:dyDescent="0.25">
      <c r="A9" s="134" t="s">
        <v>25696</v>
      </c>
      <c r="B9" s="135">
        <v>1</v>
      </c>
    </row>
    <row r="10" spans="1:2" x14ac:dyDescent="0.25">
      <c r="A10" s="134" t="s">
        <v>25697</v>
      </c>
      <c r="B10" s="135">
        <v>1</v>
      </c>
    </row>
    <row r="11" spans="1:2" x14ac:dyDescent="0.25">
      <c r="A11" s="134" t="s">
        <v>25698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25649</v>
      </c>
      <c r="B13" s="135">
        <v>1</v>
      </c>
    </row>
    <row r="14" spans="1:2" x14ac:dyDescent="0.25">
      <c r="A14" s="134" t="s">
        <v>25699</v>
      </c>
      <c r="B14" s="135">
        <v>1</v>
      </c>
    </row>
    <row r="15" spans="1:2" x14ac:dyDescent="0.25">
      <c r="A15" s="134" t="s">
        <v>25700</v>
      </c>
      <c r="B15" s="135">
        <v>1</v>
      </c>
    </row>
    <row r="16" spans="1:2" x14ac:dyDescent="0.25">
      <c r="A16" s="134" t="s">
        <v>25701</v>
      </c>
      <c r="B16" s="135">
        <v>1</v>
      </c>
    </row>
    <row r="17" spans="1:2" x14ac:dyDescent="0.25">
      <c r="A17" s="136" t="s">
        <v>25702</v>
      </c>
      <c r="B17" s="135">
        <v>1</v>
      </c>
    </row>
    <row r="18" spans="1:2" x14ac:dyDescent="0.25">
      <c r="A18" s="136" t="s">
        <v>25703</v>
      </c>
      <c r="B18" s="135">
        <v>1</v>
      </c>
    </row>
    <row r="19" spans="1:2" x14ac:dyDescent="0.25">
      <c r="A19" s="136" t="s">
        <v>25704</v>
      </c>
      <c r="B19" s="135">
        <v>1</v>
      </c>
    </row>
    <row r="20" spans="1:2" x14ac:dyDescent="0.25">
      <c r="A20" s="136" t="s">
        <v>25705</v>
      </c>
      <c r="B20" s="135">
        <v>1</v>
      </c>
    </row>
    <row r="21" spans="1:2" x14ac:dyDescent="0.25">
      <c r="A21" s="136" t="s">
        <v>25706</v>
      </c>
      <c r="B21" s="135">
        <v>1</v>
      </c>
    </row>
    <row r="22" spans="1:2" x14ac:dyDescent="0.25">
      <c r="A22" s="136" t="s">
        <v>25707</v>
      </c>
      <c r="B22" s="135">
        <v>1</v>
      </c>
    </row>
    <row r="23" spans="1:2" x14ac:dyDescent="0.25">
      <c r="A23" s="136" t="s">
        <v>28540</v>
      </c>
      <c r="B23" s="135">
        <v>1</v>
      </c>
    </row>
    <row r="24" spans="1:2" x14ac:dyDescent="0.25">
      <c r="A24" s="136" t="s">
        <v>28409</v>
      </c>
      <c r="B24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25708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25709</v>
      </c>
      <c r="B3" s="132">
        <v>1</v>
      </c>
    </row>
    <row r="4" spans="1:2" x14ac:dyDescent="0.25">
      <c r="A4" s="133" t="s">
        <v>25710</v>
      </c>
      <c r="B4" s="132">
        <v>1</v>
      </c>
    </row>
    <row r="5" spans="1:2" x14ac:dyDescent="0.25">
      <c r="A5" s="133" t="s">
        <v>25711</v>
      </c>
      <c r="B5" s="132">
        <v>1</v>
      </c>
    </row>
    <row r="6" spans="1:2" x14ac:dyDescent="0.25">
      <c r="A6" s="133" t="s">
        <v>25712</v>
      </c>
      <c r="B6" s="132">
        <v>1</v>
      </c>
    </row>
    <row r="7" spans="1:2" x14ac:dyDescent="0.25">
      <c r="A7" s="133" t="s">
        <v>25713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25714</v>
      </c>
      <c r="B9" s="132">
        <v>1</v>
      </c>
    </row>
    <row r="10" spans="1:2" x14ac:dyDescent="0.25">
      <c r="A10" s="133" t="s">
        <v>25715</v>
      </c>
      <c r="B10" s="132">
        <v>1</v>
      </c>
    </row>
    <row r="11" spans="1:2" x14ac:dyDescent="0.25">
      <c r="A11" s="133" t="s">
        <v>25716</v>
      </c>
      <c r="B11" s="132">
        <v>1</v>
      </c>
    </row>
    <row r="12" spans="1:2" x14ac:dyDescent="0.25">
      <c r="A12" s="133" t="s">
        <v>25717</v>
      </c>
      <c r="B12" s="132">
        <v>1</v>
      </c>
    </row>
    <row r="13" spans="1:2" x14ac:dyDescent="0.25">
      <c r="A13" s="133" t="s">
        <v>25718</v>
      </c>
      <c r="B13" s="132">
        <v>1</v>
      </c>
    </row>
    <row r="14" spans="1:2" x14ac:dyDescent="0.25">
      <c r="A14" s="133" t="s">
        <v>25719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25720</v>
      </c>
      <c r="B16" s="132">
        <v>1</v>
      </c>
    </row>
    <row r="17" spans="1:2" x14ac:dyDescent="0.25">
      <c r="A17" s="133" t="s">
        <v>25721</v>
      </c>
      <c r="B17" s="132">
        <v>1</v>
      </c>
    </row>
    <row r="18" spans="1:2" x14ac:dyDescent="0.25">
      <c r="A18" s="133" t="s">
        <v>25722</v>
      </c>
      <c r="B18" s="132">
        <v>1</v>
      </c>
    </row>
    <row r="19" spans="1:2" x14ac:dyDescent="0.25">
      <c r="A19" s="133" t="s">
        <v>25723</v>
      </c>
      <c r="B19" s="132">
        <v>1</v>
      </c>
    </row>
    <row r="20" spans="1:2" x14ac:dyDescent="0.25">
      <c r="A20" s="133" t="s">
        <v>25724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25725</v>
      </c>
      <c r="B22" s="132">
        <v>1</v>
      </c>
    </row>
    <row r="23" spans="1:2" x14ac:dyDescent="0.25">
      <c r="A23" s="133" t="s">
        <v>25726</v>
      </c>
      <c r="B23" s="132">
        <v>1</v>
      </c>
    </row>
    <row r="24" spans="1:2" x14ac:dyDescent="0.25">
      <c r="A24" s="133" t="s">
        <v>25727</v>
      </c>
      <c r="B24" s="132">
        <v>1</v>
      </c>
    </row>
    <row r="25" spans="1:2" x14ac:dyDescent="0.25">
      <c r="A25" s="133" t="s">
        <v>25728</v>
      </c>
      <c r="B25" s="132">
        <v>1</v>
      </c>
    </row>
    <row r="26" spans="1:2" x14ac:dyDescent="0.25">
      <c r="A26" s="133" t="s">
        <v>25729</v>
      </c>
      <c r="B26" s="132">
        <v>1</v>
      </c>
    </row>
    <row r="27" spans="1:2" x14ac:dyDescent="0.25">
      <c r="A27" s="133" t="s">
        <v>25730</v>
      </c>
      <c r="B27" s="132">
        <v>1</v>
      </c>
    </row>
    <row r="28" spans="1:2" x14ac:dyDescent="0.25">
      <c r="A28" s="133" t="s">
        <v>25731</v>
      </c>
      <c r="B28" s="132">
        <v>1</v>
      </c>
    </row>
    <row r="29" spans="1:2" x14ac:dyDescent="0.25">
      <c r="A29" s="133" t="s">
        <v>25732</v>
      </c>
      <c r="B29" s="132">
        <v>1</v>
      </c>
    </row>
    <row r="30" spans="1:2" x14ac:dyDescent="0.25">
      <c r="A30" s="133" t="s">
        <v>25733</v>
      </c>
      <c r="B30" s="132">
        <v>1</v>
      </c>
    </row>
    <row r="31" spans="1:2" x14ac:dyDescent="0.25">
      <c r="A31" s="133" t="s">
        <v>25734</v>
      </c>
      <c r="B31" s="132">
        <v>1</v>
      </c>
    </row>
    <row r="32" spans="1:2" x14ac:dyDescent="0.25">
      <c r="A32" s="133" t="s">
        <v>25735</v>
      </c>
      <c r="B32" s="132">
        <v>1</v>
      </c>
    </row>
    <row r="33" spans="1:2" x14ac:dyDescent="0.25">
      <c r="A33" s="133" t="s">
        <v>25736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25737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25738</v>
      </c>
      <c r="B37" s="132">
        <v>1</v>
      </c>
    </row>
    <row r="38" spans="1:2" x14ac:dyDescent="0.25">
      <c r="A38" s="133" t="s">
        <v>25739</v>
      </c>
      <c r="B38" s="132">
        <v>1</v>
      </c>
    </row>
    <row r="39" spans="1:2" x14ac:dyDescent="0.25">
      <c r="A39" s="133" t="s">
        <v>25740</v>
      </c>
      <c r="B39" s="132">
        <v>1</v>
      </c>
    </row>
    <row r="40" spans="1:2" x14ac:dyDescent="0.25">
      <c r="A40" s="133" t="s">
        <v>25741</v>
      </c>
      <c r="B40" s="132">
        <v>1</v>
      </c>
    </row>
    <row r="41" spans="1:2" x14ac:dyDescent="0.25">
      <c r="A41" s="133" t="s">
        <v>25742</v>
      </c>
      <c r="B41" s="132">
        <v>1</v>
      </c>
    </row>
    <row r="42" spans="1:2" x14ac:dyDescent="0.25">
      <c r="A42" s="133" t="s">
        <v>25743</v>
      </c>
      <c r="B42" s="132">
        <v>1</v>
      </c>
    </row>
    <row r="43" spans="1:2" x14ac:dyDescent="0.25">
      <c r="A43" s="133" t="s">
        <v>25744</v>
      </c>
      <c r="B43" s="132">
        <v>1</v>
      </c>
    </row>
    <row r="44" spans="1:2" x14ac:dyDescent="0.25">
      <c r="A44" s="133" t="s">
        <v>25745</v>
      </c>
      <c r="B44" s="132">
        <v>1</v>
      </c>
    </row>
    <row r="45" spans="1:2" x14ac:dyDescent="0.25">
      <c r="A45" s="133" t="s">
        <v>25746</v>
      </c>
      <c r="B45" s="132">
        <v>1</v>
      </c>
    </row>
    <row r="46" spans="1:2" x14ac:dyDescent="0.25">
      <c r="A46" s="133" t="s">
        <v>25747</v>
      </c>
      <c r="B46" s="132">
        <v>1</v>
      </c>
    </row>
    <row r="47" spans="1:2" x14ac:dyDescent="0.25">
      <c r="A47" s="133" t="s">
        <v>25748</v>
      </c>
      <c r="B47" s="132">
        <v>1</v>
      </c>
    </row>
    <row r="48" spans="1:2" x14ac:dyDescent="0.25">
      <c r="A48" s="133" t="s">
        <v>25749</v>
      </c>
      <c r="B48" s="132">
        <v>1</v>
      </c>
    </row>
    <row r="49" spans="1:2" x14ac:dyDescent="0.25">
      <c r="A49" s="133" t="s">
        <v>25750</v>
      </c>
      <c r="B49" s="132">
        <v>1</v>
      </c>
    </row>
    <row r="50" spans="1:2" x14ac:dyDescent="0.25">
      <c r="A50" s="133" t="s">
        <v>25751</v>
      </c>
      <c r="B50" s="132">
        <v>1</v>
      </c>
    </row>
    <row r="51" spans="1:2" x14ac:dyDescent="0.25">
      <c r="A51" s="133" t="s">
        <v>25752</v>
      </c>
      <c r="B51" s="132">
        <v>1</v>
      </c>
    </row>
    <row r="52" spans="1:2" x14ac:dyDescent="0.25">
      <c r="A52" s="133" t="s">
        <v>25753</v>
      </c>
      <c r="B52" s="132">
        <v>1</v>
      </c>
    </row>
    <row r="53" spans="1:2" x14ac:dyDescent="0.25">
      <c r="A53" s="133" t="s">
        <v>25754</v>
      </c>
      <c r="B53" s="132">
        <v>1</v>
      </c>
    </row>
    <row r="54" spans="1:2" x14ac:dyDescent="0.25">
      <c r="A54" s="133" t="s">
        <v>25755</v>
      </c>
      <c r="B54" s="132">
        <v>1</v>
      </c>
    </row>
    <row r="55" spans="1:2" x14ac:dyDescent="0.25">
      <c r="A55" s="133" t="s">
        <v>25756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25757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25758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25759</v>
      </c>
      <c r="B61" s="132">
        <v>1</v>
      </c>
    </row>
    <row r="62" spans="1:2" x14ac:dyDescent="0.25">
      <c r="A62" s="133" t="s">
        <v>25760</v>
      </c>
      <c r="B62" s="132">
        <v>1</v>
      </c>
    </row>
    <row r="63" spans="1:2" x14ac:dyDescent="0.25">
      <c r="A63" s="133" t="s">
        <v>25761</v>
      </c>
      <c r="B63" s="132">
        <v>1</v>
      </c>
    </row>
    <row r="64" spans="1:2" x14ac:dyDescent="0.25">
      <c r="A64" s="133" t="s">
        <v>25762</v>
      </c>
      <c r="B64" s="132">
        <v>1</v>
      </c>
    </row>
    <row r="65" spans="1:2" x14ac:dyDescent="0.25">
      <c r="A65" s="133" t="s">
        <v>25763</v>
      </c>
      <c r="B65" s="132">
        <v>1</v>
      </c>
    </row>
    <row r="66" spans="1:2" x14ac:dyDescent="0.25">
      <c r="A66" s="133" t="s">
        <v>25764</v>
      </c>
      <c r="B66" s="132">
        <v>1</v>
      </c>
    </row>
    <row r="67" spans="1:2" x14ac:dyDescent="0.25">
      <c r="A67" s="133" t="s">
        <v>25765</v>
      </c>
      <c r="B67" s="132">
        <v>1</v>
      </c>
    </row>
    <row r="68" spans="1:2" x14ac:dyDescent="0.25">
      <c r="A68" s="133" t="s">
        <v>25766</v>
      </c>
      <c r="B68" s="132">
        <v>1</v>
      </c>
    </row>
    <row r="69" spans="1:2" x14ac:dyDescent="0.25">
      <c r="A69" s="133" t="s">
        <v>25767</v>
      </c>
      <c r="B69" s="132">
        <v>1</v>
      </c>
    </row>
    <row r="70" spans="1:2" x14ac:dyDescent="0.25">
      <c r="A70" s="133" t="s">
        <v>25768</v>
      </c>
      <c r="B70" s="132">
        <v>1</v>
      </c>
    </row>
    <row r="71" spans="1:2" x14ac:dyDescent="0.25">
      <c r="A71" s="133" t="s">
        <v>25769</v>
      </c>
      <c r="B71" s="132">
        <v>1</v>
      </c>
    </row>
    <row r="72" spans="1:2" x14ac:dyDescent="0.25">
      <c r="A72" s="133" t="s">
        <v>25770</v>
      </c>
      <c r="B72" s="132">
        <v>1</v>
      </c>
    </row>
    <row r="73" spans="1:2" x14ac:dyDescent="0.25">
      <c r="A73" s="133" t="s">
        <v>25771</v>
      </c>
      <c r="B73" s="132">
        <v>1</v>
      </c>
    </row>
    <row r="74" spans="1:2" x14ac:dyDescent="0.25">
      <c r="A74" s="133" t="s">
        <v>25772</v>
      </c>
      <c r="B74" s="132">
        <v>1</v>
      </c>
    </row>
    <row r="75" spans="1:2" x14ac:dyDescent="0.25">
      <c r="A75" s="133" t="s">
        <v>25773</v>
      </c>
      <c r="B75" s="132">
        <v>1</v>
      </c>
    </row>
    <row r="76" spans="1:2" x14ac:dyDescent="0.25">
      <c r="A76" s="133" t="s">
        <v>25774</v>
      </c>
      <c r="B76" s="132">
        <v>1</v>
      </c>
    </row>
    <row r="77" spans="1:2" x14ac:dyDescent="0.25">
      <c r="A77" s="133" t="s">
        <v>25775</v>
      </c>
      <c r="B77" s="132">
        <v>1</v>
      </c>
    </row>
    <row r="78" spans="1:2" x14ac:dyDescent="0.25">
      <c r="A78" s="133" t="s">
        <v>25776</v>
      </c>
      <c r="B78" s="132">
        <v>1</v>
      </c>
    </row>
    <row r="79" spans="1:2" x14ac:dyDescent="0.25">
      <c r="A79" s="133" t="s">
        <v>25777</v>
      </c>
      <c r="B79" s="132">
        <v>1</v>
      </c>
    </row>
    <row r="80" spans="1:2" x14ac:dyDescent="0.25">
      <c r="A80" s="133" t="s">
        <v>25778</v>
      </c>
      <c r="B80" s="132">
        <v>1</v>
      </c>
    </row>
    <row r="81" spans="1:2" x14ac:dyDescent="0.25">
      <c r="A81" s="133" t="s">
        <v>25779</v>
      </c>
      <c r="B81" s="132">
        <v>1</v>
      </c>
    </row>
    <row r="82" spans="1:2" x14ac:dyDescent="0.25">
      <c r="A82" s="133" t="s">
        <v>25780</v>
      </c>
      <c r="B82" s="132">
        <v>1</v>
      </c>
    </row>
    <row r="83" spans="1:2" x14ac:dyDescent="0.25">
      <c r="A83" s="133" t="s">
        <v>25781</v>
      </c>
      <c r="B83" s="132">
        <v>1</v>
      </c>
    </row>
    <row r="84" spans="1:2" x14ac:dyDescent="0.25">
      <c r="A84" s="133" t="s">
        <v>25782</v>
      </c>
      <c r="B84" s="132">
        <v>1</v>
      </c>
    </row>
    <row r="85" spans="1:2" x14ac:dyDescent="0.25">
      <c r="A85" s="133" t="s">
        <v>25783</v>
      </c>
      <c r="B85" s="132">
        <v>1</v>
      </c>
    </row>
    <row r="86" spans="1:2" x14ac:dyDescent="0.25">
      <c r="A86" s="133" t="s">
        <v>25784</v>
      </c>
      <c r="B86" s="132">
        <v>1</v>
      </c>
    </row>
    <row r="87" spans="1:2" x14ac:dyDescent="0.25">
      <c r="A87" s="133" t="s">
        <v>25785</v>
      </c>
      <c r="B87" s="132">
        <v>1</v>
      </c>
    </row>
    <row r="88" spans="1:2" x14ac:dyDescent="0.25">
      <c r="A88" s="133" t="s">
        <v>25786</v>
      </c>
      <c r="B88" s="132">
        <v>1</v>
      </c>
    </row>
    <row r="89" spans="1:2" x14ac:dyDescent="0.25">
      <c r="A89" s="133" t="s">
        <v>25787</v>
      </c>
      <c r="B89" s="132">
        <v>1</v>
      </c>
    </row>
    <row r="90" spans="1:2" x14ac:dyDescent="0.25">
      <c r="A90" s="133" t="s">
        <v>25788</v>
      </c>
      <c r="B90" s="132">
        <v>1</v>
      </c>
    </row>
    <row r="91" spans="1:2" x14ac:dyDescent="0.25">
      <c r="A91" s="133" t="s">
        <v>25789</v>
      </c>
      <c r="B91" s="132">
        <v>1</v>
      </c>
    </row>
    <row r="92" spans="1:2" x14ac:dyDescent="0.25">
      <c r="A92" s="133" t="s">
        <v>25790</v>
      </c>
      <c r="B92" s="132">
        <v>1</v>
      </c>
    </row>
    <row r="93" spans="1:2" x14ac:dyDescent="0.25">
      <c r="A93" s="133" t="s">
        <v>25791</v>
      </c>
      <c r="B93" s="132">
        <v>1</v>
      </c>
    </row>
    <row r="94" spans="1:2" x14ac:dyDescent="0.25">
      <c r="A94" s="133" t="s">
        <v>25792</v>
      </c>
      <c r="B94" s="132">
        <v>1</v>
      </c>
    </row>
    <row r="95" spans="1:2" x14ac:dyDescent="0.25">
      <c r="A95" s="133" t="s">
        <v>25793</v>
      </c>
      <c r="B95" s="132">
        <v>1</v>
      </c>
    </row>
    <row r="96" spans="1:2" x14ac:dyDescent="0.25">
      <c r="A96" s="133" t="s">
        <v>25794</v>
      </c>
      <c r="B96" s="132">
        <v>1</v>
      </c>
    </row>
    <row r="97" spans="1:2" x14ac:dyDescent="0.25">
      <c r="A97" s="133" t="s">
        <v>25795</v>
      </c>
      <c r="B97" s="132">
        <v>1</v>
      </c>
    </row>
    <row r="98" spans="1:2" x14ac:dyDescent="0.25">
      <c r="A98" s="133" t="s">
        <v>25796</v>
      </c>
      <c r="B98" s="132">
        <v>1</v>
      </c>
    </row>
    <row r="99" spans="1:2" x14ac:dyDescent="0.25">
      <c r="A99" s="133" t="s">
        <v>25797</v>
      </c>
      <c r="B99" s="132">
        <v>1</v>
      </c>
    </row>
    <row r="100" spans="1:2" x14ac:dyDescent="0.25">
      <c r="A100" s="133" t="s">
        <v>25798</v>
      </c>
      <c r="B100" s="132">
        <v>1</v>
      </c>
    </row>
    <row r="101" spans="1:2" x14ac:dyDescent="0.25">
      <c r="A101" s="133" t="s">
        <v>25799</v>
      </c>
      <c r="B101" s="132">
        <v>1</v>
      </c>
    </row>
    <row r="102" spans="1:2" x14ac:dyDescent="0.25">
      <c r="A102" s="133" t="s">
        <v>25800</v>
      </c>
      <c r="B102" s="132">
        <v>1</v>
      </c>
    </row>
    <row r="103" spans="1:2" x14ac:dyDescent="0.25">
      <c r="A103" s="133" t="s">
        <v>25801</v>
      </c>
      <c r="B103" s="132">
        <v>1</v>
      </c>
    </row>
    <row r="104" spans="1:2" x14ac:dyDescent="0.25">
      <c r="A104" s="133" t="s">
        <v>25802</v>
      </c>
      <c r="B104" s="132">
        <v>1</v>
      </c>
    </row>
    <row r="105" spans="1:2" x14ac:dyDescent="0.25">
      <c r="A105" s="133" t="s">
        <v>25803</v>
      </c>
      <c r="B105" s="132">
        <v>1</v>
      </c>
    </row>
    <row r="106" spans="1:2" x14ac:dyDescent="0.25">
      <c r="A106" s="133" t="s">
        <v>25804</v>
      </c>
      <c r="B106" s="132">
        <v>1</v>
      </c>
    </row>
    <row r="107" spans="1:2" x14ac:dyDescent="0.25">
      <c r="A107" s="133" t="s">
        <v>25805</v>
      </c>
      <c r="B107" s="132">
        <v>1</v>
      </c>
    </row>
    <row r="108" spans="1:2" x14ac:dyDescent="0.25">
      <c r="A108" s="133" t="s">
        <v>25806</v>
      </c>
      <c r="B108" s="132">
        <v>1</v>
      </c>
    </row>
    <row r="109" spans="1:2" x14ac:dyDescent="0.25">
      <c r="A109" s="133" t="s">
        <v>25807</v>
      </c>
      <c r="B109" s="132">
        <v>1</v>
      </c>
    </row>
    <row r="110" spans="1:2" x14ac:dyDescent="0.25">
      <c r="A110" s="133" t="s">
        <v>25808</v>
      </c>
      <c r="B110" s="132">
        <v>1</v>
      </c>
    </row>
    <row r="111" spans="1:2" x14ac:dyDescent="0.25">
      <c r="A111" s="133" t="s">
        <v>25809</v>
      </c>
      <c r="B111" s="132">
        <v>1</v>
      </c>
    </row>
    <row r="112" spans="1:2" x14ac:dyDescent="0.25">
      <c r="A112" s="133" t="s">
        <v>25810</v>
      </c>
      <c r="B112" s="132">
        <v>1</v>
      </c>
    </row>
    <row r="113" spans="1:2" x14ac:dyDescent="0.25">
      <c r="A113" s="133" t="s">
        <v>25811</v>
      </c>
      <c r="B113" s="132">
        <v>1</v>
      </c>
    </row>
    <row r="114" spans="1:2" x14ac:dyDescent="0.25">
      <c r="A114" s="133" t="s">
        <v>25812</v>
      </c>
      <c r="B114" s="132">
        <v>1</v>
      </c>
    </row>
    <row r="115" spans="1:2" x14ac:dyDescent="0.25">
      <c r="A115" s="133" t="s">
        <v>25813</v>
      </c>
      <c r="B115" s="132">
        <v>1</v>
      </c>
    </row>
    <row r="116" spans="1:2" x14ac:dyDescent="0.25">
      <c r="A116" s="133" t="s">
        <v>25814</v>
      </c>
      <c r="B116" s="132">
        <v>1</v>
      </c>
    </row>
    <row r="117" spans="1:2" x14ac:dyDescent="0.25">
      <c r="A117" s="133" t="s">
        <v>25815</v>
      </c>
      <c r="B117" s="132">
        <v>1</v>
      </c>
    </row>
    <row r="118" spans="1:2" x14ac:dyDescent="0.25">
      <c r="A118" s="133" t="s">
        <v>25816</v>
      </c>
      <c r="B118" s="132">
        <v>1</v>
      </c>
    </row>
    <row r="119" spans="1:2" x14ac:dyDescent="0.25">
      <c r="A119" s="133" t="s">
        <v>25817</v>
      </c>
      <c r="B119" s="132">
        <v>1</v>
      </c>
    </row>
    <row r="120" spans="1:2" x14ac:dyDescent="0.25">
      <c r="A120" s="133" t="s">
        <v>25818</v>
      </c>
      <c r="B120" s="132">
        <v>1</v>
      </c>
    </row>
    <row r="121" spans="1:2" x14ac:dyDescent="0.25">
      <c r="A121" s="133" t="s">
        <v>25819</v>
      </c>
      <c r="B121" s="132">
        <v>1</v>
      </c>
    </row>
    <row r="122" spans="1:2" x14ac:dyDescent="0.25">
      <c r="A122" s="133" t="s">
        <v>25820</v>
      </c>
      <c r="B122" s="132">
        <v>1</v>
      </c>
    </row>
    <row r="123" spans="1:2" x14ac:dyDescent="0.25">
      <c r="A123" s="133" t="s">
        <v>25821</v>
      </c>
      <c r="B123" s="132">
        <v>1</v>
      </c>
    </row>
    <row r="124" spans="1:2" x14ac:dyDescent="0.25">
      <c r="A124" s="133" t="s">
        <v>25822</v>
      </c>
      <c r="B124" s="132">
        <v>1</v>
      </c>
    </row>
    <row r="125" spans="1:2" x14ac:dyDescent="0.25">
      <c r="A125" s="133" t="s">
        <v>25823</v>
      </c>
      <c r="B125" s="132">
        <v>1</v>
      </c>
    </row>
    <row r="126" spans="1:2" x14ac:dyDescent="0.25">
      <c r="A126" s="133" t="s">
        <v>25824</v>
      </c>
      <c r="B126" s="132">
        <v>1</v>
      </c>
    </row>
    <row r="127" spans="1:2" x14ac:dyDescent="0.25">
      <c r="A127" s="133" t="s">
        <v>25825</v>
      </c>
      <c r="B127" s="132">
        <v>1</v>
      </c>
    </row>
    <row r="128" spans="1:2" x14ac:dyDescent="0.25">
      <c r="A128" s="133" t="s">
        <v>25826</v>
      </c>
      <c r="B128" s="132">
        <v>1</v>
      </c>
    </row>
    <row r="129" spans="1:2" x14ac:dyDescent="0.25">
      <c r="A129" s="133" t="s">
        <v>25827</v>
      </c>
      <c r="B129" s="132">
        <v>1</v>
      </c>
    </row>
    <row r="130" spans="1:2" x14ac:dyDescent="0.25">
      <c r="A130" s="133" t="s">
        <v>25828</v>
      </c>
      <c r="B130" s="132">
        <v>1</v>
      </c>
    </row>
    <row r="131" spans="1:2" x14ac:dyDescent="0.25">
      <c r="A131" s="133" t="s">
        <v>25829</v>
      </c>
      <c r="B131" s="132">
        <v>1</v>
      </c>
    </row>
    <row r="132" spans="1:2" x14ac:dyDescent="0.25">
      <c r="A132" s="133" t="s">
        <v>25830</v>
      </c>
      <c r="B132" s="132">
        <v>1</v>
      </c>
    </row>
    <row r="133" spans="1:2" x14ac:dyDescent="0.25">
      <c r="A133" s="133" t="s">
        <v>25831</v>
      </c>
      <c r="B133" s="132">
        <v>1</v>
      </c>
    </row>
    <row r="134" spans="1:2" x14ac:dyDescent="0.25">
      <c r="A134" s="133" t="s">
        <v>25832</v>
      </c>
      <c r="B134" s="132">
        <v>1</v>
      </c>
    </row>
    <row r="135" spans="1:2" x14ac:dyDescent="0.25">
      <c r="A135" s="133" t="s">
        <v>25833</v>
      </c>
      <c r="B135" s="132">
        <v>1</v>
      </c>
    </row>
    <row r="136" spans="1:2" x14ac:dyDescent="0.25">
      <c r="A136" s="133" t="s">
        <v>25834</v>
      </c>
      <c r="B136" s="132">
        <v>1</v>
      </c>
    </row>
    <row r="137" spans="1:2" x14ac:dyDescent="0.25">
      <c r="A137" s="133" t="s">
        <v>25835</v>
      </c>
      <c r="B137" s="132">
        <v>1</v>
      </c>
    </row>
    <row r="138" spans="1:2" x14ac:dyDescent="0.25">
      <c r="A138" s="133" t="s">
        <v>25836</v>
      </c>
      <c r="B138" s="132">
        <v>1</v>
      </c>
    </row>
    <row r="139" spans="1:2" x14ac:dyDescent="0.25">
      <c r="A139" s="133" t="s">
        <v>25837</v>
      </c>
      <c r="B139" s="132">
        <v>1</v>
      </c>
    </row>
    <row r="140" spans="1:2" x14ac:dyDescent="0.25">
      <c r="A140" s="133" t="s">
        <v>25838</v>
      </c>
      <c r="B140" s="132">
        <v>1</v>
      </c>
    </row>
    <row r="141" spans="1:2" x14ac:dyDescent="0.25">
      <c r="A141" s="133" t="s">
        <v>25839</v>
      </c>
      <c r="B141" s="132">
        <v>1</v>
      </c>
    </row>
    <row r="142" spans="1:2" x14ac:dyDescent="0.25">
      <c r="A142" s="133" t="s">
        <v>25840</v>
      </c>
      <c r="B142" s="132">
        <v>1</v>
      </c>
    </row>
    <row r="143" spans="1:2" x14ac:dyDescent="0.25">
      <c r="A143" s="133" t="s">
        <v>25841</v>
      </c>
      <c r="B143" s="132">
        <v>1</v>
      </c>
    </row>
    <row r="144" spans="1:2" x14ac:dyDescent="0.25">
      <c r="A144" s="133" t="s">
        <v>25842</v>
      </c>
      <c r="B144" s="132">
        <v>1</v>
      </c>
    </row>
    <row r="145" spans="1:2" x14ac:dyDescent="0.25">
      <c r="A145" s="133" t="s">
        <v>25843</v>
      </c>
      <c r="B145" s="132">
        <v>1</v>
      </c>
    </row>
    <row r="146" spans="1:2" x14ac:dyDescent="0.25">
      <c r="A146" s="133" t="s">
        <v>25844</v>
      </c>
      <c r="B146" s="132">
        <v>1</v>
      </c>
    </row>
    <row r="147" spans="1:2" x14ac:dyDescent="0.25">
      <c r="A147" s="133" t="s">
        <v>25845</v>
      </c>
      <c r="B147" s="132">
        <v>1</v>
      </c>
    </row>
    <row r="148" spans="1:2" x14ac:dyDescent="0.25">
      <c r="A148" s="133" t="s">
        <v>25846</v>
      </c>
      <c r="B148" s="132">
        <v>1</v>
      </c>
    </row>
    <row r="149" spans="1:2" x14ac:dyDescent="0.25">
      <c r="A149" s="133" t="s">
        <v>25847</v>
      </c>
      <c r="B149" s="132">
        <v>1</v>
      </c>
    </row>
    <row r="150" spans="1:2" x14ac:dyDescent="0.25">
      <c r="A150" s="133" t="s">
        <v>25848</v>
      </c>
      <c r="B150" s="132">
        <v>1</v>
      </c>
    </row>
    <row r="151" spans="1:2" x14ac:dyDescent="0.25">
      <c r="A151" s="133" t="s">
        <v>25849</v>
      </c>
      <c r="B151" s="132">
        <v>1</v>
      </c>
    </row>
    <row r="152" spans="1:2" x14ac:dyDescent="0.25">
      <c r="A152" s="133" t="s">
        <v>25850</v>
      </c>
      <c r="B152" s="132">
        <v>1</v>
      </c>
    </row>
    <row r="153" spans="1:2" x14ac:dyDescent="0.25">
      <c r="A153" s="133" t="s">
        <v>25851</v>
      </c>
      <c r="B153" s="132">
        <v>1</v>
      </c>
    </row>
    <row r="154" spans="1:2" x14ac:dyDescent="0.25">
      <c r="A154" s="133" t="s">
        <v>25852</v>
      </c>
      <c r="B154" s="132">
        <v>1</v>
      </c>
    </row>
    <row r="155" spans="1:2" x14ac:dyDescent="0.25">
      <c r="A155" s="133" t="s">
        <v>25853</v>
      </c>
      <c r="B155" s="132">
        <v>1</v>
      </c>
    </row>
    <row r="156" spans="1:2" x14ac:dyDescent="0.25">
      <c r="A156" s="133" t="s">
        <v>25854</v>
      </c>
      <c r="B156" s="132">
        <v>1</v>
      </c>
    </row>
    <row r="157" spans="1:2" x14ac:dyDescent="0.25">
      <c r="A157" s="133" t="s">
        <v>25855</v>
      </c>
      <c r="B157" s="132">
        <v>1</v>
      </c>
    </row>
    <row r="158" spans="1:2" x14ac:dyDescent="0.25">
      <c r="A158" s="133" t="s">
        <v>25856</v>
      </c>
      <c r="B158" s="132">
        <v>1</v>
      </c>
    </row>
    <row r="159" spans="1:2" x14ac:dyDescent="0.25">
      <c r="A159" s="133" t="s">
        <v>25857</v>
      </c>
      <c r="B159" s="132">
        <v>1</v>
      </c>
    </row>
    <row r="160" spans="1:2" x14ac:dyDescent="0.25">
      <c r="A160" s="133" t="s">
        <v>25858</v>
      </c>
      <c r="B160" s="132">
        <v>1</v>
      </c>
    </row>
    <row r="161" spans="1:2" x14ac:dyDescent="0.25">
      <c r="A161" s="133" t="s">
        <v>25859</v>
      </c>
      <c r="B161" s="132">
        <v>1</v>
      </c>
    </row>
    <row r="162" spans="1:2" x14ac:dyDescent="0.25">
      <c r="A162" s="133" t="s">
        <v>25860</v>
      </c>
      <c r="B162" s="132">
        <v>1</v>
      </c>
    </row>
    <row r="163" spans="1:2" x14ac:dyDescent="0.25">
      <c r="A163" s="133" t="s">
        <v>25861</v>
      </c>
      <c r="B163" s="132">
        <v>1</v>
      </c>
    </row>
    <row r="164" spans="1:2" x14ac:dyDescent="0.25">
      <c r="A164" s="133" t="s">
        <v>25862</v>
      </c>
      <c r="B164" s="132">
        <v>1</v>
      </c>
    </row>
    <row r="165" spans="1:2" x14ac:dyDescent="0.25">
      <c r="A165" s="133" t="s">
        <v>25863</v>
      </c>
      <c r="B165" s="132">
        <v>1</v>
      </c>
    </row>
    <row r="166" spans="1:2" x14ac:dyDescent="0.25">
      <c r="A166" s="133" t="s">
        <v>25864</v>
      </c>
      <c r="B166" s="132">
        <v>1</v>
      </c>
    </row>
    <row r="167" spans="1:2" x14ac:dyDescent="0.25">
      <c r="A167" s="133" t="s">
        <v>25865</v>
      </c>
      <c r="B167" s="132">
        <v>1</v>
      </c>
    </row>
    <row r="168" spans="1:2" x14ac:dyDescent="0.25">
      <c r="A168" s="133" t="s">
        <v>25866</v>
      </c>
      <c r="B168" s="132">
        <v>1</v>
      </c>
    </row>
    <row r="169" spans="1:2" x14ac:dyDescent="0.25">
      <c r="A169" s="133" t="s">
        <v>25867</v>
      </c>
      <c r="B169" s="132">
        <v>1</v>
      </c>
    </row>
    <row r="170" spans="1:2" x14ac:dyDescent="0.25">
      <c r="A170" s="133" t="s">
        <v>25868</v>
      </c>
      <c r="B170" s="132">
        <v>1</v>
      </c>
    </row>
    <row r="171" spans="1:2" x14ac:dyDescent="0.25">
      <c r="A171" s="133" t="s">
        <v>25869</v>
      </c>
      <c r="B171" s="132">
        <v>1</v>
      </c>
    </row>
    <row r="172" spans="1:2" x14ac:dyDescent="0.25">
      <c r="A172" s="133" t="s">
        <v>25870</v>
      </c>
      <c r="B172" s="132">
        <v>1</v>
      </c>
    </row>
    <row r="173" spans="1:2" x14ac:dyDescent="0.25">
      <c r="A173" s="133" t="s">
        <v>25871</v>
      </c>
      <c r="B173" s="132">
        <v>1</v>
      </c>
    </row>
    <row r="174" spans="1:2" x14ac:dyDescent="0.25">
      <c r="A174" s="133" t="s">
        <v>25872</v>
      </c>
      <c r="B174" s="132">
        <v>1</v>
      </c>
    </row>
    <row r="175" spans="1:2" x14ac:dyDescent="0.25">
      <c r="A175" s="133" t="s">
        <v>25873</v>
      </c>
      <c r="B175" s="132">
        <v>1</v>
      </c>
    </row>
    <row r="176" spans="1:2" x14ac:dyDescent="0.25">
      <c r="A176" s="133" t="s">
        <v>25874</v>
      </c>
      <c r="B176" s="132">
        <v>1</v>
      </c>
    </row>
    <row r="177" spans="1:2" x14ac:dyDescent="0.25">
      <c r="A177" s="133" t="s">
        <v>25875</v>
      </c>
      <c r="B177" s="132">
        <v>1</v>
      </c>
    </row>
    <row r="178" spans="1:2" x14ac:dyDescent="0.25">
      <c r="A178" s="133" t="s">
        <v>25876</v>
      </c>
      <c r="B178" s="132">
        <v>1</v>
      </c>
    </row>
    <row r="179" spans="1:2" x14ac:dyDescent="0.25">
      <c r="A179" s="133" t="s">
        <v>25877</v>
      </c>
      <c r="B179" s="132">
        <v>1</v>
      </c>
    </row>
    <row r="180" spans="1:2" x14ac:dyDescent="0.25">
      <c r="A180" s="133" t="s">
        <v>25878</v>
      </c>
      <c r="B180" s="132">
        <v>1</v>
      </c>
    </row>
    <row r="181" spans="1:2" x14ac:dyDescent="0.25">
      <c r="A181" s="133" t="s">
        <v>25879</v>
      </c>
      <c r="B181" s="132">
        <v>1</v>
      </c>
    </row>
    <row r="182" spans="1:2" x14ac:dyDescent="0.25">
      <c r="A182" s="133" t="s">
        <v>25880</v>
      </c>
      <c r="B182" s="132">
        <v>1</v>
      </c>
    </row>
    <row r="183" spans="1:2" x14ac:dyDescent="0.25">
      <c r="A183" s="133" t="s">
        <v>25881</v>
      </c>
      <c r="B183" s="132">
        <v>1</v>
      </c>
    </row>
    <row r="184" spans="1:2" x14ac:dyDescent="0.25">
      <c r="A184" s="133" t="s">
        <v>25882</v>
      </c>
      <c r="B184" s="132">
        <v>1</v>
      </c>
    </row>
    <row r="185" spans="1:2" x14ac:dyDescent="0.25">
      <c r="A185" s="133" t="s">
        <v>25883</v>
      </c>
      <c r="B185" s="132">
        <v>1</v>
      </c>
    </row>
    <row r="186" spans="1:2" x14ac:dyDescent="0.25">
      <c r="A186" s="133" t="s">
        <v>25884</v>
      </c>
      <c r="B186" s="132">
        <v>1</v>
      </c>
    </row>
    <row r="187" spans="1:2" x14ac:dyDescent="0.25">
      <c r="A187" s="133" t="s">
        <v>25885</v>
      </c>
      <c r="B187" s="132">
        <v>1</v>
      </c>
    </row>
    <row r="188" spans="1:2" x14ac:dyDescent="0.25">
      <c r="A188" s="133" t="s">
        <v>25886</v>
      </c>
      <c r="B188" s="132">
        <v>1</v>
      </c>
    </row>
    <row r="189" spans="1:2" x14ac:dyDescent="0.25">
      <c r="A189" s="133" t="s">
        <v>25887</v>
      </c>
      <c r="B189" s="132">
        <v>1</v>
      </c>
    </row>
    <row r="190" spans="1:2" x14ac:dyDescent="0.25">
      <c r="A190" s="133" t="s">
        <v>25888</v>
      </c>
      <c r="B190" s="132">
        <v>1</v>
      </c>
    </row>
    <row r="191" spans="1:2" x14ac:dyDescent="0.25">
      <c r="A191" s="133" t="s">
        <v>25889</v>
      </c>
      <c r="B191" s="132">
        <v>1</v>
      </c>
    </row>
    <row r="192" spans="1:2" x14ac:dyDescent="0.25">
      <c r="A192" s="133" t="s">
        <v>25890</v>
      </c>
      <c r="B192" s="132">
        <v>1</v>
      </c>
    </row>
    <row r="193" spans="1:2" x14ac:dyDescent="0.25">
      <c r="A193" s="133" t="s">
        <v>25891</v>
      </c>
      <c r="B193" s="132">
        <v>1</v>
      </c>
    </row>
    <row r="194" spans="1:2" x14ac:dyDescent="0.25">
      <c r="A194" s="133" t="s">
        <v>25892</v>
      </c>
      <c r="B194" s="132">
        <v>1</v>
      </c>
    </row>
    <row r="195" spans="1:2" x14ac:dyDescent="0.25">
      <c r="A195" s="133" t="s">
        <v>25893</v>
      </c>
      <c r="B195" s="132">
        <v>1</v>
      </c>
    </row>
    <row r="196" spans="1:2" x14ac:dyDescent="0.25">
      <c r="A196" s="133" t="s">
        <v>25894</v>
      </c>
      <c r="B196" s="132">
        <v>1</v>
      </c>
    </row>
    <row r="197" spans="1:2" x14ac:dyDescent="0.25">
      <c r="A197" s="133" t="s">
        <v>25895</v>
      </c>
      <c r="B197" s="132">
        <v>1</v>
      </c>
    </row>
    <row r="198" spans="1:2" x14ac:dyDescent="0.25">
      <c r="A198" s="133" t="s">
        <v>25896</v>
      </c>
      <c r="B198" s="132">
        <v>1</v>
      </c>
    </row>
    <row r="199" spans="1:2" x14ac:dyDescent="0.25">
      <c r="A199" s="133" t="s">
        <v>25897</v>
      </c>
      <c r="B199" s="132">
        <v>1</v>
      </c>
    </row>
    <row r="200" spans="1:2" x14ac:dyDescent="0.25">
      <c r="A200" s="133" t="s">
        <v>25898</v>
      </c>
      <c r="B200" s="132">
        <v>1</v>
      </c>
    </row>
    <row r="201" spans="1:2" x14ac:dyDescent="0.25">
      <c r="A201" s="133" t="s">
        <v>25899</v>
      </c>
      <c r="B201" s="132">
        <v>1</v>
      </c>
    </row>
    <row r="202" spans="1:2" x14ac:dyDescent="0.25">
      <c r="A202" s="133" t="s">
        <v>25900</v>
      </c>
      <c r="B202" s="132">
        <v>1</v>
      </c>
    </row>
    <row r="203" spans="1:2" x14ac:dyDescent="0.25">
      <c r="A203" s="133" t="s">
        <v>25901</v>
      </c>
      <c r="B203" s="132">
        <v>1</v>
      </c>
    </row>
    <row r="204" spans="1:2" x14ac:dyDescent="0.25">
      <c r="A204" s="133" t="s">
        <v>25902</v>
      </c>
      <c r="B204" s="132">
        <v>1</v>
      </c>
    </row>
    <row r="205" spans="1:2" x14ac:dyDescent="0.25">
      <c r="A205" s="133" t="s">
        <v>25903</v>
      </c>
      <c r="B205" s="132">
        <v>1</v>
      </c>
    </row>
    <row r="206" spans="1:2" x14ac:dyDescent="0.25">
      <c r="A206" s="133" t="s">
        <v>25904</v>
      </c>
      <c r="B206" s="132">
        <v>1</v>
      </c>
    </row>
    <row r="207" spans="1:2" x14ac:dyDescent="0.25">
      <c r="A207" s="133" t="s">
        <v>25905</v>
      </c>
      <c r="B207" s="132">
        <v>1</v>
      </c>
    </row>
    <row r="208" spans="1:2" x14ac:dyDescent="0.25">
      <c r="A208" s="133" t="s">
        <v>25906</v>
      </c>
      <c r="B208" s="132">
        <v>1</v>
      </c>
    </row>
    <row r="209" spans="1:2" x14ac:dyDescent="0.25">
      <c r="A209" s="133" t="s">
        <v>25907</v>
      </c>
      <c r="B209" s="132">
        <v>1</v>
      </c>
    </row>
    <row r="210" spans="1:2" x14ac:dyDescent="0.25">
      <c r="A210" s="133" t="s">
        <v>25908</v>
      </c>
      <c r="B210" s="132">
        <v>1</v>
      </c>
    </row>
    <row r="211" spans="1:2" x14ac:dyDescent="0.25">
      <c r="A211" s="133" t="s">
        <v>25909</v>
      </c>
      <c r="B211" s="132">
        <v>1</v>
      </c>
    </row>
    <row r="212" spans="1:2" x14ac:dyDescent="0.25">
      <c r="A212" s="133" t="s">
        <v>25910</v>
      </c>
      <c r="B212" s="132">
        <v>1</v>
      </c>
    </row>
    <row r="213" spans="1:2" x14ac:dyDescent="0.25">
      <c r="A213" s="133" t="s">
        <v>25911</v>
      </c>
      <c r="B213" s="132">
        <v>1</v>
      </c>
    </row>
    <row r="214" spans="1:2" x14ac:dyDescent="0.25">
      <c r="A214" s="133" t="s">
        <v>25912</v>
      </c>
      <c r="B214" s="132">
        <v>1</v>
      </c>
    </row>
    <row r="215" spans="1:2" x14ac:dyDescent="0.25">
      <c r="A215" s="133" t="s">
        <v>25913</v>
      </c>
      <c r="B215" s="132">
        <v>1</v>
      </c>
    </row>
    <row r="216" spans="1:2" x14ac:dyDescent="0.25">
      <c r="A216" s="133" t="s">
        <v>25914</v>
      </c>
      <c r="B216" s="132">
        <v>1</v>
      </c>
    </row>
    <row r="217" spans="1:2" x14ac:dyDescent="0.25">
      <c r="A217" s="133" t="s">
        <v>25915</v>
      </c>
      <c r="B217" s="132">
        <v>1</v>
      </c>
    </row>
    <row r="218" spans="1:2" x14ac:dyDescent="0.25">
      <c r="A218" s="133" t="s">
        <v>25916</v>
      </c>
      <c r="B218" s="132">
        <v>1</v>
      </c>
    </row>
    <row r="219" spans="1:2" x14ac:dyDescent="0.25">
      <c r="A219" s="133" t="s">
        <v>25917</v>
      </c>
      <c r="B219" s="132">
        <v>1</v>
      </c>
    </row>
    <row r="220" spans="1:2" x14ac:dyDescent="0.25">
      <c r="A220" s="133" t="s">
        <v>25918</v>
      </c>
      <c r="B220" s="132">
        <v>1</v>
      </c>
    </row>
    <row r="221" spans="1:2" x14ac:dyDescent="0.25">
      <c r="A221" s="133" t="s">
        <v>25919</v>
      </c>
      <c r="B221" s="132">
        <v>1</v>
      </c>
    </row>
    <row r="222" spans="1:2" x14ac:dyDescent="0.25">
      <c r="A222" s="133" t="s">
        <v>25920</v>
      </c>
      <c r="B222" s="132">
        <v>1</v>
      </c>
    </row>
    <row r="223" spans="1:2" x14ac:dyDescent="0.25">
      <c r="A223" s="133" t="s">
        <v>25921</v>
      </c>
      <c r="B223" s="132">
        <v>1</v>
      </c>
    </row>
    <row r="224" spans="1:2" x14ac:dyDescent="0.25">
      <c r="A224" s="133" t="s">
        <v>25922</v>
      </c>
      <c r="B224" s="132">
        <v>1</v>
      </c>
    </row>
    <row r="225" spans="1:2" x14ac:dyDescent="0.25">
      <c r="A225" s="133" t="s">
        <v>25923</v>
      </c>
      <c r="B225" s="132">
        <v>1</v>
      </c>
    </row>
    <row r="226" spans="1:2" x14ac:dyDescent="0.25">
      <c r="A226" s="133" t="s">
        <v>25924</v>
      </c>
      <c r="B226" s="132">
        <v>1</v>
      </c>
    </row>
    <row r="227" spans="1:2" x14ac:dyDescent="0.25">
      <c r="A227" s="133" t="s">
        <v>25925</v>
      </c>
      <c r="B227" s="132">
        <v>1</v>
      </c>
    </row>
    <row r="228" spans="1:2" x14ac:dyDescent="0.25">
      <c r="A228" s="133" t="s">
        <v>25926</v>
      </c>
      <c r="B228" s="132">
        <v>1</v>
      </c>
    </row>
    <row r="229" spans="1:2" x14ac:dyDescent="0.25">
      <c r="A229" s="133" t="s">
        <v>25927</v>
      </c>
      <c r="B229" s="132">
        <v>1</v>
      </c>
    </row>
    <row r="230" spans="1:2" x14ac:dyDescent="0.25">
      <c r="A230" s="133" t="s">
        <v>25928</v>
      </c>
      <c r="B230" s="132">
        <v>1</v>
      </c>
    </row>
    <row r="231" spans="1:2" x14ac:dyDescent="0.25">
      <c r="A231" s="133" t="s">
        <v>25929</v>
      </c>
      <c r="B231" s="132">
        <v>1</v>
      </c>
    </row>
    <row r="232" spans="1:2" x14ac:dyDescent="0.25">
      <c r="A232" s="133" t="s">
        <v>25930</v>
      </c>
      <c r="B232" s="132">
        <v>1</v>
      </c>
    </row>
    <row r="233" spans="1:2" x14ac:dyDescent="0.25">
      <c r="A233" s="133" t="s">
        <v>25931</v>
      </c>
      <c r="B233" s="132">
        <v>1</v>
      </c>
    </row>
    <row r="234" spans="1:2" x14ac:dyDescent="0.25">
      <c r="A234" s="133" t="s">
        <v>25932</v>
      </c>
      <c r="B234" s="132">
        <v>1</v>
      </c>
    </row>
    <row r="235" spans="1:2" x14ac:dyDescent="0.25">
      <c r="A235" s="133" t="s">
        <v>25933</v>
      </c>
      <c r="B235" s="132">
        <v>1</v>
      </c>
    </row>
    <row r="236" spans="1:2" x14ac:dyDescent="0.25">
      <c r="A236" s="133" t="s">
        <v>25934</v>
      </c>
      <c r="B236" s="132">
        <v>1</v>
      </c>
    </row>
    <row r="237" spans="1:2" x14ac:dyDescent="0.25">
      <c r="A237" s="133" t="s">
        <v>25935</v>
      </c>
      <c r="B237" s="132">
        <v>1</v>
      </c>
    </row>
    <row r="238" spans="1:2" x14ac:dyDescent="0.25">
      <c r="A238" s="133" t="s">
        <v>25936</v>
      </c>
      <c r="B238" s="132">
        <v>1</v>
      </c>
    </row>
    <row r="239" spans="1:2" x14ac:dyDescent="0.25">
      <c r="A239" s="133" t="s">
        <v>25937</v>
      </c>
      <c r="B239" s="132">
        <v>1</v>
      </c>
    </row>
    <row r="240" spans="1:2" x14ac:dyDescent="0.25">
      <c r="A240" s="133" t="s">
        <v>25938</v>
      </c>
      <c r="B240" s="132">
        <v>1</v>
      </c>
    </row>
    <row r="241" spans="1:2" x14ac:dyDescent="0.25">
      <c r="A241" s="133" t="s">
        <v>25939</v>
      </c>
      <c r="B241" s="132">
        <v>1</v>
      </c>
    </row>
    <row r="242" spans="1:2" x14ac:dyDescent="0.25">
      <c r="A242" s="133" t="s">
        <v>25940</v>
      </c>
      <c r="B242" s="132">
        <v>1</v>
      </c>
    </row>
    <row r="243" spans="1:2" x14ac:dyDescent="0.25">
      <c r="A243" s="133" t="s">
        <v>25941</v>
      </c>
      <c r="B243" s="132">
        <v>1</v>
      </c>
    </row>
    <row r="244" spans="1:2" x14ac:dyDescent="0.25">
      <c r="A244" s="133" t="s">
        <v>25942</v>
      </c>
      <c r="B244" s="132">
        <v>1</v>
      </c>
    </row>
    <row r="245" spans="1:2" x14ac:dyDescent="0.25">
      <c r="A245" s="133" t="s">
        <v>25943</v>
      </c>
      <c r="B245" s="132">
        <v>1</v>
      </c>
    </row>
    <row r="246" spans="1:2" x14ac:dyDescent="0.25">
      <c r="A246" s="133" t="s">
        <v>25944</v>
      </c>
      <c r="B246" s="132">
        <v>1</v>
      </c>
    </row>
    <row r="247" spans="1:2" x14ac:dyDescent="0.25">
      <c r="A247" s="133" t="s">
        <v>25945</v>
      </c>
      <c r="B247" s="132">
        <v>1</v>
      </c>
    </row>
    <row r="248" spans="1:2" x14ac:dyDescent="0.25">
      <c r="A248" s="133" t="s">
        <v>25946</v>
      </c>
      <c r="B248" s="132">
        <v>1</v>
      </c>
    </row>
    <row r="249" spans="1:2" x14ac:dyDescent="0.25">
      <c r="A249" s="133" t="s">
        <v>25947</v>
      </c>
      <c r="B249" s="132">
        <v>1</v>
      </c>
    </row>
    <row r="250" spans="1:2" x14ac:dyDescent="0.25">
      <c r="A250" s="133" t="s">
        <v>25948</v>
      </c>
      <c r="B250" s="132">
        <v>1</v>
      </c>
    </row>
    <row r="251" spans="1:2" x14ac:dyDescent="0.25">
      <c r="A251" s="133" t="s">
        <v>25949</v>
      </c>
      <c r="B251" s="132">
        <v>1</v>
      </c>
    </row>
    <row r="252" spans="1:2" x14ac:dyDescent="0.25">
      <c r="A252" s="133" t="s">
        <v>25950</v>
      </c>
      <c r="B252" s="132">
        <v>1</v>
      </c>
    </row>
    <row r="253" spans="1:2" x14ac:dyDescent="0.25">
      <c r="A253" s="133" t="s">
        <v>25951</v>
      </c>
      <c r="B253" s="132">
        <v>1</v>
      </c>
    </row>
    <row r="254" spans="1:2" x14ac:dyDescent="0.25">
      <c r="A254" s="133" t="s">
        <v>25952</v>
      </c>
      <c r="B254" s="132">
        <v>1</v>
      </c>
    </row>
    <row r="255" spans="1:2" x14ac:dyDescent="0.25">
      <c r="A255" s="133" t="s">
        <v>25953</v>
      </c>
      <c r="B255" s="132">
        <v>1</v>
      </c>
    </row>
    <row r="256" spans="1:2" x14ac:dyDescent="0.25">
      <c r="A256" s="133" t="s">
        <v>25954</v>
      </c>
      <c r="B256" s="132">
        <v>1</v>
      </c>
    </row>
    <row r="257" spans="1:2" x14ac:dyDescent="0.25">
      <c r="A257" s="133" t="s">
        <v>25955</v>
      </c>
      <c r="B257" s="132">
        <v>1</v>
      </c>
    </row>
    <row r="258" spans="1:2" x14ac:dyDescent="0.25">
      <c r="A258" s="133" t="s">
        <v>25956</v>
      </c>
      <c r="B258" s="132">
        <v>1</v>
      </c>
    </row>
    <row r="259" spans="1:2" x14ac:dyDescent="0.25">
      <c r="A259" s="133" t="s">
        <v>25957</v>
      </c>
      <c r="B259" s="132">
        <v>1</v>
      </c>
    </row>
    <row r="260" spans="1:2" x14ac:dyDescent="0.25">
      <c r="A260" s="133" t="s">
        <v>25958</v>
      </c>
      <c r="B260" s="132">
        <v>1</v>
      </c>
    </row>
    <row r="261" spans="1:2" x14ac:dyDescent="0.25">
      <c r="A261" s="133" t="s">
        <v>25959</v>
      </c>
      <c r="B261" s="132">
        <v>1</v>
      </c>
    </row>
    <row r="262" spans="1:2" x14ac:dyDescent="0.25">
      <c r="A262" s="133" t="s">
        <v>25960</v>
      </c>
      <c r="B262" s="132">
        <v>1</v>
      </c>
    </row>
    <row r="263" spans="1:2" x14ac:dyDescent="0.25">
      <c r="A263" s="133" t="s">
        <v>25961</v>
      </c>
      <c r="B263" s="132">
        <v>1</v>
      </c>
    </row>
    <row r="264" spans="1:2" x14ac:dyDescent="0.25">
      <c r="A264" s="133" t="s">
        <v>25962</v>
      </c>
      <c r="B264" s="132">
        <v>1</v>
      </c>
    </row>
    <row r="265" spans="1:2" x14ac:dyDescent="0.25">
      <c r="A265" s="133" t="s">
        <v>25963</v>
      </c>
      <c r="B265" s="132">
        <v>1</v>
      </c>
    </row>
    <row r="266" spans="1:2" x14ac:dyDescent="0.25">
      <c r="A266" s="133" t="s">
        <v>25964</v>
      </c>
      <c r="B266" s="132">
        <v>1</v>
      </c>
    </row>
    <row r="267" spans="1:2" x14ac:dyDescent="0.25">
      <c r="A267" s="133" t="s">
        <v>25965</v>
      </c>
      <c r="B267" s="132">
        <v>1</v>
      </c>
    </row>
    <row r="268" spans="1:2" x14ac:dyDescent="0.25">
      <c r="A268" s="133" t="s">
        <v>25966</v>
      </c>
      <c r="B268" s="132">
        <v>1</v>
      </c>
    </row>
    <row r="269" spans="1:2" x14ac:dyDescent="0.25">
      <c r="A269" s="133" t="s">
        <v>25967</v>
      </c>
      <c r="B269" s="132">
        <v>1</v>
      </c>
    </row>
    <row r="270" spans="1:2" x14ac:dyDescent="0.25">
      <c r="A270" s="133" t="s">
        <v>25968</v>
      </c>
      <c r="B270" s="132">
        <v>1</v>
      </c>
    </row>
    <row r="271" spans="1:2" x14ac:dyDescent="0.25">
      <c r="A271" s="133" t="s">
        <v>25969</v>
      </c>
      <c r="B271" s="132">
        <v>1</v>
      </c>
    </row>
    <row r="272" spans="1:2" x14ac:dyDescent="0.25">
      <c r="A272" s="133" t="s">
        <v>25970</v>
      </c>
      <c r="B272" s="132">
        <v>1</v>
      </c>
    </row>
    <row r="273" spans="1:2" x14ac:dyDescent="0.25">
      <c r="A273" s="133" t="s">
        <v>25971</v>
      </c>
      <c r="B273" s="132">
        <v>1</v>
      </c>
    </row>
    <row r="274" spans="1:2" x14ac:dyDescent="0.25">
      <c r="A274" s="133" t="s">
        <v>25972</v>
      </c>
      <c r="B274" s="132">
        <v>1</v>
      </c>
    </row>
    <row r="275" spans="1:2" x14ac:dyDescent="0.25">
      <c r="A275" s="133" t="s">
        <v>25973</v>
      </c>
      <c r="B275" s="132">
        <v>1</v>
      </c>
    </row>
    <row r="276" spans="1:2" x14ac:dyDescent="0.25">
      <c r="A276" s="133" t="s">
        <v>25974</v>
      </c>
      <c r="B276" s="132">
        <v>1</v>
      </c>
    </row>
    <row r="277" spans="1:2" x14ac:dyDescent="0.25">
      <c r="A277" s="133" t="s">
        <v>25975</v>
      </c>
      <c r="B277" s="132">
        <v>1</v>
      </c>
    </row>
    <row r="278" spans="1:2" x14ac:dyDescent="0.25">
      <c r="A278" s="133" t="s">
        <v>25976</v>
      </c>
      <c r="B278" s="132">
        <v>1</v>
      </c>
    </row>
    <row r="279" spans="1:2" x14ac:dyDescent="0.25">
      <c r="A279" s="133" t="s">
        <v>25977</v>
      </c>
      <c r="B279" s="132">
        <v>1</v>
      </c>
    </row>
    <row r="280" spans="1:2" x14ac:dyDescent="0.25">
      <c r="A280" s="133" t="s">
        <v>25978</v>
      </c>
      <c r="B280" s="132">
        <v>1</v>
      </c>
    </row>
    <row r="281" spans="1:2" x14ac:dyDescent="0.25">
      <c r="A281" s="133" t="s">
        <v>25979</v>
      </c>
      <c r="B281" s="132">
        <v>1</v>
      </c>
    </row>
    <row r="282" spans="1:2" x14ac:dyDescent="0.25">
      <c r="A282" s="133" t="s">
        <v>25980</v>
      </c>
      <c r="B282" s="132">
        <v>1</v>
      </c>
    </row>
    <row r="283" spans="1:2" x14ac:dyDescent="0.25">
      <c r="A283" s="133" t="s">
        <v>25981</v>
      </c>
      <c r="B283" s="132">
        <v>1</v>
      </c>
    </row>
    <row r="284" spans="1:2" x14ac:dyDescent="0.25">
      <c r="A284" s="133" t="s">
        <v>25982</v>
      </c>
      <c r="B284" s="132">
        <v>1</v>
      </c>
    </row>
    <row r="285" spans="1:2" x14ac:dyDescent="0.25">
      <c r="A285" s="133" t="s">
        <v>25983</v>
      </c>
      <c r="B285" s="132">
        <v>1</v>
      </c>
    </row>
    <row r="286" spans="1:2" x14ac:dyDescent="0.25">
      <c r="A286" s="133" t="s">
        <v>25984</v>
      </c>
      <c r="B286" s="132">
        <v>1</v>
      </c>
    </row>
    <row r="287" spans="1:2" x14ac:dyDescent="0.25">
      <c r="A287" s="133" t="s">
        <v>25985</v>
      </c>
      <c r="B287" s="132">
        <v>1</v>
      </c>
    </row>
    <row r="288" spans="1:2" x14ac:dyDescent="0.25">
      <c r="A288" s="133" t="s">
        <v>25986</v>
      </c>
      <c r="B288" s="132">
        <v>1</v>
      </c>
    </row>
    <row r="289" spans="1:2" x14ac:dyDescent="0.25">
      <c r="A289" s="133" t="s">
        <v>25987</v>
      </c>
      <c r="B289" s="132">
        <v>1</v>
      </c>
    </row>
    <row r="290" spans="1:2" x14ac:dyDescent="0.25">
      <c r="A290" s="133" t="s">
        <v>25988</v>
      </c>
      <c r="B290" s="132">
        <v>1</v>
      </c>
    </row>
    <row r="291" spans="1:2" x14ac:dyDescent="0.25">
      <c r="A291" s="133" t="s">
        <v>25989</v>
      </c>
      <c r="B291" s="132">
        <v>1</v>
      </c>
    </row>
    <row r="292" spans="1:2" x14ac:dyDescent="0.25">
      <c r="A292" s="133" t="s">
        <v>25990</v>
      </c>
      <c r="B292" s="132">
        <v>1</v>
      </c>
    </row>
    <row r="293" spans="1:2" x14ac:dyDescent="0.25">
      <c r="A293" s="133" t="s">
        <v>25991</v>
      </c>
      <c r="B293" s="132">
        <v>1</v>
      </c>
    </row>
    <row r="294" spans="1:2" x14ac:dyDescent="0.25">
      <c r="A294" s="133" t="s">
        <v>25992</v>
      </c>
      <c r="B294" s="132">
        <v>1</v>
      </c>
    </row>
    <row r="295" spans="1:2" x14ac:dyDescent="0.25">
      <c r="A295" s="133" t="s">
        <v>25993</v>
      </c>
      <c r="B295" s="132">
        <v>1</v>
      </c>
    </row>
    <row r="296" spans="1:2" x14ac:dyDescent="0.25">
      <c r="A296" s="133" t="s">
        <v>25994</v>
      </c>
      <c r="B296" s="132">
        <v>1</v>
      </c>
    </row>
    <row r="297" spans="1:2" x14ac:dyDescent="0.25">
      <c r="A297" s="133" t="s">
        <v>25995</v>
      </c>
      <c r="B297" s="132">
        <v>1</v>
      </c>
    </row>
    <row r="298" spans="1:2" x14ac:dyDescent="0.25">
      <c r="A298" s="133" t="s">
        <v>25996</v>
      </c>
      <c r="B298" s="132">
        <v>1</v>
      </c>
    </row>
    <row r="299" spans="1:2" x14ac:dyDescent="0.25">
      <c r="A299" s="133" t="s">
        <v>25997</v>
      </c>
      <c r="B299" s="132">
        <v>1</v>
      </c>
    </row>
    <row r="300" spans="1:2" x14ac:dyDescent="0.25">
      <c r="A300" s="133" t="s">
        <v>25998</v>
      </c>
      <c r="B300" s="132">
        <v>1</v>
      </c>
    </row>
    <row r="301" spans="1:2" x14ac:dyDescent="0.25">
      <c r="A301" s="133" t="s">
        <v>25999</v>
      </c>
      <c r="B301" s="132">
        <v>1</v>
      </c>
    </row>
    <row r="302" spans="1:2" x14ac:dyDescent="0.25">
      <c r="A302" s="133" t="s">
        <v>26000</v>
      </c>
      <c r="B302" s="132">
        <v>1</v>
      </c>
    </row>
    <row r="303" spans="1:2" x14ac:dyDescent="0.25">
      <c r="A303" s="133" t="s">
        <v>26001</v>
      </c>
      <c r="B303" s="132">
        <v>1</v>
      </c>
    </row>
    <row r="304" spans="1:2" x14ac:dyDescent="0.25">
      <c r="A304" s="133" t="s">
        <v>26002</v>
      </c>
      <c r="B304" s="132">
        <v>1</v>
      </c>
    </row>
    <row r="305" spans="1:2" x14ac:dyDescent="0.25">
      <c r="A305" s="133" t="s">
        <v>26003</v>
      </c>
      <c r="B305" s="132">
        <v>1</v>
      </c>
    </row>
    <row r="306" spans="1:2" x14ac:dyDescent="0.25">
      <c r="A306" s="133" t="s">
        <v>26004</v>
      </c>
      <c r="B306" s="132">
        <v>1</v>
      </c>
    </row>
    <row r="307" spans="1:2" x14ac:dyDescent="0.25">
      <c r="A307" s="133" t="s">
        <v>26005</v>
      </c>
      <c r="B307" s="132">
        <v>1</v>
      </c>
    </row>
    <row r="308" spans="1:2" x14ac:dyDescent="0.25">
      <c r="A308" s="133" t="s">
        <v>26006</v>
      </c>
      <c r="B308" s="132">
        <v>1</v>
      </c>
    </row>
    <row r="309" spans="1:2" x14ac:dyDescent="0.25">
      <c r="A309" s="133" t="s">
        <v>26007</v>
      </c>
      <c r="B309" s="132">
        <v>1</v>
      </c>
    </row>
    <row r="310" spans="1:2" x14ac:dyDescent="0.25">
      <c r="A310" s="133" t="s">
        <v>26008</v>
      </c>
      <c r="B310" s="132">
        <v>1</v>
      </c>
    </row>
    <row r="311" spans="1:2" x14ac:dyDescent="0.25">
      <c r="A311" s="133" t="s">
        <v>26009</v>
      </c>
      <c r="B311" s="132">
        <v>1</v>
      </c>
    </row>
    <row r="312" spans="1:2" x14ac:dyDescent="0.25">
      <c r="A312" s="133" t="s">
        <v>26010</v>
      </c>
      <c r="B312" s="132">
        <v>1</v>
      </c>
    </row>
    <row r="313" spans="1:2" x14ac:dyDescent="0.25">
      <c r="A313" s="133" t="s">
        <v>26011</v>
      </c>
      <c r="B313" s="132">
        <v>1</v>
      </c>
    </row>
    <row r="314" spans="1:2" x14ac:dyDescent="0.25">
      <c r="A314" s="133" t="s">
        <v>26012</v>
      </c>
      <c r="B314" s="132">
        <v>1</v>
      </c>
    </row>
    <row r="315" spans="1:2" x14ac:dyDescent="0.25">
      <c r="A315" s="133" t="s">
        <v>26013</v>
      </c>
      <c r="B315" s="132">
        <v>1</v>
      </c>
    </row>
    <row r="316" spans="1:2" x14ac:dyDescent="0.25">
      <c r="A316" s="133" t="s">
        <v>26014</v>
      </c>
      <c r="B316" s="132">
        <v>1</v>
      </c>
    </row>
    <row r="317" spans="1:2" x14ac:dyDescent="0.25">
      <c r="A317" s="133" t="s">
        <v>26015</v>
      </c>
      <c r="B317" s="132">
        <v>1</v>
      </c>
    </row>
    <row r="318" spans="1:2" x14ac:dyDescent="0.25">
      <c r="A318" s="133" t="s">
        <v>26016</v>
      </c>
      <c r="B318" s="132">
        <v>1</v>
      </c>
    </row>
    <row r="319" spans="1:2" x14ac:dyDescent="0.25">
      <c r="A319" s="133" t="s">
        <v>26017</v>
      </c>
      <c r="B319" s="132">
        <v>1</v>
      </c>
    </row>
    <row r="320" spans="1:2" x14ac:dyDescent="0.25">
      <c r="A320" s="133" t="s">
        <v>26018</v>
      </c>
      <c r="B320" s="132">
        <v>1</v>
      </c>
    </row>
    <row r="321" spans="1:2" x14ac:dyDescent="0.25">
      <c r="A321" s="133" t="s">
        <v>26019</v>
      </c>
      <c r="B321" s="132">
        <v>1</v>
      </c>
    </row>
    <row r="322" spans="1:2" x14ac:dyDescent="0.25">
      <c r="A322" s="133" t="s">
        <v>26020</v>
      </c>
      <c r="B322" s="132">
        <v>1</v>
      </c>
    </row>
    <row r="323" spans="1:2" x14ac:dyDescent="0.25">
      <c r="A323" s="133" t="s">
        <v>26021</v>
      </c>
      <c r="B323" s="132">
        <v>1</v>
      </c>
    </row>
    <row r="324" spans="1:2" x14ac:dyDescent="0.25">
      <c r="A324" s="133" t="s">
        <v>26022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26023</v>
      </c>
      <c r="B326" s="132">
        <v>1</v>
      </c>
    </row>
    <row r="327" spans="1:2" x14ac:dyDescent="0.25">
      <c r="A327" s="133" t="s">
        <v>26024</v>
      </c>
      <c r="B327" s="132">
        <v>1</v>
      </c>
    </row>
    <row r="328" spans="1:2" x14ac:dyDescent="0.25">
      <c r="A328" s="133" t="s">
        <v>26025</v>
      </c>
      <c r="B328" s="132">
        <v>1</v>
      </c>
    </row>
    <row r="329" spans="1:2" x14ac:dyDescent="0.25">
      <c r="A329" s="133" t="s">
        <v>26026</v>
      </c>
      <c r="B329" s="132">
        <v>1</v>
      </c>
    </row>
    <row r="330" spans="1:2" x14ac:dyDescent="0.25">
      <c r="A330" s="133" t="s">
        <v>26027</v>
      </c>
      <c r="B330" s="132">
        <v>1</v>
      </c>
    </row>
    <row r="331" spans="1:2" x14ac:dyDescent="0.25">
      <c r="A331" s="133" t="s">
        <v>26028</v>
      </c>
      <c r="B331" s="132">
        <v>1</v>
      </c>
    </row>
    <row r="332" spans="1:2" x14ac:dyDescent="0.25">
      <c r="A332" s="133" t="s">
        <v>26029</v>
      </c>
      <c r="B332" s="132">
        <v>1</v>
      </c>
    </row>
    <row r="333" spans="1:2" x14ac:dyDescent="0.25">
      <c r="A333" s="133" t="s">
        <v>26030</v>
      </c>
      <c r="B333" s="132">
        <v>1</v>
      </c>
    </row>
    <row r="334" spans="1:2" x14ac:dyDescent="0.25">
      <c r="A334" s="133" t="s">
        <v>26031</v>
      </c>
      <c r="B334" s="132">
        <v>1</v>
      </c>
    </row>
    <row r="335" spans="1:2" x14ac:dyDescent="0.25">
      <c r="A335" s="133" t="s">
        <v>26032</v>
      </c>
      <c r="B335" s="132">
        <v>1</v>
      </c>
    </row>
    <row r="336" spans="1:2" x14ac:dyDescent="0.25">
      <c r="A336" s="133" t="s">
        <v>26033</v>
      </c>
      <c r="B336" s="132">
        <v>1</v>
      </c>
    </row>
    <row r="337" spans="1:2" x14ac:dyDescent="0.25">
      <c r="A337" s="133" t="s">
        <v>26034</v>
      </c>
      <c r="B337" s="132">
        <v>1</v>
      </c>
    </row>
    <row r="338" spans="1:2" x14ac:dyDescent="0.25">
      <c r="A338" s="133" t="s">
        <v>26035</v>
      </c>
      <c r="B338" s="132">
        <v>1</v>
      </c>
    </row>
    <row r="339" spans="1:2" x14ac:dyDescent="0.25">
      <c r="A339" s="133" t="s">
        <v>26036</v>
      </c>
      <c r="B339" s="132">
        <v>1</v>
      </c>
    </row>
    <row r="340" spans="1:2" x14ac:dyDescent="0.25">
      <c r="A340" s="133" t="s">
        <v>26037</v>
      </c>
      <c r="B340" s="132">
        <v>1</v>
      </c>
    </row>
    <row r="341" spans="1:2" x14ac:dyDescent="0.25">
      <c r="A341" s="133" t="s">
        <v>26038</v>
      </c>
      <c r="B341" s="132">
        <v>1</v>
      </c>
    </row>
    <row r="342" spans="1:2" x14ac:dyDescent="0.25">
      <c r="A342" s="133" t="s">
        <v>26039</v>
      </c>
      <c r="B342" s="132">
        <v>1</v>
      </c>
    </row>
    <row r="343" spans="1:2" x14ac:dyDescent="0.25">
      <c r="A343" s="133" t="s">
        <v>26040</v>
      </c>
      <c r="B343" s="132">
        <v>1</v>
      </c>
    </row>
    <row r="344" spans="1:2" x14ac:dyDescent="0.25">
      <c r="A344" s="133" t="s">
        <v>26041</v>
      </c>
      <c r="B344" s="132">
        <v>1</v>
      </c>
    </row>
    <row r="345" spans="1:2" x14ac:dyDescent="0.25">
      <c r="A345" s="133" t="s">
        <v>26042</v>
      </c>
      <c r="B345" s="132">
        <v>1</v>
      </c>
    </row>
    <row r="346" spans="1:2" x14ac:dyDescent="0.25">
      <c r="A346" s="133" t="s">
        <v>26043</v>
      </c>
      <c r="B346" s="132">
        <v>1</v>
      </c>
    </row>
    <row r="347" spans="1:2" x14ac:dyDescent="0.25">
      <c r="A347" s="133" t="s">
        <v>26044</v>
      </c>
      <c r="B347" s="132">
        <v>1</v>
      </c>
    </row>
    <row r="348" spans="1:2" x14ac:dyDescent="0.25">
      <c r="A348" s="133" t="s">
        <v>26045</v>
      </c>
      <c r="B348" s="132">
        <v>1</v>
      </c>
    </row>
    <row r="349" spans="1:2" x14ac:dyDescent="0.25">
      <c r="A349" s="133" t="s">
        <v>26046</v>
      </c>
      <c r="B349" s="132">
        <v>1</v>
      </c>
    </row>
    <row r="350" spans="1:2" x14ac:dyDescent="0.25">
      <c r="A350" s="133" t="s">
        <v>26047</v>
      </c>
      <c r="B350" s="132">
        <v>1</v>
      </c>
    </row>
    <row r="351" spans="1:2" x14ac:dyDescent="0.25">
      <c r="A351" s="133" t="s">
        <v>26048</v>
      </c>
      <c r="B351" s="132">
        <v>1</v>
      </c>
    </row>
    <row r="352" spans="1:2" x14ac:dyDescent="0.25">
      <c r="A352" s="133" t="s">
        <v>26049</v>
      </c>
      <c r="B352" s="132">
        <v>1</v>
      </c>
    </row>
    <row r="353" spans="1:2" x14ac:dyDescent="0.25">
      <c r="A353" s="133" t="s">
        <v>26050</v>
      </c>
      <c r="B353" s="132">
        <v>1</v>
      </c>
    </row>
    <row r="354" spans="1:2" x14ac:dyDescent="0.25">
      <c r="A354" s="133" t="s">
        <v>26051</v>
      </c>
      <c r="B354" s="132">
        <v>1</v>
      </c>
    </row>
    <row r="355" spans="1:2" x14ac:dyDescent="0.25">
      <c r="A355" s="133" t="s">
        <v>26052</v>
      </c>
      <c r="B355" s="132">
        <v>1</v>
      </c>
    </row>
    <row r="356" spans="1:2" x14ac:dyDescent="0.25">
      <c r="A356" s="133" t="s">
        <v>26053</v>
      </c>
      <c r="B356" s="132">
        <v>1</v>
      </c>
    </row>
    <row r="357" spans="1:2" x14ac:dyDescent="0.25">
      <c r="A357" s="133" t="s">
        <v>26054</v>
      </c>
      <c r="B357" s="132">
        <v>1</v>
      </c>
    </row>
    <row r="358" spans="1:2" x14ac:dyDescent="0.25">
      <c r="A358" s="133" t="s">
        <v>26055</v>
      </c>
      <c r="B358" s="132">
        <v>1</v>
      </c>
    </row>
    <row r="359" spans="1:2" x14ac:dyDescent="0.25">
      <c r="A359" s="133" t="s">
        <v>26056</v>
      </c>
      <c r="B359" s="132">
        <v>1</v>
      </c>
    </row>
    <row r="360" spans="1:2" x14ac:dyDescent="0.25">
      <c r="A360" s="133" t="s">
        <v>26057</v>
      </c>
      <c r="B360" s="132">
        <v>1</v>
      </c>
    </row>
    <row r="361" spans="1:2" x14ac:dyDescent="0.25">
      <c r="A361" s="133" t="s">
        <v>26058</v>
      </c>
      <c r="B361" s="132">
        <v>1</v>
      </c>
    </row>
    <row r="362" spans="1:2" x14ac:dyDescent="0.25">
      <c r="A362" s="133" t="s">
        <v>26059</v>
      </c>
      <c r="B362" s="132">
        <v>1</v>
      </c>
    </row>
    <row r="363" spans="1:2" x14ac:dyDescent="0.25">
      <c r="A363" s="133" t="s">
        <v>26060</v>
      </c>
      <c r="B363" s="132">
        <v>1</v>
      </c>
    </row>
    <row r="364" spans="1:2" x14ac:dyDescent="0.25">
      <c r="A364" s="133" t="s">
        <v>26061</v>
      </c>
      <c r="B364" s="132">
        <v>1</v>
      </c>
    </row>
    <row r="365" spans="1:2" x14ac:dyDescent="0.25">
      <c r="A365" s="133" t="s">
        <v>26062</v>
      </c>
      <c r="B365" s="132">
        <v>1</v>
      </c>
    </row>
    <row r="366" spans="1:2" x14ac:dyDescent="0.25">
      <c r="A366" s="133" t="s">
        <v>26063</v>
      </c>
      <c r="B366" s="132">
        <v>1</v>
      </c>
    </row>
    <row r="367" spans="1:2" x14ac:dyDescent="0.25">
      <c r="A367" s="133" t="s">
        <v>26064</v>
      </c>
      <c r="B367" s="132">
        <v>1</v>
      </c>
    </row>
    <row r="368" spans="1:2" x14ac:dyDescent="0.25">
      <c r="A368" s="133" t="s">
        <v>26065</v>
      </c>
      <c r="B368" s="132">
        <v>1</v>
      </c>
    </row>
    <row r="369" spans="1:2" x14ac:dyDescent="0.25">
      <c r="A369" s="133" t="s">
        <v>26066</v>
      </c>
      <c r="B369" s="132">
        <v>1</v>
      </c>
    </row>
    <row r="370" spans="1:2" x14ac:dyDescent="0.25">
      <c r="A370" s="133" t="s">
        <v>26067</v>
      </c>
      <c r="B370" s="132">
        <v>1</v>
      </c>
    </row>
    <row r="371" spans="1:2" x14ac:dyDescent="0.25">
      <c r="A371" s="133" t="s">
        <v>26068</v>
      </c>
      <c r="B371" s="132">
        <v>1</v>
      </c>
    </row>
    <row r="372" spans="1:2" x14ac:dyDescent="0.25">
      <c r="A372" s="133" t="s">
        <v>26069</v>
      </c>
      <c r="B372" s="132">
        <v>1</v>
      </c>
    </row>
    <row r="373" spans="1:2" x14ac:dyDescent="0.25">
      <c r="A373" s="133" t="s">
        <v>26070</v>
      </c>
      <c r="B373" s="132">
        <v>1</v>
      </c>
    </row>
    <row r="374" spans="1:2" x14ac:dyDescent="0.25">
      <c r="A374" s="133" t="s">
        <v>26071</v>
      </c>
      <c r="B374" s="132">
        <v>1</v>
      </c>
    </row>
    <row r="375" spans="1:2" x14ac:dyDescent="0.25">
      <c r="A375" s="133" t="s">
        <v>26072</v>
      </c>
      <c r="B375" s="132">
        <v>1</v>
      </c>
    </row>
    <row r="376" spans="1:2" x14ac:dyDescent="0.25">
      <c r="A376" s="133" t="s">
        <v>26073</v>
      </c>
      <c r="B376" s="132">
        <v>1</v>
      </c>
    </row>
    <row r="377" spans="1:2" x14ac:dyDescent="0.25">
      <c r="A377" s="133" t="s">
        <v>26074</v>
      </c>
      <c r="B377" s="132">
        <v>1</v>
      </c>
    </row>
    <row r="378" spans="1:2" x14ac:dyDescent="0.25">
      <c r="A378" s="133" t="s">
        <v>26075</v>
      </c>
      <c r="B378" s="132">
        <v>1</v>
      </c>
    </row>
    <row r="379" spans="1:2" x14ac:dyDescent="0.25">
      <c r="A379" s="133" t="s">
        <v>26076</v>
      </c>
      <c r="B379" s="132">
        <v>1</v>
      </c>
    </row>
    <row r="380" spans="1:2" x14ac:dyDescent="0.25">
      <c r="A380" s="133" t="s">
        <v>26077</v>
      </c>
      <c r="B380" s="132">
        <v>1</v>
      </c>
    </row>
    <row r="381" spans="1:2" x14ac:dyDescent="0.25">
      <c r="A381" s="133" t="s">
        <v>26078</v>
      </c>
      <c r="B381" s="132">
        <v>1</v>
      </c>
    </row>
    <row r="382" spans="1:2" x14ac:dyDescent="0.25">
      <c r="A382" s="133" t="s">
        <v>26079</v>
      </c>
      <c r="B382" s="132">
        <v>1</v>
      </c>
    </row>
    <row r="383" spans="1:2" x14ac:dyDescent="0.25">
      <c r="A383" s="133" t="s">
        <v>26080</v>
      </c>
      <c r="B383" s="132">
        <v>1</v>
      </c>
    </row>
    <row r="384" spans="1:2" x14ac:dyDescent="0.25">
      <c r="A384" s="133" t="s">
        <v>26081</v>
      </c>
      <c r="B384" s="132">
        <v>1</v>
      </c>
    </row>
    <row r="385" spans="1:2" x14ac:dyDescent="0.25">
      <c r="A385" s="133" t="s">
        <v>26082</v>
      </c>
      <c r="B385" s="132">
        <v>1</v>
      </c>
    </row>
    <row r="386" spans="1:2" x14ac:dyDescent="0.25">
      <c r="A386" s="133" t="s">
        <v>26083</v>
      </c>
      <c r="B386" s="132">
        <v>1</v>
      </c>
    </row>
    <row r="387" spans="1:2" x14ac:dyDescent="0.25">
      <c r="A387" s="133" t="s">
        <v>26084</v>
      </c>
      <c r="B387" s="132">
        <v>1</v>
      </c>
    </row>
    <row r="388" spans="1:2" x14ac:dyDescent="0.25">
      <c r="A388" s="133" t="s">
        <v>26085</v>
      </c>
      <c r="B388" s="132">
        <v>1</v>
      </c>
    </row>
    <row r="389" spans="1:2" x14ac:dyDescent="0.25">
      <c r="A389" s="133" t="s">
        <v>26086</v>
      </c>
      <c r="B389" s="132">
        <v>1</v>
      </c>
    </row>
    <row r="390" spans="1:2" x14ac:dyDescent="0.25">
      <c r="A390" s="133" t="s">
        <v>26087</v>
      </c>
      <c r="B390" s="132">
        <v>1</v>
      </c>
    </row>
    <row r="391" spans="1:2" x14ac:dyDescent="0.25">
      <c r="A391" s="133" t="s">
        <v>26088</v>
      </c>
      <c r="B391" s="132">
        <v>1</v>
      </c>
    </row>
    <row r="392" spans="1:2" x14ac:dyDescent="0.25">
      <c r="A392" s="133" t="s">
        <v>26089</v>
      </c>
      <c r="B392" s="132">
        <v>1</v>
      </c>
    </row>
    <row r="393" spans="1:2" x14ac:dyDescent="0.25">
      <c r="A393" s="133" t="s">
        <v>26090</v>
      </c>
      <c r="B393" s="132">
        <v>1</v>
      </c>
    </row>
    <row r="394" spans="1:2" x14ac:dyDescent="0.25">
      <c r="A394" s="133" t="s">
        <v>26091</v>
      </c>
      <c r="B394" s="132">
        <v>1</v>
      </c>
    </row>
    <row r="395" spans="1:2" x14ac:dyDescent="0.25">
      <c r="A395" s="133" t="s">
        <v>26092</v>
      </c>
      <c r="B395" s="132">
        <v>1</v>
      </c>
    </row>
    <row r="396" spans="1:2" x14ac:dyDescent="0.25">
      <c r="A396" s="133" t="s">
        <v>26093</v>
      </c>
      <c r="B396" s="132">
        <v>1</v>
      </c>
    </row>
    <row r="397" spans="1:2" x14ac:dyDescent="0.25">
      <c r="A397" s="133" t="s">
        <v>26094</v>
      </c>
      <c r="B397" s="132">
        <v>1</v>
      </c>
    </row>
    <row r="398" spans="1:2" x14ac:dyDescent="0.25">
      <c r="A398" s="133" t="s">
        <v>26095</v>
      </c>
      <c r="B398" s="132">
        <v>1</v>
      </c>
    </row>
    <row r="399" spans="1:2" x14ac:dyDescent="0.25">
      <c r="A399" s="133" t="s">
        <v>26096</v>
      </c>
      <c r="B399" s="132">
        <v>1</v>
      </c>
    </row>
    <row r="400" spans="1:2" x14ac:dyDescent="0.25">
      <c r="A400" s="133" t="s">
        <v>26097</v>
      </c>
      <c r="B400" s="132">
        <v>1</v>
      </c>
    </row>
    <row r="401" spans="1:2" x14ac:dyDescent="0.25">
      <c r="A401" s="133" t="s">
        <v>26098</v>
      </c>
      <c r="B401" s="132">
        <v>1</v>
      </c>
    </row>
    <row r="402" spans="1:2" x14ac:dyDescent="0.25">
      <c r="A402" s="133" t="s">
        <v>26099</v>
      </c>
      <c r="B402" s="132">
        <v>1</v>
      </c>
    </row>
    <row r="403" spans="1:2" x14ac:dyDescent="0.25">
      <c r="A403" s="133" t="s">
        <v>26100</v>
      </c>
      <c r="B403" s="132">
        <v>1</v>
      </c>
    </row>
    <row r="404" spans="1:2" x14ac:dyDescent="0.25">
      <c r="A404" s="133" t="s">
        <v>26101</v>
      </c>
      <c r="B404" s="132">
        <v>1</v>
      </c>
    </row>
    <row r="405" spans="1:2" x14ac:dyDescent="0.25">
      <c r="A405" s="133" t="s">
        <v>26102</v>
      </c>
      <c r="B405" s="132">
        <v>1</v>
      </c>
    </row>
    <row r="406" spans="1:2" x14ac:dyDescent="0.25">
      <c r="A406" s="133" t="s">
        <v>26103</v>
      </c>
      <c r="B406" s="132">
        <v>1</v>
      </c>
    </row>
    <row r="407" spans="1:2" x14ac:dyDescent="0.25">
      <c r="A407" s="133" t="s">
        <v>26104</v>
      </c>
      <c r="B407" s="132">
        <v>1</v>
      </c>
    </row>
    <row r="408" spans="1:2" x14ac:dyDescent="0.25">
      <c r="A408" s="133" t="s">
        <v>26105</v>
      </c>
      <c r="B408" s="132">
        <v>1</v>
      </c>
    </row>
    <row r="409" spans="1:2" x14ac:dyDescent="0.25">
      <c r="A409" s="133" t="s">
        <v>26106</v>
      </c>
      <c r="B409" s="132">
        <v>1</v>
      </c>
    </row>
    <row r="410" spans="1:2" x14ac:dyDescent="0.25">
      <c r="A410" s="133" t="s">
        <v>26107</v>
      </c>
      <c r="B410" s="132">
        <v>1</v>
      </c>
    </row>
    <row r="411" spans="1:2" x14ac:dyDescent="0.25">
      <c r="A411" s="133" t="s">
        <v>26108</v>
      </c>
      <c r="B411" s="132">
        <v>1</v>
      </c>
    </row>
    <row r="412" spans="1:2" x14ac:dyDescent="0.25">
      <c r="A412" s="133" t="s">
        <v>26109</v>
      </c>
      <c r="B412" s="132">
        <v>1</v>
      </c>
    </row>
    <row r="413" spans="1:2" x14ac:dyDescent="0.25">
      <c r="A413" s="133" t="s">
        <v>26110</v>
      </c>
      <c r="B413" s="132">
        <v>1</v>
      </c>
    </row>
    <row r="414" spans="1:2" x14ac:dyDescent="0.25">
      <c r="A414" s="133" t="s">
        <v>26111</v>
      </c>
      <c r="B414" s="132">
        <v>1</v>
      </c>
    </row>
    <row r="415" spans="1:2" x14ac:dyDescent="0.25">
      <c r="A415" s="133" t="s">
        <v>26112</v>
      </c>
      <c r="B415" s="132">
        <v>1</v>
      </c>
    </row>
    <row r="416" spans="1:2" x14ac:dyDescent="0.25">
      <c r="A416" s="133" t="s">
        <v>26113</v>
      </c>
      <c r="B416" s="132">
        <v>1</v>
      </c>
    </row>
    <row r="417" spans="1:2" x14ac:dyDescent="0.25">
      <c r="A417" s="133" t="s">
        <v>26114</v>
      </c>
      <c r="B417" s="132">
        <v>1</v>
      </c>
    </row>
    <row r="418" spans="1:2" x14ac:dyDescent="0.25">
      <c r="A418" s="133" t="s">
        <v>26115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26116</v>
      </c>
      <c r="B420" s="132">
        <v>1</v>
      </c>
    </row>
    <row r="421" spans="1:2" x14ac:dyDescent="0.25">
      <c r="A421" s="133" t="s">
        <v>26117</v>
      </c>
      <c r="B421" s="132">
        <v>1</v>
      </c>
    </row>
    <row r="422" spans="1:2" x14ac:dyDescent="0.25">
      <c r="A422" s="133" t="s">
        <v>26118</v>
      </c>
      <c r="B422" s="132">
        <v>1</v>
      </c>
    </row>
    <row r="423" spans="1:2" x14ac:dyDescent="0.25">
      <c r="A423" s="133" t="s">
        <v>26119</v>
      </c>
      <c r="B423" s="132">
        <v>1</v>
      </c>
    </row>
    <row r="424" spans="1:2" x14ac:dyDescent="0.25">
      <c r="A424" s="133" t="s">
        <v>26120</v>
      </c>
      <c r="B424" s="132">
        <v>1</v>
      </c>
    </row>
    <row r="425" spans="1:2" x14ac:dyDescent="0.25">
      <c r="A425" s="133" t="s">
        <v>26121</v>
      </c>
      <c r="B425" s="132">
        <v>1</v>
      </c>
    </row>
    <row r="426" spans="1:2" x14ac:dyDescent="0.25">
      <c r="A426" s="133" t="s">
        <v>26122</v>
      </c>
      <c r="B426" s="132">
        <v>1</v>
      </c>
    </row>
    <row r="427" spans="1:2" x14ac:dyDescent="0.25">
      <c r="A427" s="133" t="s">
        <v>26123</v>
      </c>
      <c r="B427" s="132">
        <v>1</v>
      </c>
    </row>
    <row r="428" spans="1:2" x14ac:dyDescent="0.25">
      <c r="A428" s="133" t="s">
        <v>26124</v>
      </c>
      <c r="B428" s="132">
        <v>1</v>
      </c>
    </row>
    <row r="429" spans="1:2" x14ac:dyDescent="0.25">
      <c r="A429" s="133" t="s">
        <v>26125</v>
      </c>
      <c r="B429" s="132">
        <v>1</v>
      </c>
    </row>
    <row r="430" spans="1:2" x14ac:dyDescent="0.25">
      <c r="A430" s="133" t="s">
        <v>26126</v>
      </c>
      <c r="B430" s="132">
        <v>1</v>
      </c>
    </row>
    <row r="431" spans="1:2" x14ac:dyDescent="0.25">
      <c r="A431" s="133" t="s">
        <v>26127</v>
      </c>
      <c r="B431" s="132">
        <v>1</v>
      </c>
    </row>
    <row r="432" spans="1:2" x14ac:dyDescent="0.25">
      <c r="A432" s="133" t="s">
        <v>26128</v>
      </c>
      <c r="B432" s="132">
        <v>1</v>
      </c>
    </row>
    <row r="433" spans="1:2" x14ac:dyDescent="0.25">
      <c r="A433" s="133" t="s">
        <v>26129</v>
      </c>
      <c r="B433" s="132">
        <v>1</v>
      </c>
    </row>
    <row r="434" spans="1:2" x14ac:dyDescent="0.25">
      <c r="A434" s="133" t="s">
        <v>26130</v>
      </c>
      <c r="B434" s="132">
        <v>1</v>
      </c>
    </row>
    <row r="435" spans="1:2" x14ac:dyDescent="0.25">
      <c r="A435" s="133" t="s">
        <v>26131</v>
      </c>
      <c r="B435" s="132">
        <v>1</v>
      </c>
    </row>
    <row r="436" spans="1:2" x14ac:dyDescent="0.25">
      <c r="A436" s="133" t="s">
        <v>26132</v>
      </c>
      <c r="B436" s="132">
        <v>1</v>
      </c>
    </row>
    <row r="437" spans="1:2" x14ac:dyDescent="0.25">
      <c r="A437" s="133" t="s">
        <v>26133</v>
      </c>
      <c r="B437" s="132">
        <v>1</v>
      </c>
    </row>
    <row r="438" spans="1:2" x14ac:dyDescent="0.25">
      <c r="A438" s="133" t="s">
        <v>26134</v>
      </c>
      <c r="B438" s="132">
        <v>1</v>
      </c>
    </row>
    <row r="439" spans="1:2" x14ac:dyDescent="0.25">
      <c r="A439" s="133" t="s">
        <v>26135</v>
      </c>
      <c r="B439" s="132">
        <v>1</v>
      </c>
    </row>
    <row r="440" spans="1:2" x14ac:dyDescent="0.25">
      <c r="A440" s="133" t="s">
        <v>26136</v>
      </c>
      <c r="B440" s="132">
        <v>1</v>
      </c>
    </row>
    <row r="441" spans="1:2" x14ac:dyDescent="0.25">
      <c r="A441" s="133" t="s">
        <v>26137</v>
      </c>
      <c r="B441" s="132">
        <v>1</v>
      </c>
    </row>
    <row r="442" spans="1:2" x14ac:dyDescent="0.25">
      <c r="A442" s="133" t="s">
        <v>26138</v>
      </c>
      <c r="B442" s="132">
        <v>1</v>
      </c>
    </row>
    <row r="443" spans="1:2" x14ac:dyDescent="0.25">
      <c r="A443" s="133" t="s">
        <v>26139</v>
      </c>
      <c r="B443" s="132">
        <v>1</v>
      </c>
    </row>
    <row r="444" spans="1:2" x14ac:dyDescent="0.25">
      <c r="A444" s="133" t="s">
        <v>26140</v>
      </c>
      <c r="B444" s="132">
        <v>1</v>
      </c>
    </row>
    <row r="445" spans="1:2" x14ac:dyDescent="0.25">
      <c r="A445" s="133" t="s">
        <v>26141</v>
      </c>
      <c r="B445" s="132">
        <v>1</v>
      </c>
    </row>
    <row r="446" spans="1:2" x14ac:dyDescent="0.25">
      <c r="A446" s="133" t="s">
        <v>26142</v>
      </c>
      <c r="B446" s="132">
        <v>1</v>
      </c>
    </row>
    <row r="447" spans="1:2" x14ac:dyDescent="0.25">
      <c r="A447" s="133" t="s">
        <v>26143</v>
      </c>
      <c r="B447" s="132">
        <v>1</v>
      </c>
    </row>
    <row r="448" spans="1:2" x14ac:dyDescent="0.25">
      <c r="A448" s="133" t="s">
        <v>26144</v>
      </c>
      <c r="B448" s="132">
        <v>1</v>
      </c>
    </row>
    <row r="449" spans="1:2" x14ac:dyDescent="0.25">
      <c r="A449" s="133" t="s">
        <v>26145</v>
      </c>
      <c r="B449" s="132">
        <v>1</v>
      </c>
    </row>
    <row r="450" spans="1:2" x14ac:dyDescent="0.25">
      <c r="A450" s="133" t="s">
        <v>26146</v>
      </c>
      <c r="B450" s="132">
        <v>1</v>
      </c>
    </row>
    <row r="451" spans="1:2" x14ac:dyDescent="0.25">
      <c r="A451" s="133" t="s">
        <v>26147</v>
      </c>
      <c r="B451" s="132">
        <v>1</v>
      </c>
    </row>
    <row r="452" spans="1:2" x14ac:dyDescent="0.25">
      <c r="A452" s="133" t="s">
        <v>26148</v>
      </c>
      <c r="B452" s="132">
        <v>1</v>
      </c>
    </row>
    <row r="453" spans="1:2" x14ac:dyDescent="0.25">
      <c r="A453" s="133" t="s">
        <v>26149</v>
      </c>
      <c r="B453" s="132">
        <v>1</v>
      </c>
    </row>
    <row r="454" spans="1:2" x14ac:dyDescent="0.25">
      <c r="A454" s="133" t="s">
        <v>26150</v>
      </c>
      <c r="B454" s="132">
        <v>1</v>
      </c>
    </row>
    <row r="455" spans="1:2" x14ac:dyDescent="0.25">
      <c r="A455" s="133" t="s">
        <v>26151</v>
      </c>
      <c r="B455" s="132">
        <v>1</v>
      </c>
    </row>
    <row r="456" spans="1:2" x14ac:dyDescent="0.25">
      <c r="A456" s="133" t="s">
        <v>26152</v>
      </c>
      <c r="B456" s="132">
        <v>1</v>
      </c>
    </row>
    <row r="457" spans="1:2" x14ac:dyDescent="0.25">
      <c r="A457" s="133" t="s">
        <v>26153</v>
      </c>
      <c r="B457" s="132">
        <v>1</v>
      </c>
    </row>
    <row r="458" spans="1:2" x14ac:dyDescent="0.25">
      <c r="A458" s="133" t="s">
        <v>26154</v>
      </c>
      <c r="B458" s="132">
        <v>1</v>
      </c>
    </row>
    <row r="459" spans="1:2" x14ac:dyDescent="0.25">
      <c r="A459" s="133" t="s">
        <v>26155</v>
      </c>
      <c r="B459" s="132">
        <v>1</v>
      </c>
    </row>
    <row r="460" spans="1:2" x14ac:dyDescent="0.25">
      <c r="A460" s="133" t="s">
        <v>26156</v>
      </c>
      <c r="B460" s="132">
        <v>1</v>
      </c>
    </row>
    <row r="461" spans="1:2" x14ac:dyDescent="0.25">
      <c r="A461" s="133" t="s">
        <v>26157</v>
      </c>
      <c r="B461" s="132">
        <v>1</v>
      </c>
    </row>
    <row r="462" spans="1:2" x14ac:dyDescent="0.25">
      <c r="A462" s="133" t="s">
        <v>26158</v>
      </c>
      <c r="B462" s="132">
        <v>1</v>
      </c>
    </row>
    <row r="463" spans="1:2" x14ac:dyDescent="0.25">
      <c r="A463" s="133" t="s">
        <v>26159</v>
      </c>
      <c r="B463" s="132">
        <v>1</v>
      </c>
    </row>
    <row r="464" spans="1:2" x14ac:dyDescent="0.25">
      <c r="A464" s="133" t="s">
        <v>26160</v>
      </c>
      <c r="B464" s="132">
        <v>1</v>
      </c>
    </row>
    <row r="465" spans="1:2" x14ac:dyDescent="0.25">
      <c r="A465" s="133" t="s">
        <v>26161</v>
      </c>
      <c r="B465" s="132">
        <v>1</v>
      </c>
    </row>
    <row r="466" spans="1:2" x14ac:dyDescent="0.25">
      <c r="A466" s="133" t="s">
        <v>26162</v>
      </c>
      <c r="B466" s="132">
        <v>1</v>
      </c>
    </row>
    <row r="467" spans="1:2" x14ac:dyDescent="0.25">
      <c r="A467" s="133" t="s">
        <v>26163</v>
      </c>
      <c r="B467" s="132">
        <v>1</v>
      </c>
    </row>
    <row r="468" spans="1:2" x14ac:dyDescent="0.25">
      <c r="A468" s="133" t="s">
        <v>26164</v>
      </c>
      <c r="B468" s="132">
        <v>1</v>
      </c>
    </row>
    <row r="469" spans="1:2" x14ac:dyDescent="0.25">
      <c r="A469" s="133" t="s">
        <v>26165</v>
      </c>
      <c r="B469" s="132">
        <v>1</v>
      </c>
    </row>
    <row r="470" spans="1:2" x14ac:dyDescent="0.25">
      <c r="A470" s="133" t="s">
        <v>26166</v>
      </c>
      <c r="B470" s="132">
        <v>1</v>
      </c>
    </row>
    <row r="471" spans="1:2" x14ac:dyDescent="0.25">
      <c r="A471" s="133" t="s">
        <v>26167</v>
      </c>
      <c r="B471" s="132">
        <v>1</v>
      </c>
    </row>
    <row r="472" spans="1:2" x14ac:dyDescent="0.25">
      <c r="A472" s="133" t="s">
        <v>26168</v>
      </c>
      <c r="B472" s="132">
        <v>1</v>
      </c>
    </row>
    <row r="473" spans="1:2" x14ac:dyDescent="0.25">
      <c r="A473" s="133" t="s">
        <v>26169</v>
      </c>
      <c r="B473" s="132">
        <v>1</v>
      </c>
    </row>
    <row r="474" spans="1:2" x14ac:dyDescent="0.25">
      <c r="A474" s="133" t="s">
        <v>26170</v>
      </c>
      <c r="B474" s="132">
        <v>1</v>
      </c>
    </row>
    <row r="475" spans="1:2" x14ac:dyDescent="0.25">
      <c r="A475" s="133" t="s">
        <v>26171</v>
      </c>
      <c r="B475" s="132">
        <v>1</v>
      </c>
    </row>
    <row r="476" spans="1:2" x14ac:dyDescent="0.25">
      <c r="A476" s="133" t="s">
        <v>26172</v>
      </c>
      <c r="B476" s="132">
        <v>1</v>
      </c>
    </row>
    <row r="477" spans="1:2" x14ac:dyDescent="0.25">
      <c r="A477" s="133" t="s">
        <v>26173</v>
      </c>
      <c r="B477" s="132">
        <v>1</v>
      </c>
    </row>
    <row r="478" spans="1:2" x14ac:dyDescent="0.25">
      <c r="A478" s="133" t="s">
        <v>26174</v>
      </c>
      <c r="B478" s="132">
        <v>1</v>
      </c>
    </row>
    <row r="479" spans="1:2" x14ac:dyDescent="0.25">
      <c r="A479" s="133" t="s">
        <v>26175</v>
      </c>
      <c r="B479" s="132">
        <v>1</v>
      </c>
    </row>
    <row r="480" spans="1:2" x14ac:dyDescent="0.25">
      <c r="A480" s="133" t="s">
        <v>26176</v>
      </c>
      <c r="B480" s="132">
        <v>1</v>
      </c>
    </row>
    <row r="481" spans="1:2" x14ac:dyDescent="0.25">
      <c r="A481" s="133" t="s">
        <v>26177</v>
      </c>
      <c r="B481" s="132">
        <v>1</v>
      </c>
    </row>
    <row r="482" spans="1:2" x14ac:dyDescent="0.25">
      <c r="A482" s="133" t="s">
        <v>26178</v>
      </c>
      <c r="B482" s="132">
        <v>1</v>
      </c>
    </row>
    <row r="483" spans="1:2" x14ac:dyDescent="0.25">
      <c r="A483" s="133" t="s">
        <v>26179</v>
      </c>
      <c r="B483" s="132">
        <v>1</v>
      </c>
    </row>
    <row r="484" spans="1:2" x14ac:dyDescent="0.25">
      <c r="A484" s="133" t="s">
        <v>26180</v>
      </c>
      <c r="B484" s="132">
        <v>1</v>
      </c>
    </row>
    <row r="485" spans="1:2" x14ac:dyDescent="0.25">
      <c r="A485" s="133" t="s">
        <v>26181</v>
      </c>
      <c r="B485" s="132">
        <v>1</v>
      </c>
    </row>
    <row r="486" spans="1:2" x14ac:dyDescent="0.25">
      <c r="A486" s="133" t="s">
        <v>26182</v>
      </c>
      <c r="B486" s="132">
        <v>1</v>
      </c>
    </row>
    <row r="487" spans="1:2" x14ac:dyDescent="0.25">
      <c r="A487" s="133" t="s">
        <v>26183</v>
      </c>
      <c r="B487" s="132">
        <v>1</v>
      </c>
    </row>
    <row r="488" spans="1:2" x14ac:dyDescent="0.25">
      <c r="A488" s="133" t="s">
        <v>26184</v>
      </c>
      <c r="B488" s="132">
        <v>1</v>
      </c>
    </row>
    <row r="489" spans="1:2" x14ac:dyDescent="0.25">
      <c r="A489" s="133" t="s">
        <v>26185</v>
      </c>
      <c r="B489" s="132">
        <v>1</v>
      </c>
    </row>
    <row r="490" spans="1:2" x14ac:dyDescent="0.25">
      <c r="A490" s="133" t="s">
        <v>26186</v>
      </c>
      <c r="B490" s="132">
        <v>1</v>
      </c>
    </row>
    <row r="491" spans="1:2" x14ac:dyDescent="0.25">
      <c r="A491" s="133" t="s">
        <v>26187</v>
      </c>
      <c r="B491" s="132">
        <v>1</v>
      </c>
    </row>
    <row r="492" spans="1:2" x14ac:dyDescent="0.25">
      <c r="A492" s="133" t="s">
        <v>26188</v>
      </c>
      <c r="B492" s="132">
        <v>1</v>
      </c>
    </row>
    <row r="493" spans="1:2" x14ac:dyDescent="0.25">
      <c r="A493" s="133" t="s">
        <v>26189</v>
      </c>
      <c r="B493" s="132">
        <v>1</v>
      </c>
    </row>
    <row r="494" spans="1:2" x14ac:dyDescent="0.25">
      <c r="A494" s="133" t="s">
        <v>26190</v>
      </c>
      <c r="B494" s="132">
        <v>1</v>
      </c>
    </row>
    <row r="495" spans="1:2" x14ac:dyDescent="0.25">
      <c r="A495" s="133" t="s">
        <v>26191</v>
      </c>
      <c r="B495" s="132">
        <v>1</v>
      </c>
    </row>
    <row r="496" spans="1:2" x14ac:dyDescent="0.25">
      <c r="A496" s="133" t="s">
        <v>26192</v>
      </c>
      <c r="B496" s="132">
        <v>1</v>
      </c>
    </row>
    <row r="497" spans="1:2" x14ac:dyDescent="0.25">
      <c r="A497" s="133" t="s">
        <v>26193</v>
      </c>
      <c r="B497" s="132">
        <v>1</v>
      </c>
    </row>
    <row r="498" spans="1:2" x14ac:dyDescent="0.25">
      <c r="A498" s="133" t="s">
        <v>26194</v>
      </c>
      <c r="B498" s="132">
        <v>1</v>
      </c>
    </row>
    <row r="499" spans="1:2" x14ac:dyDescent="0.25">
      <c r="A499" s="133" t="s">
        <v>26195</v>
      </c>
      <c r="B499" s="132">
        <v>1</v>
      </c>
    </row>
    <row r="500" spans="1:2" x14ac:dyDescent="0.25">
      <c r="A500" s="133" t="s">
        <v>26196</v>
      </c>
      <c r="B500" s="132">
        <v>1</v>
      </c>
    </row>
    <row r="501" spans="1:2" x14ac:dyDescent="0.25">
      <c r="A501" s="133" t="s">
        <v>26197</v>
      </c>
      <c r="B501" s="132">
        <v>1</v>
      </c>
    </row>
    <row r="502" spans="1:2" x14ac:dyDescent="0.25">
      <c r="A502" s="133" t="s">
        <v>26198</v>
      </c>
      <c r="B502" s="132">
        <v>1</v>
      </c>
    </row>
    <row r="503" spans="1:2" x14ac:dyDescent="0.25">
      <c r="A503" s="133" t="s">
        <v>26199</v>
      </c>
      <c r="B503" s="132">
        <v>1</v>
      </c>
    </row>
    <row r="504" spans="1:2" x14ac:dyDescent="0.25">
      <c r="A504" s="133" t="s">
        <v>26200</v>
      </c>
      <c r="B504" s="132">
        <v>1</v>
      </c>
    </row>
    <row r="505" spans="1:2" x14ac:dyDescent="0.25">
      <c r="A505" s="133" t="s">
        <v>26201</v>
      </c>
      <c r="B505" s="132">
        <v>1</v>
      </c>
    </row>
    <row r="506" spans="1:2" x14ac:dyDescent="0.25">
      <c r="A506" s="133" t="s">
        <v>26202</v>
      </c>
      <c r="B506" s="132">
        <v>1</v>
      </c>
    </row>
    <row r="507" spans="1:2" x14ac:dyDescent="0.25">
      <c r="A507" s="133" t="s">
        <v>26203</v>
      </c>
      <c r="B507" s="132">
        <v>1</v>
      </c>
    </row>
    <row r="508" spans="1:2" x14ac:dyDescent="0.25">
      <c r="A508" s="133" t="s">
        <v>26204</v>
      </c>
      <c r="B508" s="132">
        <v>1</v>
      </c>
    </row>
    <row r="509" spans="1:2" x14ac:dyDescent="0.25">
      <c r="A509" s="133" t="s">
        <v>26205</v>
      </c>
      <c r="B509" s="132">
        <v>1</v>
      </c>
    </row>
    <row r="510" spans="1:2" x14ac:dyDescent="0.25">
      <c r="A510" s="133" t="s">
        <v>26206</v>
      </c>
      <c r="B510" s="132">
        <v>1</v>
      </c>
    </row>
    <row r="511" spans="1:2" x14ac:dyDescent="0.25">
      <c r="A511" s="133" t="s">
        <v>26207</v>
      </c>
      <c r="B511" s="132">
        <v>1</v>
      </c>
    </row>
    <row r="512" spans="1:2" x14ac:dyDescent="0.25">
      <c r="A512" s="133" t="s">
        <v>26208</v>
      </c>
      <c r="B512" s="132">
        <v>1</v>
      </c>
    </row>
    <row r="513" spans="1:2" x14ac:dyDescent="0.25">
      <c r="A513" s="133" t="s">
        <v>26209</v>
      </c>
      <c r="B513" s="132">
        <v>1</v>
      </c>
    </row>
    <row r="514" spans="1:2" x14ac:dyDescent="0.25">
      <c r="A514" s="133" t="s">
        <v>26210</v>
      </c>
      <c r="B514" s="132">
        <v>1</v>
      </c>
    </row>
    <row r="515" spans="1:2" x14ac:dyDescent="0.25">
      <c r="A515" s="133" t="s">
        <v>26211</v>
      </c>
      <c r="B515" s="132">
        <v>1</v>
      </c>
    </row>
    <row r="516" spans="1:2" x14ac:dyDescent="0.25">
      <c r="A516" s="133" t="s">
        <v>26212</v>
      </c>
      <c r="B516" s="132">
        <v>1</v>
      </c>
    </row>
    <row r="517" spans="1:2" x14ac:dyDescent="0.25">
      <c r="A517" s="133" t="s">
        <v>26213</v>
      </c>
      <c r="B517" s="132">
        <v>1</v>
      </c>
    </row>
    <row r="518" spans="1:2" x14ac:dyDescent="0.25">
      <c r="A518" s="133" t="s">
        <v>26214</v>
      </c>
      <c r="B518" s="132">
        <v>1</v>
      </c>
    </row>
    <row r="519" spans="1:2" x14ac:dyDescent="0.25">
      <c r="A519" s="133" t="s">
        <v>26215</v>
      </c>
      <c r="B519" s="132">
        <v>1</v>
      </c>
    </row>
    <row r="520" spans="1:2" x14ac:dyDescent="0.25">
      <c r="A520" s="133" t="s">
        <v>26216</v>
      </c>
      <c r="B520" s="132">
        <v>1</v>
      </c>
    </row>
    <row r="521" spans="1:2" x14ac:dyDescent="0.25">
      <c r="A521" s="133" t="s">
        <v>26217</v>
      </c>
      <c r="B521" s="132">
        <v>1</v>
      </c>
    </row>
    <row r="522" spans="1:2" x14ac:dyDescent="0.25">
      <c r="A522" s="133" t="s">
        <v>26218</v>
      </c>
      <c r="B522" s="132">
        <v>1</v>
      </c>
    </row>
    <row r="523" spans="1:2" x14ac:dyDescent="0.25">
      <c r="A523" s="133" t="s">
        <v>26219</v>
      </c>
      <c r="B523" s="132">
        <v>1</v>
      </c>
    </row>
    <row r="524" spans="1:2" x14ac:dyDescent="0.25">
      <c r="A524" s="133" t="s">
        <v>26220</v>
      </c>
      <c r="B524" s="132">
        <v>1</v>
      </c>
    </row>
    <row r="525" spans="1:2" x14ac:dyDescent="0.25">
      <c r="A525" s="133" t="s">
        <v>26221</v>
      </c>
      <c r="B525" s="132">
        <v>1</v>
      </c>
    </row>
    <row r="526" spans="1:2" x14ac:dyDescent="0.25">
      <c r="A526" s="133" t="s">
        <v>26222</v>
      </c>
      <c r="B526" s="132">
        <v>1</v>
      </c>
    </row>
    <row r="527" spans="1:2" x14ac:dyDescent="0.25">
      <c r="A527" s="133" t="s">
        <v>26223</v>
      </c>
      <c r="B527" s="132">
        <v>1</v>
      </c>
    </row>
    <row r="528" spans="1:2" x14ac:dyDescent="0.25">
      <c r="A528" s="133" t="s">
        <v>26224</v>
      </c>
      <c r="B528" s="132">
        <v>1</v>
      </c>
    </row>
    <row r="529" spans="1:2" x14ac:dyDescent="0.25">
      <c r="A529" s="133" t="s">
        <v>26225</v>
      </c>
      <c r="B529" s="132">
        <v>1</v>
      </c>
    </row>
    <row r="530" spans="1:2" x14ac:dyDescent="0.25">
      <c r="A530" s="133" t="s">
        <v>26226</v>
      </c>
      <c r="B530" s="132">
        <v>1</v>
      </c>
    </row>
    <row r="531" spans="1:2" x14ac:dyDescent="0.25">
      <c r="A531" s="133" t="s">
        <v>26227</v>
      </c>
      <c r="B531" s="132">
        <v>1</v>
      </c>
    </row>
    <row r="532" spans="1:2" x14ac:dyDescent="0.25">
      <c r="A532" s="133" t="s">
        <v>26228</v>
      </c>
      <c r="B532" s="132">
        <v>1</v>
      </c>
    </row>
    <row r="533" spans="1:2" x14ac:dyDescent="0.25">
      <c r="A533" s="133" t="s">
        <v>26229</v>
      </c>
      <c r="B533" s="132">
        <v>1</v>
      </c>
    </row>
    <row r="534" spans="1:2" x14ac:dyDescent="0.25">
      <c r="A534" s="133" t="s">
        <v>26230</v>
      </c>
      <c r="B534" s="132">
        <v>1</v>
      </c>
    </row>
    <row r="535" spans="1:2" x14ac:dyDescent="0.25">
      <c r="A535" s="133" t="s">
        <v>26231</v>
      </c>
      <c r="B535" s="132">
        <v>1</v>
      </c>
    </row>
    <row r="536" spans="1:2" x14ac:dyDescent="0.25">
      <c r="A536" s="133" t="s">
        <v>26232</v>
      </c>
      <c r="B536" s="132">
        <v>1</v>
      </c>
    </row>
    <row r="537" spans="1:2" x14ac:dyDescent="0.25">
      <c r="A537" s="133" t="s">
        <v>26233</v>
      </c>
      <c r="B537" s="132">
        <v>1</v>
      </c>
    </row>
    <row r="538" spans="1:2" x14ac:dyDescent="0.25">
      <c r="A538" s="133" t="s">
        <v>26234</v>
      </c>
      <c r="B538" s="132">
        <v>1</v>
      </c>
    </row>
    <row r="539" spans="1:2" x14ac:dyDescent="0.25">
      <c r="A539" s="133" t="s">
        <v>26235</v>
      </c>
      <c r="B539" s="132">
        <v>1</v>
      </c>
    </row>
    <row r="540" spans="1:2" x14ac:dyDescent="0.25">
      <c r="A540" s="133" t="s">
        <v>26236</v>
      </c>
      <c r="B540" s="132">
        <v>1</v>
      </c>
    </row>
    <row r="541" spans="1:2" x14ac:dyDescent="0.25">
      <c r="A541" s="133" t="s">
        <v>26237</v>
      </c>
      <c r="B541" s="132">
        <v>1</v>
      </c>
    </row>
    <row r="542" spans="1:2" x14ac:dyDescent="0.25">
      <c r="A542" s="133" t="s">
        <v>26238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26239</v>
      </c>
      <c r="B544" s="132">
        <v>1</v>
      </c>
    </row>
    <row r="545" spans="1:2" x14ac:dyDescent="0.25">
      <c r="A545" s="133" t="s">
        <v>26240</v>
      </c>
      <c r="B545" s="132">
        <v>1</v>
      </c>
    </row>
    <row r="546" spans="1:2" x14ac:dyDescent="0.25">
      <c r="A546" s="133" t="s">
        <v>26241</v>
      </c>
      <c r="B546" s="132">
        <v>1</v>
      </c>
    </row>
    <row r="547" spans="1:2" x14ac:dyDescent="0.25">
      <c r="A547" s="133" t="s">
        <v>26242</v>
      </c>
      <c r="B547" s="132">
        <v>1</v>
      </c>
    </row>
    <row r="548" spans="1:2" x14ac:dyDescent="0.25">
      <c r="A548" s="133" t="s">
        <v>26243</v>
      </c>
      <c r="B548" s="132">
        <v>1</v>
      </c>
    </row>
    <row r="549" spans="1:2" x14ac:dyDescent="0.25">
      <c r="A549" s="133" t="s">
        <v>26244</v>
      </c>
      <c r="B549" s="132">
        <v>1</v>
      </c>
    </row>
    <row r="550" spans="1:2" x14ac:dyDescent="0.25">
      <c r="A550" s="133" t="s">
        <v>26245</v>
      </c>
      <c r="B550" s="132">
        <v>1</v>
      </c>
    </row>
    <row r="551" spans="1:2" x14ac:dyDescent="0.25">
      <c r="A551" s="133" t="s">
        <v>26246</v>
      </c>
      <c r="B551" s="132">
        <v>1</v>
      </c>
    </row>
    <row r="552" spans="1:2" x14ac:dyDescent="0.25">
      <c r="A552" s="133" t="s">
        <v>26247</v>
      </c>
      <c r="B552" s="132">
        <v>1</v>
      </c>
    </row>
    <row r="553" spans="1:2" x14ac:dyDescent="0.25">
      <c r="A553" s="133" t="s">
        <v>26248</v>
      </c>
      <c r="B553" s="132">
        <v>1</v>
      </c>
    </row>
    <row r="554" spans="1:2" x14ac:dyDescent="0.25">
      <c r="A554" s="133" t="s">
        <v>26249</v>
      </c>
      <c r="B554" s="132">
        <v>1</v>
      </c>
    </row>
    <row r="555" spans="1:2" x14ac:dyDescent="0.25">
      <c r="A555" s="133" t="s">
        <v>26250</v>
      </c>
      <c r="B555" s="132">
        <v>1</v>
      </c>
    </row>
    <row r="556" spans="1:2" x14ac:dyDescent="0.25">
      <c r="A556" s="133" t="s">
        <v>26251</v>
      </c>
      <c r="B556" s="132">
        <v>1</v>
      </c>
    </row>
    <row r="557" spans="1:2" x14ac:dyDescent="0.25">
      <c r="A557" s="133" t="s">
        <v>26252</v>
      </c>
      <c r="B557" s="132">
        <v>1</v>
      </c>
    </row>
    <row r="558" spans="1:2" x14ac:dyDescent="0.25">
      <c r="A558" s="133" t="s">
        <v>26253</v>
      </c>
      <c r="B558" s="132">
        <v>1</v>
      </c>
    </row>
    <row r="559" spans="1:2" x14ac:dyDescent="0.25">
      <c r="A559" s="133" t="s">
        <v>26254</v>
      </c>
      <c r="B559" s="132">
        <v>1</v>
      </c>
    </row>
    <row r="560" spans="1:2" x14ac:dyDescent="0.25">
      <c r="A560" s="133" t="s">
        <v>26255</v>
      </c>
      <c r="B560" s="132">
        <v>1</v>
      </c>
    </row>
    <row r="561" spans="1:2" x14ac:dyDescent="0.25">
      <c r="A561" s="133" t="s">
        <v>26256</v>
      </c>
      <c r="B561" s="132">
        <v>1</v>
      </c>
    </row>
    <row r="562" spans="1:2" x14ac:dyDescent="0.25">
      <c r="A562" s="133" t="s">
        <v>26257</v>
      </c>
      <c r="B562" s="132">
        <v>1</v>
      </c>
    </row>
    <row r="563" spans="1:2" x14ac:dyDescent="0.25">
      <c r="A563" s="133" t="s">
        <v>26258</v>
      </c>
      <c r="B563" s="132">
        <v>1</v>
      </c>
    </row>
    <row r="564" spans="1:2" x14ac:dyDescent="0.25">
      <c r="A564" s="133" t="s">
        <v>26259</v>
      </c>
      <c r="B564" s="132">
        <v>1</v>
      </c>
    </row>
    <row r="565" spans="1:2" x14ac:dyDescent="0.25">
      <c r="A565" s="133" t="s">
        <v>26260</v>
      </c>
      <c r="B565" s="132">
        <v>1</v>
      </c>
    </row>
    <row r="566" spans="1:2" x14ac:dyDescent="0.25">
      <c r="A566" s="133" t="s">
        <v>26261</v>
      </c>
      <c r="B566" s="132">
        <v>1</v>
      </c>
    </row>
    <row r="567" spans="1:2" x14ac:dyDescent="0.25">
      <c r="A567" s="133" t="s">
        <v>26262</v>
      </c>
      <c r="B567" s="132">
        <v>1</v>
      </c>
    </row>
    <row r="568" spans="1:2" x14ac:dyDescent="0.25">
      <c r="A568" s="133" t="s">
        <v>26263</v>
      </c>
      <c r="B568" s="132">
        <v>1</v>
      </c>
    </row>
    <row r="569" spans="1:2" x14ac:dyDescent="0.25">
      <c r="A569" s="133" t="s">
        <v>26264</v>
      </c>
      <c r="B569" s="132">
        <v>1</v>
      </c>
    </row>
    <row r="570" spans="1:2" x14ac:dyDescent="0.25">
      <c r="A570" s="133" t="s">
        <v>26265</v>
      </c>
      <c r="B570" s="132">
        <v>1</v>
      </c>
    </row>
    <row r="571" spans="1:2" x14ac:dyDescent="0.25">
      <c r="A571" s="133" t="s">
        <v>26266</v>
      </c>
      <c r="B571" s="132">
        <v>1</v>
      </c>
    </row>
    <row r="572" spans="1:2" x14ac:dyDescent="0.25">
      <c r="A572" s="133" t="s">
        <v>26267</v>
      </c>
      <c r="B572" s="132">
        <v>1</v>
      </c>
    </row>
    <row r="573" spans="1:2" x14ac:dyDescent="0.25">
      <c r="A573" s="133" t="s">
        <v>26268</v>
      </c>
      <c r="B573" s="132">
        <v>1</v>
      </c>
    </row>
    <row r="574" spans="1:2" x14ac:dyDescent="0.25">
      <c r="A574" s="133" t="s">
        <v>26269</v>
      </c>
      <c r="B574" s="132">
        <v>1</v>
      </c>
    </row>
    <row r="575" spans="1:2" x14ac:dyDescent="0.25">
      <c r="A575" s="133" t="s">
        <v>26270</v>
      </c>
      <c r="B575" s="132">
        <v>1</v>
      </c>
    </row>
    <row r="576" spans="1:2" x14ac:dyDescent="0.25">
      <c r="A576" s="133" t="s">
        <v>26271</v>
      </c>
      <c r="B576" s="132">
        <v>1</v>
      </c>
    </row>
    <row r="577" spans="1:2" x14ac:dyDescent="0.25">
      <c r="A577" s="133" t="s">
        <v>26272</v>
      </c>
      <c r="B577" s="132">
        <v>1</v>
      </c>
    </row>
    <row r="578" spans="1:2" x14ac:dyDescent="0.25">
      <c r="A578" s="133" t="s">
        <v>26273</v>
      </c>
      <c r="B578" s="132">
        <v>1</v>
      </c>
    </row>
    <row r="579" spans="1:2" x14ac:dyDescent="0.25">
      <c r="A579" s="133" t="s">
        <v>26274</v>
      </c>
      <c r="B579" s="132">
        <v>1</v>
      </c>
    </row>
    <row r="580" spans="1:2" x14ac:dyDescent="0.25">
      <c r="A580" s="133" t="s">
        <v>26275</v>
      </c>
      <c r="B580" s="132">
        <v>1</v>
      </c>
    </row>
    <row r="581" spans="1:2" x14ac:dyDescent="0.25">
      <c r="A581" s="133" t="s">
        <v>26276</v>
      </c>
      <c r="B581" s="132">
        <v>1</v>
      </c>
    </row>
    <row r="582" spans="1:2" x14ac:dyDescent="0.25">
      <c r="A582" s="133" t="s">
        <v>26277</v>
      </c>
      <c r="B582" s="132">
        <v>1</v>
      </c>
    </row>
    <row r="583" spans="1:2" x14ac:dyDescent="0.25">
      <c r="A583" s="133" t="s">
        <v>26278</v>
      </c>
      <c r="B583" s="132">
        <v>1</v>
      </c>
    </row>
    <row r="584" spans="1:2" x14ac:dyDescent="0.25">
      <c r="A584" s="133" t="s">
        <v>26279</v>
      </c>
      <c r="B584" s="132">
        <v>1</v>
      </c>
    </row>
    <row r="585" spans="1:2" x14ac:dyDescent="0.25">
      <c r="A585" s="133" t="s">
        <v>26280</v>
      </c>
      <c r="B585" s="132">
        <v>1</v>
      </c>
    </row>
    <row r="586" spans="1:2" x14ac:dyDescent="0.25">
      <c r="A586" s="133" t="s">
        <v>26281</v>
      </c>
      <c r="B586" s="132">
        <v>1</v>
      </c>
    </row>
    <row r="587" spans="1:2" x14ac:dyDescent="0.25">
      <c r="A587" s="133" t="s">
        <v>26282</v>
      </c>
      <c r="B587" s="132">
        <v>1</v>
      </c>
    </row>
    <row r="588" spans="1:2" x14ac:dyDescent="0.25">
      <c r="A588" s="133" t="s">
        <v>26283</v>
      </c>
      <c r="B588" s="132">
        <v>1</v>
      </c>
    </row>
    <row r="589" spans="1:2" x14ac:dyDescent="0.25">
      <c r="A589" s="133" t="s">
        <v>26284</v>
      </c>
      <c r="B589" s="132">
        <v>1</v>
      </c>
    </row>
    <row r="590" spans="1:2" x14ac:dyDescent="0.25">
      <c r="A590" s="133" t="s">
        <v>26285</v>
      </c>
      <c r="B590" s="132">
        <v>1</v>
      </c>
    </row>
    <row r="591" spans="1:2" x14ac:dyDescent="0.25">
      <c r="A591" s="133" t="s">
        <v>26286</v>
      </c>
      <c r="B591" s="132">
        <v>1</v>
      </c>
    </row>
    <row r="592" spans="1:2" x14ac:dyDescent="0.25">
      <c r="A592" s="133" t="s">
        <v>26287</v>
      </c>
      <c r="B592" s="132">
        <v>1</v>
      </c>
    </row>
    <row r="593" spans="1:2" x14ac:dyDescent="0.25">
      <c r="A593" s="133" t="s">
        <v>26288</v>
      </c>
      <c r="B593" s="132">
        <v>1</v>
      </c>
    </row>
    <row r="594" spans="1:2" x14ac:dyDescent="0.25">
      <c r="A594" s="133" t="s">
        <v>26289</v>
      </c>
      <c r="B594" s="132">
        <v>1</v>
      </c>
    </row>
    <row r="595" spans="1:2" x14ac:dyDescent="0.25">
      <c r="A595" s="133" t="s">
        <v>26290</v>
      </c>
      <c r="B595" s="132">
        <v>1</v>
      </c>
    </row>
    <row r="596" spans="1:2" x14ac:dyDescent="0.25">
      <c r="A596" s="133" t="s">
        <v>26291</v>
      </c>
      <c r="B596" s="132">
        <v>1</v>
      </c>
    </row>
    <row r="597" spans="1:2" x14ac:dyDescent="0.25">
      <c r="A597" s="133" t="s">
        <v>26292</v>
      </c>
      <c r="B597" s="132">
        <v>1</v>
      </c>
    </row>
    <row r="598" spans="1:2" x14ac:dyDescent="0.25">
      <c r="A598" s="133" t="s">
        <v>26293</v>
      </c>
      <c r="B598" s="132">
        <v>1</v>
      </c>
    </row>
    <row r="599" spans="1:2" x14ac:dyDescent="0.25">
      <c r="A599" s="133" t="s">
        <v>26294</v>
      </c>
      <c r="B599" s="132">
        <v>1</v>
      </c>
    </row>
    <row r="600" spans="1:2" x14ac:dyDescent="0.25">
      <c r="A600" s="133" t="s">
        <v>26295</v>
      </c>
      <c r="B600" s="132">
        <v>1</v>
      </c>
    </row>
    <row r="601" spans="1:2" x14ac:dyDescent="0.25">
      <c r="A601" s="133" t="s">
        <v>26296</v>
      </c>
      <c r="B601" s="132">
        <v>1</v>
      </c>
    </row>
    <row r="602" spans="1:2" x14ac:dyDescent="0.25">
      <c r="A602" s="133" t="s">
        <v>26297</v>
      </c>
      <c r="B602" s="132">
        <v>1</v>
      </c>
    </row>
    <row r="603" spans="1:2" x14ac:dyDescent="0.25">
      <c r="A603" s="133" t="s">
        <v>26298</v>
      </c>
      <c r="B603" s="132">
        <v>1</v>
      </c>
    </row>
    <row r="604" spans="1:2" x14ac:dyDescent="0.25">
      <c r="A604" s="133" t="s">
        <v>26299</v>
      </c>
      <c r="B604" s="132">
        <v>1</v>
      </c>
    </row>
    <row r="605" spans="1:2" x14ac:dyDescent="0.25">
      <c r="A605" s="133" t="s">
        <v>26300</v>
      </c>
      <c r="B605" s="132">
        <v>1</v>
      </c>
    </row>
    <row r="606" spans="1:2" x14ac:dyDescent="0.25">
      <c r="A606" s="133" t="s">
        <v>26301</v>
      </c>
      <c r="B606" s="132">
        <v>1</v>
      </c>
    </row>
    <row r="607" spans="1:2" x14ac:dyDescent="0.25">
      <c r="A607" s="133" t="s">
        <v>26302</v>
      </c>
      <c r="B607" s="132">
        <v>1</v>
      </c>
    </row>
    <row r="608" spans="1:2" x14ac:dyDescent="0.25">
      <c r="A608" s="133" t="s">
        <v>26303</v>
      </c>
      <c r="B608" s="132">
        <v>1</v>
      </c>
    </row>
    <row r="609" spans="1:2" x14ac:dyDescent="0.25">
      <c r="A609" s="133" t="s">
        <v>26304</v>
      </c>
      <c r="B609" s="132">
        <v>1</v>
      </c>
    </row>
    <row r="610" spans="1:2" x14ac:dyDescent="0.25">
      <c r="A610" s="133" t="s">
        <v>26305</v>
      </c>
      <c r="B610" s="132">
        <v>1</v>
      </c>
    </row>
    <row r="611" spans="1:2" x14ac:dyDescent="0.25">
      <c r="A611" s="133" t="s">
        <v>26306</v>
      </c>
      <c r="B611" s="132">
        <v>1</v>
      </c>
    </row>
    <row r="612" spans="1:2" x14ac:dyDescent="0.25">
      <c r="A612" s="133" t="s">
        <v>26307</v>
      </c>
      <c r="B612" s="132">
        <v>1</v>
      </c>
    </row>
    <row r="613" spans="1:2" x14ac:dyDescent="0.25">
      <c r="A613" s="133" t="s">
        <v>26308</v>
      </c>
      <c r="B613" s="132">
        <v>1</v>
      </c>
    </row>
    <row r="614" spans="1:2" x14ac:dyDescent="0.25">
      <c r="A614" s="133" t="s">
        <v>26309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26310</v>
      </c>
      <c r="B616" s="132">
        <v>1</v>
      </c>
    </row>
    <row r="617" spans="1:2" x14ac:dyDescent="0.25">
      <c r="A617" s="133" t="s">
        <v>26311</v>
      </c>
      <c r="B617" s="132">
        <v>1</v>
      </c>
    </row>
    <row r="618" spans="1:2" x14ac:dyDescent="0.25">
      <c r="A618" s="133" t="s">
        <v>26312</v>
      </c>
      <c r="B618" s="132">
        <v>1</v>
      </c>
    </row>
    <row r="619" spans="1:2" x14ac:dyDescent="0.25">
      <c r="A619" s="133" t="s">
        <v>26313</v>
      </c>
      <c r="B619" s="132">
        <v>1</v>
      </c>
    </row>
    <row r="620" spans="1:2" x14ac:dyDescent="0.25">
      <c r="A620" s="133" t="s">
        <v>26314</v>
      </c>
      <c r="B620" s="132">
        <v>1</v>
      </c>
    </row>
    <row r="621" spans="1:2" x14ac:dyDescent="0.25">
      <c r="A621" s="133" t="s">
        <v>26315</v>
      </c>
      <c r="B621" s="132">
        <v>1</v>
      </c>
    </row>
    <row r="622" spans="1:2" x14ac:dyDescent="0.25">
      <c r="A622" s="133" t="s">
        <v>26316</v>
      </c>
      <c r="B622" s="132">
        <v>1</v>
      </c>
    </row>
    <row r="623" spans="1:2" x14ac:dyDescent="0.25">
      <c r="A623" s="133" t="s">
        <v>26317</v>
      </c>
      <c r="B623" s="132">
        <v>1</v>
      </c>
    </row>
    <row r="624" spans="1:2" x14ac:dyDescent="0.25">
      <c r="A624" s="133" t="s">
        <v>26318</v>
      </c>
      <c r="B624" s="132">
        <v>1</v>
      </c>
    </row>
    <row r="625" spans="1:2" x14ac:dyDescent="0.25">
      <c r="A625" s="133" t="s">
        <v>26319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26320</v>
      </c>
      <c r="B627" s="132">
        <v>1</v>
      </c>
    </row>
    <row r="628" spans="1:2" x14ac:dyDescent="0.25">
      <c r="A628" s="133" t="s">
        <v>26321</v>
      </c>
      <c r="B628" s="132">
        <v>1</v>
      </c>
    </row>
    <row r="629" spans="1:2" x14ac:dyDescent="0.25">
      <c r="A629" s="133" t="s">
        <v>26322</v>
      </c>
      <c r="B629" s="132">
        <v>1</v>
      </c>
    </row>
    <row r="630" spans="1:2" x14ac:dyDescent="0.25">
      <c r="A630" s="133" t="s">
        <v>26323</v>
      </c>
      <c r="B630" s="132">
        <v>1</v>
      </c>
    </row>
    <row r="631" spans="1:2" x14ac:dyDescent="0.25">
      <c r="A631" s="133" t="s">
        <v>26324</v>
      </c>
      <c r="B631" s="132">
        <v>1</v>
      </c>
    </row>
    <row r="632" spans="1:2" x14ac:dyDescent="0.25">
      <c r="A632" s="133" t="s">
        <v>26325</v>
      </c>
      <c r="B632" s="132">
        <v>1</v>
      </c>
    </row>
    <row r="633" spans="1:2" x14ac:dyDescent="0.25">
      <c r="A633" s="133" t="s">
        <v>26326</v>
      </c>
      <c r="B633" s="132">
        <v>1</v>
      </c>
    </row>
    <row r="634" spans="1:2" x14ac:dyDescent="0.25">
      <c r="A634" s="133" t="s">
        <v>26327</v>
      </c>
      <c r="B634" s="132">
        <v>1</v>
      </c>
    </row>
    <row r="635" spans="1:2" x14ac:dyDescent="0.25">
      <c r="A635" s="133" t="s">
        <v>26328</v>
      </c>
      <c r="B635" s="132">
        <v>1</v>
      </c>
    </row>
    <row r="636" spans="1:2" x14ac:dyDescent="0.25">
      <c r="A636" s="133" t="s">
        <v>26329</v>
      </c>
      <c r="B636" s="132">
        <v>1</v>
      </c>
    </row>
    <row r="637" spans="1:2" x14ac:dyDescent="0.25">
      <c r="A637" s="133" t="s">
        <v>26330</v>
      </c>
      <c r="B637" s="132">
        <v>1</v>
      </c>
    </row>
    <row r="638" spans="1:2" x14ac:dyDescent="0.25">
      <c r="A638" s="133" t="s">
        <v>26331</v>
      </c>
      <c r="B638" s="132">
        <v>1</v>
      </c>
    </row>
    <row r="639" spans="1:2" x14ac:dyDescent="0.25">
      <c r="A639" s="133" t="s">
        <v>26332</v>
      </c>
      <c r="B639" s="132">
        <v>1</v>
      </c>
    </row>
    <row r="640" spans="1:2" x14ac:dyDescent="0.25">
      <c r="A640" s="133" t="s">
        <v>26333</v>
      </c>
      <c r="B640" s="132">
        <v>1</v>
      </c>
    </row>
    <row r="641" spans="1:2" x14ac:dyDescent="0.25">
      <c r="A641" s="133" t="s">
        <v>26334</v>
      </c>
      <c r="B641" s="132">
        <v>1</v>
      </c>
    </row>
    <row r="642" spans="1:2" x14ac:dyDescent="0.25">
      <c r="A642" s="133" t="s">
        <v>26335</v>
      </c>
      <c r="B642" s="132">
        <v>1</v>
      </c>
    </row>
    <row r="643" spans="1:2" x14ac:dyDescent="0.25">
      <c r="A643" s="133" t="s">
        <v>26336</v>
      </c>
      <c r="B643" s="132">
        <v>1</v>
      </c>
    </row>
    <row r="644" spans="1:2" x14ac:dyDescent="0.25">
      <c r="A644" s="133" t="s">
        <v>26337</v>
      </c>
      <c r="B644" s="132">
        <v>1</v>
      </c>
    </row>
    <row r="645" spans="1:2" x14ac:dyDescent="0.25">
      <c r="A645" s="133" t="s">
        <v>26338</v>
      </c>
      <c r="B645" s="132">
        <v>1</v>
      </c>
    </row>
    <row r="646" spans="1:2" x14ac:dyDescent="0.25">
      <c r="A646" s="133" t="s">
        <v>26339</v>
      </c>
      <c r="B646" s="132">
        <v>1</v>
      </c>
    </row>
    <row r="647" spans="1:2" x14ac:dyDescent="0.25">
      <c r="A647" s="133" t="s">
        <v>26340</v>
      </c>
      <c r="B647" s="132">
        <v>1</v>
      </c>
    </row>
    <row r="648" spans="1:2" x14ac:dyDescent="0.25">
      <c r="A648" s="133" t="s">
        <v>26341</v>
      </c>
      <c r="B648" s="132">
        <v>1</v>
      </c>
    </row>
    <row r="649" spans="1:2" x14ac:dyDescent="0.25">
      <c r="A649" s="133" t="s">
        <v>26342</v>
      </c>
      <c r="B649" s="132">
        <v>1</v>
      </c>
    </row>
    <row r="650" spans="1:2" x14ac:dyDescent="0.25">
      <c r="A650" s="133" t="s">
        <v>26343</v>
      </c>
      <c r="B650" s="132">
        <v>1</v>
      </c>
    </row>
    <row r="651" spans="1:2" x14ac:dyDescent="0.25">
      <c r="A651" s="133" t="s">
        <v>26344</v>
      </c>
      <c r="B651" s="132">
        <v>1</v>
      </c>
    </row>
    <row r="652" spans="1:2" x14ac:dyDescent="0.25">
      <c r="A652" s="133" t="s">
        <v>26345</v>
      </c>
      <c r="B652" s="132">
        <v>1</v>
      </c>
    </row>
    <row r="653" spans="1:2" x14ac:dyDescent="0.25">
      <c r="A653" s="133" t="s">
        <v>26346</v>
      </c>
      <c r="B653" s="132">
        <v>1</v>
      </c>
    </row>
    <row r="654" spans="1:2" x14ac:dyDescent="0.25">
      <c r="A654" s="133" t="s">
        <v>26347</v>
      </c>
      <c r="B654" s="132">
        <v>1</v>
      </c>
    </row>
    <row r="655" spans="1:2" x14ac:dyDescent="0.25">
      <c r="A655" s="133" t="s">
        <v>26348</v>
      </c>
      <c r="B655" s="132">
        <v>1</v>
      </c>
    </row>
    <row r="656" spans="1:2" x14ac:dyDescent="0.25">
      <c r="A656" s="133" t="s">
        <v>26349</v>
      </c>
      <c r="B656" s="132">
        <v>1</v>
      </c>
    </row>
    <row r="657" spans="1:2" x14ac:dyDescent="0.25">
      <c r="A657" s="133" t="s">
        <v>26350</v>
      </c>
      <c r="B657" s="132">
        <v>1</v>
      </c>
    </row>
    <row r="658" spans="1:2" x14ac:dyDescent="0.25">
      <c r="A658" s="133" t="s">
        <v>26351</v>
      </c>
      <c r="B658" s="132">
        <v>1</v>
      </c>
    </row>
    <row r="659" spans="1:2" x14ac:dyDescent="0.25">
      <c r="A659" s="133" t="s">
        <v>26352</v>
      </c>
      <c r="B659" s="132">
        <v>1</v>
      </c>
    </row>
    <row r="660" spans="1:2" x14ac:dyDescent="0.25">
      <c r="A660" s="133" t="s">
        <v>26353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26354</v>
      </c>
      <c r="B662" s="132">
        <v>1</v>
      </c>
    </row>
    <row r="663" spans="1:2" x14ac:dyDescent="0.25">
      <c r="A663" s="133" t="s">
        <v>26355</v>
      </c>
      <c r="B663" s="132">
        <v>1</v>
      </c>
    </row>
    <row r="664" spans="1:2" x14ac:dyDescent="0.25">
      <c r="A664" s="133" t="s">
        <v>26356</v>
      </c>
      <c r="B664" s="132">
        <v>1</v>
      </c>
    </row>
    <row r="665" spans="1:2" x14ac:dyDescent="0.25">
      <c r="A665" s="133" t="s">
        <v>26357</v>
      </c>
      <c r="B665" s="132">
        <v>1</v>
      </c>
    </row>
    <row r="666" spans="1:2" x14ac:dyDescent="0.25">
      <c r="A666" s="133" t="s">
        <v>26358</v>
      </c>
      <c r="B666" s="132">
        <v>1</v>
      </c>
    </row>
    <row r="667" spans="1:2" x14ac:dyDescent="0.25">
      <c r="A667" s="133" t="s">
        <v>26359</v>
      </c>
      <c r="B667" s="132">
        <v>1</v>
      </c>
    </row>
    <row r="668" spans="1:2" x14ac:dyDescent="0.25">
      <c r="A668" s="133" t="s">
        <v>26360</v>
      </c>
      <c r="B668" s="132">
        <v>1</v>
      </c>
    </row>
    <row r="669" spans="1:2" x14ac:dyDescent="0.25">
      <c r="A669" s="133" t="s">
        <v>26361</v>
      </c>
      <c r="B669" s="132">
        <v>1</v>
      </c>
    </row>
    <row r="670" spans="1:2" x14ac:dyDescent="0.25">
      <c r="A670" s="133" t="s">
        <v>26362</v>
      </c>
      <c r="B670" s="132">
        <v>1</v>
      </c>
    </row>
    <row r="671" spans="1:2" x14ac:dyDescent="0.25">
      <c r="A671" s="133" t="s">
        <v>26363</v>
      </c>
      <c r="B671" s="132">
        <v>1</v>
      </c>
    </row>
    <row r="672" spans="1:2" x14ac:dyDescent="0.25">
      <c r="A672" s="133" t="s">
        <v>26364</v>
      </c>
      <c r="B672" s="132">
        <v>1</v>
      </c>
    </row>
    <row r="673" spans="1:2" x14ac:dyDescent="0.25">
      <c r="A673" s="133" t="s">
        <v>26365</v>
      </c>
      <c r="B673" s="132">
        <v>1</v>
      </c>
    </row>
    <row r="674" spans="1:2" x14ac:dyDescent="0.25">
      <c r="A674" s="133" t="s">
        <v>26366</v>
      </c>
      <c r="B674" s="132">
        <v>1</v>
      </c>
    </row>
    <row r="675" spans="1:2" x14ac:dyDescent="0.25">
      <c r="A675" s="133" t="s">
        <v>26367</v>
      </c>
      <c r="B675" s="132">
        <v>1</v>
      </c>
    </row>
    <row r="676" spans="1:2" x14ac:dyDescent="0.25">
      <c r="A676" s="133" t="s">
        <v>26368</v>
      </c>
      <c r="B676" s="132">
        <v>1</v>
      </c>
    </row>
    <row r="677" spans="1:2" x14ac:dyDescent="0.25">
      <c r="A677" s="133" t="s">
        <v>26369</v>
      </c>
      <c r="B677" s="132">
        <v>1</v>
      </c>
    </row>
    <row r="678" spans="1:2" x14ac:dyDescent="0.25">
      <c r="A678" s="133" t="s">
        <v>26370</v>
      </c>
      <c r="B678" s="132">
        <v>1</v>
      </c>
    </row>
    <row r="679" spans="1:2" x14ac:dyDescent="0.25">
      <c r="A679" s="133" t="s">
        <v>26371</v>
      </c>
      <c r="B679" s="132">
        <v>1</v>
      </c>
    </row>
    <row r="680" spans="1:2" x14ac:dyDescent="0.25">
      <c r="A680" s="133" t="s">
        <v>26372</v>
      </c>
      <c r="B680" s="132">
        <v>1</v>
      </c>
    </row>
    <row r="681" spans="1:2" x14ac:dyDescent="0.25">
      <c r="A681" s="133" t="s">
        <v>26373</v>
      </c>
      <c r="B681" s="132">
        <v>1</v>
      </c>
    </row>
    <row r="682" spans="1:2" x14ac:dyDescent="0.25">
      <c r="A682" s="133" t="s">
        <v>26374</v>
      </c>
      <c r="B682" s="132">
        <v>1</v>
      </c>
    </row>
    <row r="683" spans="1:2" x14ac:dyDescent="0.25">
      <c r="A683" s="133" t="s">
        <v>26375</v>
      </c>
      <c r="B683" s="132">
        <v>1</v>
      </c>
    </row>
    <row r="684" spans="1:2" x14ac:dyDescent="0.25">
      <c r="A684" s="133" t="s">
        <v>26376</v>
      </c>
      <c r="B684" s="132">
        <v>1</v>
      </c>
    </row>
    <row r="685" spans="1:2" x14ac:dyDescent="0.25">
      <c r="A685" s="133" t="s">
        <v>26377</v>
      </c>
      <c r="B685" s="132">
        <v>1</v>
      </c>
    </row>
    <row r="686" spans="1:2" x14ac:dyDescent="0.25">
      <c r="A686" s="133" t="s">
        <v>26378</v>
      </c>
      <c r="B686" s="132">
        <v>1</v>
      </c>
    </row>
    <row r="687" spans="1:2" x14ac:dyDescent="0.25">
      <c r="A687" s="133" t="s">
        <v>26379</v>
      </c>
      <c r="B687" s="132">
        <v>1</v>
      </c>
    </row>
    <row r="688" spans="1:2" x14ac:dyDescent="0.25">
      <c r="A688" s="133" t="s">
        <v>26380</v>
      </c>
      <c r="B688" s="132">
        <v>1</v>
      </c>
    </row>
    <row r="689" spans="1:2" x14ac:dyDescent="0.25">
      <c r="A689" s="133" t="s">
        <v>26381</v>
      </c>
      <c r="B689" s="132">
        <v>1</v>
      </c>
    </row>
    <row r="690" spans="1:2" x14ac:dyDescent="0.25">
      <c r="A690" s="133" t="s">
        <v>26382</v>
      </c>
      <c r="B690" s="132">
        <v>1</v>
      </c>
    </row>
    <row r="691" spans="1:2" x14ac:dyDescent="0.25">
      <c r="A691" s="133" t="s">
        <v>26383</v>
      </c>
      <c r="B691" s="132">
        <v>1</v>
      </c>
    </row>
    <row r="692" spans="1:2" x14ac:dyDescent="0.25">
      <c r="A692" s="133" t="s">
        <v>26384</v>
      </c>
      <c r="B692" s="132">
        <v>1</v>
      </c>
    </row>
    <row r="693" spans="1:2" x14ac:dyDescent="0.25">
      <c r="A693" s="133" t="s">
        <v>26385</v>
      </c>
      <c r="B693" s="132">
        <v>1</v>
      </c>
    </row>
    <row r="694" spans="1:2" x14ac:dyDescent="0.25">
      <c r="A694" s="133" t="s">
        <v>26386</v>
      </c>
      <c r="B694" s="132">
        <v>1</v>
      </c>
    </row>
    <row r="695" spans="1:2" x14ac:dyDescent="0.25">
      <c r="A695" s="133" t="s">
        <v>26387</v>
      </c>
      <c r="B695" s="132">
        <v>1</v>
      </c>
    </row>
    <row r="696" spans="1:2" x14ac:dyDescent="0.25">
      <c r="A696" s="133" t="s">
        <v>26388</v>
      </c>
      <c r="B696" s="132">
        <v>1</v>
      </c>
    </row>
    <row r="697" spans="1:2" x14ac:dyDescent="0.25">
      <c r="A697" s="133" t="s">
        <v>26389</v>
      </c>
      <c r="B697" s="132">
        <v>1</v>
      </c>
    </row>
    <row r="698" spans="1:2" x14ac:dyDescent="0.25">
      <c r="A698" s="133" t="s">
        <v>26390</v>
      </c>
      <c r="B698" s="132">
        <v>1</v>
      </c>
    </row>
    <row r="699" spans="1:2" x14ac:dyDescent="0.25">
      <c r="A699" s="133" t="s">
        <v>26391</v>
      </c>
      <c r="B699" s="132">
        <v>1</v>
      </c>
    </row>
    <row r="700" spans="1:2" x14ac:dyDescent="0.25">
      <c r="A700" s="133" t="s">
        <v>26392</v>
      </c>
      <c r="B700" s="132">
        <v>1</v>
      </c>
    </row>
    <row r="701" spans="1:2" x14ac:dyDescent="0.25">
      <c r="A701" s="133" t="s">
        <v>26393</v>
      </c>
      <c r="B701" s="132">
        <v>1</v>
      </c>
    </row>
    <row r="702" spans="1:2" x14ac:dyDescent="0.25">
      <c r="A702" s="133" t="s">
        <v>26394</v>
      </c>
      <c r="B702" s="132">
        <v>1</v>
      </c>
    </row>
    <row r="703" spans="1:2" x14ac:dyDescent="0.25">
      <c r="A703" s="133" t="s">
        <v>26395</v>
      </c>
      <c r="B703" s="132">
        <v>1</v>
      </c>
    </row>
    <row r="704" spans="1:2" x14ac:dyDescent="0.25">
      <c r="A704" s="133" t="s">
        <v>26396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26397</v>
      </c>
      <c r="B706" s="132">
        <v>1</v>
      </c>
    </row>
    <row r="707" spans="1:2" x14ac:dyDescent="0.25">
      <c r="A707" s="133" t="s">
        <v>26398</v>
      </c>
      <c r="B707" s="132">
        <v>1</v>
      </c>
    </row>
    <row r="708" spans="1:2" x14ac:dyDescent="0.25">
      <c r="A708" s="133" t="s">
        <v>26399</v>
      </c>
      <c r="B708" s="132">
        <v>1</v>
      </c>
    </row>
    <row r="709" spans="1:2" x14ac:dyDescent="0.25">
      <c r="A709" s="133" t="s">
        <v>26400</v>
      </c>
      <c r="B709" s="132">
        <v>1</v>
      </c>
    </row>
    <row r="710" spans="1:2" x14ac:dyDescent="0.25">
      <c r="A710" s="133" t="s">
        <v>26401</v>
      </c>
      <c r="B710" s="132">
        <v>1</v>
      </c>
    </row>
    <row r="711" spans="1:2" x14ac:dyDescent="0.25">
      <c r="A711" s="133" t="s">
        <v>26402</v>
      </c>
      <c r="B711" s="132">
        <v>1</v>
      </c>
    </row>
    <row r="712" spans="1:2" x14ac:dyDescent="0.25">
      <c r="A712" s="133" t="s">
        <v>26403</v>
      </c>
      <c r="B712" s="132">
        <v>1</v>
      </c>
    </row>
    <row r="713" spans="1:2" x14ac:dyDescent="0.25">
      <c r="A713" s="133" t="s">
        <v>26404</v>
      </c>
      <c r="B713" s="132">
        <v>1</v>
      </c>
    </row>
    <row r="714" spans="1:2" x14ac:dyDescent="0.25">
      <c r="A714" s="133" t="s">
        <v>26405</v>
      </c>
      <c r="B714" s="132">
        <v>1</v>
      </c>
    </row>
    <row r="715" spans="1:2" x14ac:dyDescent="0.25">
      <c r="A715" s="133" t="s">
        <v>26406</v>
      </c>
      <c r="B715" s="132">
        <v>1</v>
      </c>
    </row>
    <row r="716" spans="1:2" x14ac:dyDescent="0.25">
      <c r="A716" s="133" t="s">
        <v>26407</v>
      </c>
      <c r="B716" s="132">
        <v>1</v>
      </c>
    </row>
    <row r="717" spans="1:2" x14ac:dyDescent="0.25">
      <c r="A717" s="133" t="s">
        <v>26408</v>
      </c>
      <c r="B717" s="132">
        <v>1</v>
      </c>
    </row>
    <row r="718" spans="1:2" x14ac:dyDescent="0.25">
      <c r="A718" s="133" t="s">
        <v>26409</v>
      </c>
      <c r="B718" s="132">
        <v>1</v>
      </c>
    </row>
    <row r="719" spans="1:2" x14ac:dyDescent="0.25">
      <c r="A719" s="133" t="s">
        <v>26410</v>
      </c>
      <c r="B719" s="132">
        <v>1</v>
      </c>
    </row>
    <row r="720" spans="1:2" x14ac:dyDescent="0.25">
      <c r="A720" s="133" t="s">
        <v>26411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26412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26413</v>
      </c>
      <c r="B724" s="132">
        <v>1</v>
      </c>
    </row>
    <row r="725" spans="1:2" x14ac:dyDescent="0.25">
      <c r="A725" s="133" t="s">
        <v>26414</v>
      </c>
      <c r="B725" s="132">
        <v>1</v>
      </c>
    </row>
    <row r="726" spans="1:2" x14ac:dyDescent="0.25">
      <c r="A726" s="133" t="s">
        <v>26415</v>
      </c>
      <c r="B726" s="132">
        <v>1</v>
      </c>
    </row>
    <row r="727" spans="1:2" x14ac:dyDescent="0.25">
      <c r="A727" s="133" t="s">
        <v>26416</v>
      </c>
      <c r="B727" s="132">
        <v>1</v>
      </c>
    </row>
    <row r="728" spans="1:2" x14ac:dyDescent="0.25">
      <c r="A728" s="133" t="s">
        <v>26417</v>
      </c>
      <c r="B728" s="132">
        <v>1</v>
      </c>
    </row>
    <row r="729" spans="1:2" x14ac:dyDescent="0.25">
      <c r="A729" s="133" t="s">
        <v>26418</v>
      </c>
      <c r="B729" s="132">
        <v>1</v>
      </c>
    </row>
    <row r="730" spans="1:2" x14ac:dyDescent="0.25">
      <c r="A730" s="133" t="s">
        <v>26419</v>
      </c>
      <c r="B730" s="132">
        <v>1</v>
      </c>
    </row>
    <row r="731" spans="1:2" x14ac:dyDescent="0.25">
      <c r="A731" s="133" t="s">
        <v>26420</v>
      </c>
      <c r="B731" s="132">
        <v>1</v>
      </c>
    </row>
    <row r="732" spans="1:2" x14ac:dyDescent="0.25">
      <c r="A732" s="133" t="s">
        <v>26421</v>
      </c>
      <c r="B732" s="132">
        <v>1</v>
      </c>
    </row>
    <row r="733" spans="1:2" x14ac:dyDescent="0.25">
      <c r="A733" s="133" t="s">
        <v>26422</v>
      </c>
      <c r="B733" s="132">
        <v>1</v>
      </c>
    </row>
    <row r="734" spans="1:2" x14ac:dyDescent="0.25">
      <c r="A734" s="133" t="s">
        <v>26423</v>
      </c>
      <c r="B734" s="132">
        <v>1</v>
      </c>
    </row>
    <row r="735" spans="1:2" x14ac:dyDescent="0.25">
      <c r="A735" s="133" t="s">
        <v>26424</v>
      </c>
      <c r="B735" s="132">
        <v>1</v>
      </c>
    </row>
    <row r="736" spans="1:2" x14ac:dyDescent="0.25">
      <c r="A736" s="133" t="s">
        <v>26425</v>
      </c>
      <c r="B736" s="132">
        <v>1</v>
      </c>
    </row>
    <row r="737" spans="1:2" x14ac:dyDescent="0.25">
      <c r="A737" s="133" t="s">
        <v>26426</v>
      </c>
      <c r="B737" s="132">
        <v>1</v>
      </c>
    </row>
    <row r="738" spans="1:2" x14ac:dyDescent="0.25">
      <c r="A738" s="133" t="s">
        <v>26427</v>
      </c>
      <c r="B738" s="132">
        <v>1</v>
      </c>
    </row>
    <row r="739" spans="1:2" x14ac:dyDescent="0.25">
      <c r="A739" s="133" t="s">
        <v>26428</v>
      </c>
      <c r="B739" s="132">
        <v>1</v>
      </c>
    </row>
    <row r="740" spans="1:2" x14ac:dyDescent="0.25">
      <c r="A740" s="133" t="s">
        <v>26429</v>
      </c>
      <c r="B740" s="132">
        <v>1</v>
      </c>
    </row>
    <row r="741" spans="1:2" x14ac:dyDescent="0.25">
      <c r="A741" s="133" t="s">
        <v>26430</v>
      </c>
      <c r="B741" s="132">
        <v>1</v>
      </c>
    </row>
    <row r="742" spans="1:2" x14ac:dyDescent="0.25">
      <c r="A742" s="133" t="s">
        <v>26431</v>
      </c>
      <c r="B742" s="132">
        <v>1</v>
      </c>
    </row>
    <row r="743" spans="1:2" x14ac:dyDescent="0.25">
      <c r="A743" s="133" t="s">
        <v>26432</v>
      </c>
      <c r="B743" s="132">
        <v>1</v>
      </c>
    </row>
    <row r="744" spans="1:2" x14ac:dyDescent="0.25">
      <c r="A744" s="133" t="s">
        <v>26433</v>
      </c>
      <c r="B744" s="132">
        <v>1</v>
      </c>
    </row>
    <row r="745" spans="1:2" x14ac:dyDescent="0.25">
      <c r="A745" s="133" t="s">
        <v>26434</v>
      </c>
      <c r="B745" s="132">
        <v>1</v>
      </c>
    </row>
    <row r="746" spans="1:2" x14ac:dyDescent="0.25">
      <c r="A746" s="133" t="s">
        <v>26435</v>
      </c>
      <c r="B746" s="132">
        <v>1</v>
      </c>
    </row>
    <row r="747" spans="1:2" x14ac:dyDescent="0.25">
      <c r="A747" s="133" t="s">
        <v>26436</v>
      </c>
      <c r="B747" s="132">
        <v>1</v>
      </c>
    </row>
    <row r="748" spans="1:2" x14ac:dyDescent="0.25">
      <c r="A748" s="133" t="s">
        <v>26437</v>
      </c>
      <c r="B748" s="132">
        <v>1</v>
      </c>
    </row>
    <row r="749" spans="1:2" x14ac:dyDescent="0.25">
      <c r="A749" s="133" t="s">
        <v>26438</v>
      </c>
      <c r="B749" s="132">
        <v>1</v>
      </c>
    </row>
    <row r="750" spans="1:2" x14ac:dyDescent="0.25">
      <c r="A750" s="133" t="s">
        <v>26439</v>
      </c>
      <c r="B750" s="132">
        <v>1</v>
      </c>
    </row>
    <row r="751" spans="1:2" x14ac:dyDescent="0.25">
      <c r="A751" s="133" t="s">
        <v>26440</v>
      </c>
      <c r="B751" s="132">
        <v>1</v>
      </c>
    </row>
    <row r="752" spans="1:2" x14ac:dyDescent="0.25">
      <c r="A752" s="133" t="s">
        <v>26441</v>
      </c>
      <c r="B752" s="132">
        <v>1</v>
      </c>
    </row>
    <row r="753" spans="1:2" x14ac:dyDescent="0.25">
      <c r="A753" s="133" t="s">
        <v>26442</v>
      </c>
      <c r="B753" s="132">
        <v>1</v>
      </c>
    </row>
    <row r="754" spans="1:2" x14ac:dyDescent="0.25">
      <c r="A754" s="133" t="s">
        <v>26443</v>
      </c>
      <c r="B754" s="132">
        <v>1</v>
      </c>
    </row>
    <row r="755" spans="1:2" x14ac:dyDescent="0.25">
      <c r="A755" s="133" t="s">
        <v>26444</v>
      </c>
      <c r="B755" s="132">
        <v>1</v>
      </c>
    </row>
    <row r="756" spans="1:2" x14ac:dyDescent="0.25">
      <c r="A756" s="133" t="s">
        <v>26445</v>
      </c>
      <c r="B756" s="132">
        <v>1</v>
      </c>
    </row>
    <row r="757" spans="1:2" x14ac:dyDescent="0.25">
      <c r="A757" s="133" t="s">
        <v>26446</v>
      </c>
      <c r="B757" s="132">
        <v>1</v>
      </c>
    </row>
    <row r="758" spans="1:2" x14ac:dyDescent="0.25">
      <c r="A758" s="133" t="s">
        <v>26447</v>
      </c>
      <c r="B758" s="132">
        <v>1</v>
      </c>
    </row>
    <row r="759" spans="1:2" x14ac:dyDescent="0.25">
      <c r="A759" s="133" t="s">
        <v>26448</v>
      </c>
      <c r="B759" s="132">
        <v>1</v>
      </c>
    </row>
    <row r="760" spans="1:2" x14ac:dyDescent="0.25">
      <c r="A760" s="133" t="s">
        <v>26449</v>
      </c>
      <c r="B760" s="132">
        <v>1</v>
      </c>
    </row>
    <row r="761" spans="1:2" x14ac:dyDescent="0.25">
      <c r="A761" s="133" t="s">
        <v>26450</v>
      </c>
      <c r="B761" s="132">
        <v>1</v>
      </c>
    </row>
    <row r="762" spans="1:2" x14ac:dyDescent="0.25">
      <c r="A762" s="133" t="s">
        <v>26451</v>
      </c>
      <c r="B762" s="132">
        <v>1</v>
      </c>
    </row>
    <row r="763" spans="1:2" x14ac:dyDescent="0.25">
      <c r="A763" s="133" t="s">
        <v>26452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26453</v>
      </c>
      <c r="B765" s="132">
        <v>1</v>
      </c>
    </row>
    <row r="766" spans="1:2" x14ac:dyDescent="0.25">
      <c r="A766" s="133" t="s">
        <v>26454</v>
      </c>
      <c r="B766" s="132">
        <v>1</v>
      </c>
    </row>
    <row r="767" spans="1:2" x14ac:dyDescent="0.25">
      <c r="A767" s="133" t="s">
        <v>26455</v>
      </c>
      <c r="B767" s="132">
        <v>1</v>
      </c>
    </row>
    <row r="768" spans="1:2" x14ac:dyDescent="0.25">
      <c r="A768" s="133" t="s">
        <v>26456</v>
      </c>
      <c r="B768" s="132">
        <v>1</v>
      </c>
    </row>
    <row r="769" spans="1:2" x14ac:dyDescent="0.25">
      <c r="A769" s="133" t="s">
        <v>26457</v>
      </c>
      <c r="B769" s="132">
        <v>1</v>
      </c>
    </row>
    <row r="770" spans="1:2" x14ac:dyDescent="0.25">
      <c r="A770" s="133" t="s">
        <v>26458</v>
      </c>
      <c r="B770" s="132">
        <v>1</v>
      </c>
    </row>
    <row r="771" spans="1:2" x14ac:dyDescent="0.25">
      <c r="A771" s="133" t="s">
        <v>26459</v>
      </c>
      <c r="B771" s="132">
        <v>1</v>
      </c>
    </row>
    <row r="772" spans="1:2" x14ac:dyDescent="0.25">
      <c r="A772" s="133" t="s">
        <v>26460</v>
      </c>
      <c r="B772" s="132">
        <v>1</v>
      </c>
    </row>
    <row r="773" spans="1:2" x14ac:dyDescent="0.25">
      <c r="A773" s="133" t="s">
        <v>26461</v>
      </c>
      <c r="B773" s="132">
        <v>1</v>
      </c>
    </row>
    <row r="774" spans="1:2" x14ac:dyDescent="0.25">
      <c r="A774" s="133" t="s">
        <v>26462</v>
      </c>
      <c r="B774" s="132">
        <v>1</v>
      </c>
    </row>
    <row r="775" spans="1:2" x14ac:dyDescent="0.25">
      <c r="A775" s="133" t="s">
        <v>26463</v>
      </c>
      <c r="B775" s="132">
        <v>1</v>
      </c>
    </row>
    <row r="776" spans="1:2" x14ac:dyDescent="0.25">
      <c r="A776" s="133" t="s">
        <v>26464</v>
      </c>
      <c r="B776" s="132">
        <v>1</v>
      </c>
    </row>
    <row r="777" spans="1:2" x14ac:dyDescent="0.25">
      <c r="A777" s="133" t="s">
        <v>26465</v>
      </c>
      <c r="B777" s="132">
        <v>1</v>
      </c>
    </row>
    <row r="778" spans="1:2" x14ac:dyDescent="0.25">
      <c r="A778" s="133" t="s">
        <v>26466</v>
      </c>
      <c r="B778" s="132">
        <v>1</v>
      </c>
    </row>
    <row r="779" spans="1:2" x14ac:dyDescent="0.25">
      <c r="A779" s="133" t="s">
        <v>26467</v>
      </c>
      <c r="B779" s="132">
        <v>1</v>
      </c>
    </row>
    <row r="780" spans="1:2" x14ac:dyDescent="0.25">
      <c r="A780" s="133" t="s">
        <v>26468</v>
      </c>
      <c r="B780" s="132">
        <v>1</v>
      </c>
    </row>
    <row r="781" spans="1:2" x14ac:dyDescent="0.25">
      <c r="A781" s="133" t="s">
        <v>26469</v>
      </c>
      <c r="B781" s="132">
        <v>1</v>
      </c>
    </row>
    <row r="782" spans="1:2" x14ac:dyDescent="0.25">
      <c r="A782" s="133" t="s">
        <v>26470</v>
      </c>
      <c r="B782" s="132">
        <v>1</v>
      </c>
    </row>
    <row r="783" spans="1:2" x14ac:dyDescent="0.25">
      <c r="A783" s="133" t="s">
        <v>26471</v>
      </c>
      <c r="B783" s="132">
        <v>1</v>
      </c>
    </row>
    <row r="784" spans="1:2" x14ac:dyDescent="0.25">
      <c r="A784" s="133" t="s">
        <v>26472</v>
      </c>
      <c r="B784" s="132">
        <v>1</v>
      </c>
    </row>
    <row r="785" spans="1:2" x14ac:dyDescent="0.25">
      <c r="A785" s="133" t="s">
        <v>26473</v>
      </c>
      <c r="B785" s="132">
        <v>1</v>
      </c>
    </row>
    <row r="786" spans="1:2" x14ac:dyDescent="0.25">
      <c r="A786" s="133" t="s">
        <v>26474</v>
      </c>
      <c r="B786" s="132">
        <v>1</v>
      </c>
    </row>
    <row r="787" spans="1:2" x14ac:dyDescent="0.25">
      <c r="A787" s="133" t="s">
        <v>26475</v>
      </c>
      <c r="B787" s="132">
        <v>1</v>
      </c>
    </row>
    <row r="788" spans="1:2" x14ac:dyDescent="0.25">
      <c r="A788" s="133" t="s">
        <v>26476</v>
      </c>
      <c r="B788" s="132">
        <v>1</v>
      </c>
    </row>
    <row r="789" spans="1:2" x14ac:dyDescent="0.25">
      <c r="A789" s="133" t="s">
        <v>26477</v>
      </c>
      <c r="B789" s="132">
        <v>1</v>
      </c>
    </row>
    <row r="790" spans="1:2" x14ac:dyDescent="0.25">
      <c r="A790" s="133" t="s">
        <v>26478</v>
      </c>
      <c r="B790" s="132">
        <v>1</v>
      </c>
    </row>
    <row r="791" spans="1:2" x14ac:dyDescent="0.25">
      <c r="A791" s="133" t="s">
        <v>26479</v>
      </c>
      <c r="B791" s="132">
        <v>1</v>
      </c>
    </row>
    <row r="792" spans="1:2" x14ac:dyDescent="0.25">
      <c r="A792" s="133" t="s">
        <v>26480</v>
      </c>
      <c r="B792" s="132">
        <v>1</v>
      </c>
    </row>
    <row r="793" spans="1:2" x14ac:dyDescent="0.25">
      <c r="A793" s="133" t="s">
        <v>26481</v>
      </c>
      <c r="B793" s="132">
        <v>1</v>
      </c>
    </row>
    <row r="794" spans="1:2" x14ac:dyDescent="0.25">
      <c r="A794" s="133" t="s">
        <v>26482</v>
      </c>
      <c r="B794" s="132">
        <v>1</v>
      </c>
    </row>
    <row r="795" spans="1:2" x14ac:dyDescent="0.25">
      <c r="A795" s="133" t="s">
        <v>26483</v>
      </c>
      <c r="B795" s="132">
        <v>1</v>
      </c>
    </row>
    <row r="796" spans="1:2" x14ac:dyDescent="0.25">
      <c r="A796" s="133" t="s">
        <v>26484</v>
      </c>
      <c r="B796" s="132">
        <v>1</v>
      </c>
    </row>
    <row r="797" spans="1:2" x14ac:dyDescent="0.25">
      <c r="A797" s="133" t="s">
        <v>26485</v>
      </c>
      <c r="B797" s="132">
        <v>1</v>
      </c>
    </row>
    <row r="798" spans="1:2" x14ac:dyDescent="0.25">
      <c r="A798" s="133" t="s">
        <v>26486</v>
      </c>
      <c r="B798" s="132">
        <v>1</v>
      </c>
    </row>
    <row r="799" spans="1:2" x14ac:dyDescent="0.25">
      <c r="A799" s="133" t="s">
        <v>26487</v>
      </c>
      <c r="B799" s="132">
        <v>1</v>
      </c>
    </row>
    <row r="800" spans="1:2" x14ac:dyDescent="0.25">
      <c r="A800" s="133" t="s">
        <v>26488</v>
      </c>
      <c r="B800" s="132">
        <v>1</v>
      </c>
    </row>
    <row r="801" spans="1:2" x14ac:dyDescent="0.25">
      <c r="A801" s="133" t="s">
        <v>26489</v>
      </c>
      <c r="B801" s="132">
        <v>1</v>
      </c>
    </row>
    <row r="802" spans="1:2" x14ac:dyDescent="0.25">
      <c r="A802" s="133" t="s">
        <v>26490</v>
      </c>
      <c r="B802" s="132">
        <v>1</v>
      </c>
    </row>
    <row r="803" spans="1:2" x14ac:dyDescent="0.25">
      <c r="A803" s="133" t="s">
        <v>26491</v>
      </c>
      <c r="B803" s="132">
        <v>1</v>
      </c>
    </row>
    <row r="804" spans="1:2" x14ac:dyDescent="0.25">
      <c r="A804" s="133" t="s">
        <v>26492</v>
      </c>
      <c r="B804" s="132">
        <v>1</v>
      </c>
    </row>
    <row r="805" spans="1:2" x14ac:dyDescent="0.25">
      <c r="A805" s="133" t="s">
        <v>26493</v>
      </c>
      <c r="B805" s="132">
        <v>1</v>
      </c>
    </row>
    <row r="806" spans="1:2" x14ac:dyDescent="0.25">
      <c r="A806" s="133" t="s">
        <v>26494</v>
      </c>
      <c r="B806" s="132">
        <v>1</v>
      </c>
    </row>
    <row r="807" spans="1:2" x14ac:dyDescent="0.25">
      <c r="A807" s="133" t="s">
        <v>26495</v>
      </c>
      <c r="B807" s="132">
        <v>1</v>
      </c>
    </row>
    <row r="808" spans="1:2" x14ac:dyDescent="0.25">
      <c r="A808" s="133" t="s">
        <v>26496</v>
      </c>
      <c r="B808" s="132">
        <v>1</v>
      </c>
    </row>
    <row r="809" spans="1:2" x14ac:dyDescent="0.25">
      <c r="A809" s="133" t="s">
        <v>26497</v>
      </c>
      <c r="B809" s="132">
        <v>1</v>
      </c>
    </row>
    <row r="810" spans="1:2" x14ac:dyDescent="0.25">
      <c r="A810" s="133" t="s">
        <v>26498</v>
      </c>
      <c r="B810" s="132">
        <v>1</v>
      </c>
    </row>
    <row r="811" spans="1:2" x14ac:dyDescent="0.25">
      <c r="A811" s="133" t="s">
        <v>26499</v>
      </c>
      <c r="B811" s="132">
        <v>1</v>
      </c>
    </row>
    <row r="812" spans="1:2" x14ac:dyDescent="0.25">
      <c r="A812" s="133" t="s">
        <v>26500</v>
      </c>
      <c r="B812" s="132">
        <v>1</v>
      </c>
    </row>
    <row r="813" spans="1:2" x14ac:dyDescent="0.25">
      <c r="A813" s="133" t="s">
        <v>26501</v>
      </c>
      <c r="B813" s="132">
        <v>1</v>
      </c>
    </row>
    <row r="814" spans="1:2" x14ac:dyDescent="0.25">
      <c r="A814" s="133" t="s">
        <v>26502</v>
      </c>
      <c r="B814" s="132">
        <v>1</v>
      </c>
    </row>
    <row r="815" spans="1:2" x14ac:dyDescent="0.25">
      <c r="A815" s="133" t="s">
        <v>26503</v>
      </c>
      <c r="B815" s="132">
        <v>1</v>
      </c>
    </row>
    <row r="816" spans="1:2" x14ac:dyDescent="0.25">
      <c r="A816" s="133" t="s">
        <v>26504</v>
      </c>
      <c r="B816" s="132">
        <v>1</v>
      </c>
    </row>
    <row r="817" spans="1:2" x14ac:dyDescent="0.25">
      <c r="A817" s="133" t="s">
        <v>26505</v>
      </c>
      <c r="B817" s="132">
        <v>1</v>
      </c>
    </row>
    <row r="818" spans="1:2" x14ac:dyDescent="0.25">
      <c r="A818" s="133" t="s">
        <v>26506</v>
      </c>
      <c r="B818" s="132">
        <v>1</v>
      </c>
    </row>
    <row r="819" spans="1:2" x14ac:dyDescent="0.25">
      <c r="A819" s="133" t="s">
        <v>26507</v>
      </c>
      <c r="B819" s="132">
        <v>1</v>
      </c>
    </row>
    <row r="820" spans="1:2" x14ac:dyDescent="0.25">
      <c r="A820" s="133" t="s">
        <v>26508</v>
      </c>
      <c r="B820" s="132">
        <v>1</v>
      </c>
    </row>
    <row r="821" spans="1:2" x14ac:dyDescent="0.25">
      <c r="A821" s="133" t="s">
        <v>26509</v>
      </c>
      <c r="B821" s="132">
        <v>1</v>
      </c>
    </row>
    <row r="822" spans="1:2" x14ac:dyDescent="0.25">
      <c r="A822" s="133" t="s">
        <v>26510</v>
      </c>
      <c r="B822" s="132">
        <v>1</v>
      </c>
    </row>
    <row r="823" spans="1:2" x14ac:dyDescent="0.25">
      <c r="A823" s="133" t="s">
        <v>26511</v>
      </c>
      <c r="B823" s="132">
        <v>1</v>
      </c>
    </row>
    <row r="824" spans="1:2" x14ac:dyDescent="0.25">
      <c r="A824" s="133" t="s">
        <v>26512</v>
      </c>
      <c r="B824" s="132">
        <v>1</v>
      </c>
    </row>
    <row r="825" spans="1:2" x14ac:dyDescent="0.25">
      <c r="A825" s="133" t="s">
        <v>26513</v>
      </c>
      <c r="B825" s="132">
        <v>1</v>
      </c>
    </row>
    <row r="826" spans="1:2" x14ac:dyDescent="0.25">
      <c r="A826" s="133" t="s">
        <v>26514</v>
      </c>
      <c r="B826" s="132">
        <v>1</v>
      </c>
    </row>
    <row r="827" spans="1:2" x14ac:dyDescent="0.25">
      <c r="A827" s="133" t="s">
        <v>26515</v>
      </c>
      <c r="B827" s="132">
        <v>1</v>
      </c>
    </row>
    <row r="828" spans="1:2" x14ac:dyDescent="0.25">
      <c r="A828" s="133" t="s">
        <v>26516</v>
      </c>
      <c r="B828" s="132">
        <v>1</v>
      </c>
    </row>
    <row r="829" spans="1:2" x14ac:dyDescent="0.25">
      <c r="A829" s="133" t="s">
        <v>26517</v>
      </c>
      <c r="B829" s="132">
        <v>1</v>
      </c>
    </row>
    <row r="830" spans="1:2" x14ac:dyDescent="0.25">
      <c r="A830" s="133" t="s">
        <v>26518</v>
      </c>
      <c r="B830" s="132">
        <v>1</v>
      </c>
    </row>
    <row r="831" spans="1:2" x14ac:dyDescent="0.25">
      <c r="A831" s="133" t="s">
        <v>26519</v>
      </c>
      <c r="B831" s="132">
        <v>1</v>
      </c>
    </row>
    <row r="832" spans="1:2" x14ac:dyDescent="0.25">
      <c r="A832" s="133" t="s">
        <v>26520</v>
      </c>
      <c r="B832" s="132">
        <v>1</v>
      </c>
    </row>
    <row r="833" spans="1:2" x14ac:dyDescent="0.25">
      <c r="A833" s="133" t="s">
        <v>26521</v>
      </c>
      <c r="B833" s="132">
        <v>1</v>
      </c>
    </row>
    <row r="834" spans="1:2" x14ac:dyDescent="0.25">
      <c r="A834" s="133" t="s">
        <v>26522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26523</v>
      </c>
      <c r="B836" s="132">
        <v>1</v>
      </c>
    </row>
    <row r="837" spans="1:2" x14ac:dyDescent="0.25">
      <c r="A837" s="133" t="s">
        <v>26524</v>
      </c>
      <c r="B837" s="132">
        <v>1</v>
      </c>
    </row>
    <row r="838" spans="1:2" x14ac:dyDescent="0.25">
      <c r="A838" s="133" t="s">
        <v>26525</v>
      </c>
      <c r="B838" s="132">
        <v>1</v>
      </c>
    </row>
    <row r="839" spans="1:2" x14ac:dyDescent="0.25">
      <c r="A839" s="133" t="s">
        <v>26526</v>
      </c>
      <c r="B839" s="132">
        <v>1</v>
      </c>
    </row>
    <row r="840" spans="1:2" x14ac:dyDescent="0.25">
      <c r="A840" s="133" t="s">
        <v>26527</v>
      </c>
      <c r="B840" s="132">
        <v>1</v>
      </c>
    </row>
    <row r="841" spans="1:2" x14ac:dyDescent="0.25">
      <c r="A841" s="133" t="s">
        <v>26528</v>
      </c>
      <c r="B841" s="132">
        <v>1</v>
      </c>
    </row>
    <row r="842" spans="1:2" x14ac:dyDescent="0.25">
      <c r="A842" s="133" t="s">
        <v>26529</v>
      </c>
      <c r="B842" s="132">
        <v>1</v>
      </c>
    </row>
    <row r="843" spans="1:2" x14ac:dyDescent="0.25">
      <c r="A843" s="133" t="s">
        <v>26530</v>
      </c>
      <c r="B843" s="132">
        <v>1</v>
      </c>
    </row>
    <row r="844" spans="1:2" x14ac:dyDescent="0.25">
      <c r="A844" s="133" t="s">
        <v>26531</v>
      </c>
      <c r="B844" s="132">
        <v>1</v>
      </c>
    </row>
    <row r="845" spans="1:2" x14ac:dyDescent="0.25">
      <c r="A845" s="133" t="s">
        <v>26532</v>
      </c>
      <c r="B845" s="132">
        <v>1</v>
      </c>
    </row>
    <row r="846" spans="1:2" x14ac:dyDescent="0.25">
      <c r="A846" s="133" t="s">
        <v>26533</v>
      </c>
      <c r="B846" s="132">
        <v>1</v>
      </c>
    </row>
    <row r="847" spans="1:2" x14ac:dyDescent="0.25">
      <c r="A847" s="133" t="s">
        <v>26534</v>
      </c>
      <c r="B847" s="132">
        <v>1</v>
      </c>
    </row>
    <row r="848" spans="1:2" x14ac:dyDescent="0.25">
      <c r="A848" s="133" t="s">
        <v>26535</v>
      </c>
      <c r="B848" s="132">
        <v>1</v>
      </c>
    </row>
    <row r="849" spans="1:2" x14ac:dyDescent="0.25">
      <c r="A849" s="133" t="s">
        <v>26536</v>
      </c>
      <c r="B849" s="132">
        <v>1</v>
      </c>
    </row>
    <row r="850" spans="1:2" x14ac:dyDescent="0.25">
      <c r="A850" s="133" t="s">
        <v>26537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26538</v>
      </c>
      <c r="B852" s="132">
        <v>1</v>
      </c>
    </row>
    <row r="853" spans="1:2" x14ac:dyDescent="0.25">
      <c r="A853" s="133" t="s">
        <v>26539</v>
      </c>
      <c r="B853" s="132">
        <v>1</v>
      </c>
    </row>
    <row r="854" spans="1:2" x14ac:dyDescent="0.25">
      <c r="A854" s="133" t="s">
        <v>26540</v>
      </c>
      <c r="B854" s="132">
        <v>1</v>
      </c>
    </row>
    <row r="855" spans="1:2" x14ac:dyDescent="0.25">
      <c r="A855" s="133" t="s">
        <v>26541</v>
      </c>
      <c r="B855" s="132">
        <v>1</v>
      </c>
    </row>
    <row r="856" spans="1:2" x14ac:dyDescent="0.25">
      <c r="A856" s="133" t="s">
        <v>26542</v>
      </c>
      <c r="B856" s="132">
        <v>1</v>
      </c>
    </row>
    <row r="857" spans="1:2" x14ac:dyDescent="0.25">
      <c r="A857" s="133" t="s">
        <v>26543</v>
      </c>
      <c r="B857" s="132">
        <v>1</v>
      </c>
    </row>
    <row r="858" spans="1:2" x14ac:dyDescent="0.25">
      <c r="A858" s="133" t="s">
        <v>26544</v>
      </c>
      <c r="B858" s="132">
        <v>1</v>
      </c>
    </row>
    <row r="859" spans="1:2" x14ac:dyDescent="0.25">
      <c r="A859" s="133" t="s">
        <v>26545</v>
      </c>
      <c r="B859" s="132">
        <v>1</v>
      </c>
    </row>
    <row r="860" spans="1:2" x14ac:dyDescent="0.25">
      <c r="A860" s="133" t="s">
        <v>26546</v>
      </c>
      <c r="B860" s="132">
        <v>1</v>
      </c>
    </row>
    <row r="861" spans="1:2" x14ac:dyDescent="0.25">
      <c r="A861" s="133" t="s">
        <v>26547</v>
      </c>
      <c r="B861" s="132">
        <v>1</v>
      </c>
    </row>
    <row r="862" spans="1:2" x14ac:dyDescent="0.25">
      <c r="A862" s="133" t="s">
        <v>26548</v>
      </c>
      <c r="B862" s="132">
        <v>1</v>
      </c>
    </row>
    <row r="863" spans="1:2" x14ac:dyDescent="0.25">
      <c r="A863" s="133" t="s">
        <v>26549</v>
      </c>
      <c r="B863" s="132">
        <v>1</v>
      </c>
    </row>
    <row r="864" spans="1:2" x14ac:dyDescent="0.25">
      <c r="A864" s="133" t="s">
        <v>26550</v>
      </c>
      <c r="B864" s="132">
        <v>1</v>
      </c>
    </row>
    <row r="865" spans="1:2" x14ac:dyDescent="0.25">
      <c r="A865" s="133" t="s">
        <v>26551</v>
      </c>
      <c r="B865" s="132">
        <v>1</v>
      </c>
    </row>
    <row r="866" spans="1:2" x14ac:dyDescent="0.25">
      <c r="A866" s="133" t="s">
        <v>26552</v>
      </c>
      <c r="B866" s="132">
        <v>1</v>
      </c>
    </row>
    <row r="867" spans="1:2" x14ac:dyDescent="0.25">
      <c r="A867" s="133" t="s">
        <v>26553</v>
      </c>
      <c r="B867" s="132">
        <v>1</v>
      </c>
    </row>
    <row r="868" spans="1:2" x14ac:dyDescent="0.25">
      <c r="A868" s="133" t="s">
        <v>26554</v>
      </c>
      <c r="B868" s="132">
        <v>1</v>
      </c>
    </row>
    <row r="869" spans="1:2" x14ac:dyDescent="0.25">
      <c r="A869" s="133" t="s">
        <v>26555</v>
      </c>
      <c r="B869" s="132">
        <v>1</v>
      </c>
    </row>
    <row r="870" spans="1:2" x14ac:dyDescent="0.25">
      <c r="A870" s="133" t="s">
        <v>26556</v>
      </c>
      <c r="B870" s="132">
        <v>1</v>
      </c>
    </row>
    <row r="871" spans="1:2" x14ac:dyDescent="0.25">
      <c r="A871" s="133" t="s">
        <v>26557</v>
      </c>
      <c r="B871" s="132">
        <v>1</v>
      </c>
    </row>
    <row r="872" spans="1:2" x14ac:dyDescent="0.25">
      <c r="A872" s="133" t="s">
        <v>26558</v>
      </c>
      <c r="B872" s="132">
        <v>1</v>
      </c>
    </row>
    <row r="873" spans="1:2" x14ac:dyDescent="0.25">
      <c r="A873" s="133" t="s">
        <v>26559</v>
      </c>
      <c r="B873" s="132">
        <v>1</v>
      </c>
    </row>
    <row r="874" spans="1:2" x14ac:dyDescent="0.25">
      <c r="A874" s="133" t="s">
        <v>26560</v>
      </c>
      <c r="B874" s="132">
        <v>1</v>
      </c>
    </row>
    <row r="875" spans="1:2" x14ac:dyDescent="0.25">
      <c r="A875" s="133" t="s">
        <v>26561</v>
      </c>
      <c r="B875" s="132">
        <v>1</v>
      </c>
    </row>
    <row r="876" spans="1:2" x14ac:dyDescent="0.25">
      <c r="A876" s="133" t="s">
        <v>26562</v>
      </c>
      <c r="B876" s="132">
        <v>1</v>
      </c>
    </row>
    <row r="877" spans="1:2" x14ac:dyDescent="0.25">
      <c r="A877" s="133" t="s">
        <v>26563</v>
      </c>
      <c r="B877" s="132">
        <v>1</v>
      </c>
    </row>
    <row r="878" spans="1:2" x14ac:dyDescent="0.25">
      <c r="A878" s="133" t="s">
        <v>26564</v>
      </c>
      <c r="B878" s="132">
        <v>1</v>
      </c>
    </row>
    <row r="879" spans="1:2" x14ac:dyDescent="0.25">
      <c r="A879" s="133" t="s">
        <v>26565</v>
      </c>
      <c r="B879" s="132">
        <v>1</v>
      </c>
    </row>
    <row r="880" spans="1:2" x14ac:dyDescent="0.25">
      <c r="A880" s="133" t="s">
        <v>26566</v>
      </c>
      <c r="B880" s="132">
        <v>1</v>
      </c>
    </row>
    <row r="881" spans="1:2" x14ac:dyDescent="0.25">
      <c r="A881" s="133" t="s">
        <v>26567</v>
      </c>
      <c r="B881" s="132">
        <v>1</v>
      </c>
    </row>
    <row r="882" spans="1:2" x14ac:dyDescent="0.25">
      <c r="A882" s="133" t="s">
        <v>26568</v>
      </c>
      <c r="B882" s="132">
        <v>1</v>
      </c>
    </row>
    <row r="883" spans="1:2" x14ac:dyDescent="0.25">
      <c r="A883" s="133" t="s">
        <v>26569</v>
      </c>
      <c r="B883" s="132">
        <v>1</v>
      </c>
    </row>
    <row r="884" spans="1:2" x14ac:dyDescent="0.25">
      <c r="A884" s="133" t="s">
        <v>26570</v>
      </c>
      <c r="B884" s="132">
        <v>1</v>
      </c>
    </row>
    <row r="885" spans="1:2" x14ac:dyDescent="0.25">
      <c r="A885" s="133" t="s">
        <v>26571</v>
      </c>
      <c r="B885" s="132">
        <v>1</v>
      </c>
    </row>
    <row r="886" spans="1:2" x14ac:dyDescent="0.25">
      <c r="A886" s="133" t="s">
        <v>26572</v>
      </c>
      <c r="B886" s="132">
        <v>1</v>
      </c>
    </row>
    <row r="887" spans="1:2" x14ac:dyDescent="0.25">
      <c r="A887" s="133" t="s">
        <v>26573</v>
      </c>
      <c r="B887" s="132">
        <v>1</v>
      </c>
    </row>
    <row r="888" spans="1:2" x14ac:dyDescent="0.25">
      <c r="A888" s="133" t="s">
        <v>26574</v>
      </c>
      <c r="B888" s="132">
        <v>1</v>
      </c>
    </row>
    <row r="889" spans="1:2" x14ac:dyDescent="0.25">
      <c r="A889" s="133" t="s">
        <v>26575</v>
      </c>
      <c r="B889" s="132">
        <v>1</v>
      </c>
    </row>
    <row r="890" spans="1:2" x14ac:dyDescent="0.25">
      <c r="A890" s="133" t="s">
        <v>26576</v>
      </c>
      <c r="B890" s="132">
        <v>1</v>
      </c>
    </row>
    <row r="891" spans="1:2" x14ac:dyDescent="0.25">
      <c r="A891" s="133" t="s">
        <v>26577</v>
      </c>
      <c r="B891" s="132">
        <v>1</v>
      </c>
    </row>
    <row r="892" spans="1:2" x14ac:dyDescent="0.25">
      <c r="A892" s="133" t="s">
        <v>26578</v>
      </c>
      <c r="B892" s="132">
        <v>1</v>
      </c>
    </row>
    <row r="893" spans="1:2" x14ac:dyDescent="0.25">
      <c r="A893" s="133" t="s">
        <v>26579</v>
      </c>
      <c r="B893" s="132">
        <v>1</v>
      </c>
    </row>
    <row r="894" spans="1:2" x14ac:dyDescent="0.25">
      <c r="A894" s="133" t="s">
        <v>26580</v>
      </c>
      <c r="B894" s="132">
        <v>1</v>
      </c>
    </row>
    <row r="895" spans="1:2" x14ac:dyDescent="0.25">
      <c r="A895" s="133" t="s">
        <v>26581</v>
      </c>
      <c r="B895" s="132">
        <v>1</v>
      </c>
    </row>
    <row r="896" spans="1:2" x14ac:dyDescent="0.25">
      <c r="A896" s="133" t="s">
        <v>26582</v>
      </c>
      <c r="B896" s="132">
        <v>1</v>
      </c>
    </row>
    <row r="897" spans="1:2" x14ac:dyDescent="0.25">
      <c r="A897" s="133" t="s">
        <v>26583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26584</v>
      </c>
      <c r="B899" s="132">
        <v>1</v>
      </c>
    </row>
    <row r="900" spans="1:2" x14ac:dyDescent="0.25">
      <c r="A900" s="133" t="s">
        <v>26585</v>
      </c>
      <c r="B900" s="132">
        <v>1</v>
      </c>
    </row>
    <row r="901" spans="1:2" x14ac:dyDescent="0.25">
      <c r="A901" s="133" t="s">
        <v>26586</v>
      </c>
      <c r="B901" s="132">
        <v>1</v>
      </c>
    </row>
    <row r="902" spans="1:2" x14ac:dyDescent="0.25">
      <c r="A902" s="133" t="s">
        <v>26587</v>
      </c>
      <c r="B902" s="132">
        <v>1</v>
      </c>
    </row>
    <row r="903" spans="1:2" x14ac:dyDescent="0.25">
      <c r="A903" s="133" t="s">
        <v>26588</v>
      </c>
      <c r="B903" s="132">
        <v>1</v>
      </c>
    </row>
    <row r="904" spans="1:2" x14ac:dyDescent="0.25">
      <c r="A904" s="133" t="s">
        <v>26589</v>
      </c>
      <c r="B904" s="132">
        <v>1</v>
      </c>
    </row>
    <row r="905" spans="1:2" x14ac:dyDescent="0.25">
      <c r="A905" s="133" t="s">
        <v>26590</v>
      </c>
      <c r="B905" s="132">
        <v>1</v>
      </c>
    </row>
    <row r="906" spans="1:2" x14ac:dyDescent="0.25">
      <c r="A906" s="133" t="s">
        <v>26591</v>
      </c>
      <c r="B906" s="132">
        <v>1</v>
      </c>
    </row>
    <row r="907" spans="1:2" x14ac:dyDescent="0.25">
      <c r="A907" s="133" t="s">
        <v>26592</v>
      </c>
      <c r="B907" s="132">
        <v>1</v>
      </c>
    </row>
    <row r="908" spans="1:2" x14ac:dyDescent="0.25">
      <c r="A908" s="133" t="s">
        <v>26593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26594</v>
      </c>
      <c r="B910" s="132">
        <v>1</v>
      </c>
    </row>
    <row r="911" spans="1:2" x14ac:dyDescent="0.25">
      <c r="A911" s="133" t="s">
        <v>26595</v>
      </c>
      <c r="B911" s="132">
        <v>1</v>
      </c>
    </row>
    <row r="912" spans="1:2" x14ac:dyDescent="0.25">
      <c r="A912" s="133" t="s">
        <v>26596</v>
      </c>
      <c r="B912" s="132">
        <v>1</v>
      </c>
    </row>
    <row r="913" spans="1:2" x14ac:dyDescent="0.25">
      <c r="A913" s="133" t="s">
        <v>26597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3"/>
  <sheetViews>
    <sheetView showGridLines="0" workbookViewId="0">
      <selection activeCell="D23" sqref="D23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25690</v>
      </c>
      <c r="B1" s="34" t="s">
        <v>26598</v>
      </c>
    </row>
    <row r="2" spans="1:2" ht="15" customHeight="1" x14ac:dyDescent="0.25">
      <c r="A2" s="34" t="s">
        <v>25698</v>
      </c>
      <c r="B2" s="34" t="s">
        <v>26598</v>
      </c>
    </row>
    <row r="3" spans="1:2" ht="15" customHeight="1" x14ac:dyDescent="0.25">
      <c r="A3" s="34" t="s">
        <v>26599</v>
      </c>
      <c r="B3" s="34" t="s">
        <v>26598</v>
      </c>
    </row>
    <row r="4" spans="1:2" ht="15" customHeight="1" x14ac:dyDescent="0.25">
      <c r="A4" s="34" t="s">
        <v>90</v>
      </c>
      <c r="B4" s="34" t="s">
        <v>26600</v>
      </c>
    </row>
    <row r="5" spans="1:2" ht="15" customHeight="1" x14ac:dyDescent="0.25">
      <c r="A5" s="34" t="s">
        <v>25697</v>
      </c>
      <c r="B5" s="34" t="s">
        <v>26598</v>
      </c>
    </row>
    <row r="6" spans="1:2" x14ac:dyDescent="0.25">
      <c r="A6" s="34" t="s">
        <v>25694</v>
      </c>
      <c r="B6" s="34" t="s">
        <v>26601</v>
      </c>
    </row>
    <row r="7" spans="1:2" x14ac:dyDescent="0.25">
      <c r="A7" s="34" t="s">
        <v>25696</v>
      </c>
      <c r="B7" s="34" t="s">
        <v>26601</v>
      </c>
    </row>
    <row r="8" spans="1:2" x14ac:dyDescent="0.25">
      <c r="A8" s="34" t="s">
        <v>25647</v>
      </c>
      <c r="B8" s="34" t="s">
        <v>26601</v>
      </c>
    </row>
    <row r="9" spans="1:2" x14ac:dyDescent="0.25">
      <c r="A9" s="34" t="s">
        <v>25649</v>
      </c>
      <c r="B9" s="34" t="s">
        <v>26601</v>
      </c>
    </row>
    <row r="10" spans="1:2" x14ac:dyDescent="0.25">
      <c r="A10" s="34" t="s">
        <v>25691</v>
      </c>
      <c r="B10" s="34" t="s">
        <v>26602</v>
      </c>
    </row>
    <row r="11" spans="1:2" x14ac:dyDescent="0.25">
      <c r="A11" s="34" t="s">
        <v>93</v>
      </c>
      <c r="B11" s="34" t="s">
        <v>26603</v>
      </c>
    </row>
    <row r="12" spans="1:2" x14ac:dyDescent="0.25">
      <c r="A12" s="34" t="s">
        <v>25699</v>
      </c>
      <c r="B12" s="34" t="s">
        <v>26604</v>
      </c>
    </row>
    <row r="13" spans="1:2" x14ac:dyDescent="0.25">
      <c r="A13" s="34" t="s">
        <v>25700</v>
      </c>
      <c r="B13" s="34" t="s">
        <v>26605</v>
      </c>
    </row>
    <row r="14" spans="1:2" x14ac:dyDescent="0.25">
      <c r="A14" s="34" t="s">
        <v>25701</v>
      </c>
      <c r="B14" s="34" t="s">
        <v>26606</v>
      </c>
    </row>
    <row r="15" spans="1:2" ht="15" customHeight="1" x14ac:dyDescent="0.25">
      <c r="A15" s="34" t="s">
        <v>26607</v>
      </c>
      <c r="B15" s="34" t="s">
        <v>26598</v>
      </c>
    </row>
    <row r="16" spans="1:2" ht="15" customHeight="1" x14ac:dyDescent="0.25">
      <c r="A16" s="34" t="s">
        <v>25702</v>
      </c>
      <c r="B16" s="34" t="s">
        <v>26608</v>
      </c>
    </row>
    <row r="17" spans="1:2" ht="15" customHeight="1" x14ac:dyDescent="0.25">
      <c r="A17" s="34" t="s">
        <v>25703</v>
      </c>
      <c r="B17" s="34" t="s">
        <v>26609</v>
      </c>
    </row>
    <row r="18" spans="1:2" ht="15" customHeight="1" x14ac:dyDescent="0.25">
      <c r="A18" s="34" t="s">
        <v>25704</v>
      </c>
      <c r="B18" s="34" t="s">
        <v>26610</v>
      </c>
    </row>
    <row r="19" spans="1:2" x14ac:dyDescent="0.25">
      <c r="A19" s="34" t="s">
        <v>25705</v>
      </c>
      <c r="B19" s="34" t="s">
        <v>26611</v>
      </c>
    </row>
    <row r="20" spans="1:2" x14ac:dyDescent="0.25">
      <c r="A20" s="34" t="s">
        <v>25706</v>
      </c>
      <c r="B20" s="34" t="s">
        <v>26612</v>
      </c>
    </row>
    <row r="21" spans="1:2" x14ac:dyDescent="0.25">
      <c r="A21" s="34" t="s">
        <v>25707</v>
      </c>
      <c r="B21" s="34" t="s">
        <v>26613</v>
      </c>
    </row>
    <row r="22" spans="1:2" x14ac:dyDescent="0.25">
      <c r="A22" s="34" t="s">
        <v>28540</v>
      </c>
      <c r="B22" s="34" t="s">
        <v>28584</v>
      </c>
    </row>
    <row r="23" spans="1:2" x14ac:dyDescent="0.25">
      <c r="A23" s="34" t="s">
        <v>28409</v>
      </c>
      <c r="B23" s="34" t="s">
        <v>28434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26614</v>
      </c>
      <c r="B1" s="125" t="s">
        <v>25547</v>
      </c>
      <c r="C1" s="125">
        <v>1</v>
      </c>
    </row>
    <row r="2" spans="1:4" x14ac:dyDescent="0.25">
      <c r="A2" s="125" t="s">
        <v>26615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26616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26617</v>
      </c>
      <c r="B6" s="125" t="s">
        <v>25553</v>
      </c>
      <c r="C6" s="125">
        <v>1</v>
      </c>
    </row>
    <row r="7" spans="1:4" x14ac:dyDescent="0.25">
      <c r="A7" s="125" t="s">
        <v>26618</v>
      </c>
      <c r="B7" s="125" t="s">
        <v>25554</v>
      </c>
      <c r="C7" s="125">
        <v>1</v>
      </c>
    </row>
    <row r="8" spans="1:4" x14ac:dyDescent="0.25">
      <c r="A8" s="125" t="s">
        <v>26619</v>
      </c>
      <c r="B8" s="125" t="s">
        <v>26620</v>
      </c>
      <c r="C8" s="125">
        <v>1</v>
      </c>
    </row>
    <row r="9" spans="1:4" x14ac:dyDescent="0.25">
      <c r="A9" s="125" t="s">
        <v>31</v>
      </c>
      <c r="B9" s="125" t="s">
        <v>26621</v>
      </c>
      <c r="C9" s="125">
        <v>1</v>
      </c>
    </row>
    <row r="10" spans="1:4" x14ac:dyDescent="0.25">
      <c r="A10" s="126" t="s">
        <v>26813</v>
      </c>
      <c r="B10" s="126" t="s">
        <v>25561</v>
      </c>
      <c r="C10" s="126">
        <v>1</v>
      </c>
      <c r="D10" s="68"/>
    </row>
    <row r="11" spans="1:4" x14ac:dyDescent="0.25">
      <c r="A11" s="125" t="s">
        <v>26622</v>
      </c>
      <c r="B11" s="125" t="s">
        <v>26623</v>
      </c>
      <c r="C11" s="125">
        <v>1</v>
      </c>
    </row>
    <row r="12" spans="1:4" x14ac:dyDescent="0.25">
      <c r="A12" s="125" t="s">
        <v>26624</v>
      </c>
      <c r="B12" s="125" t="s">
        <v>25562</v>
      </c>
      <c r="C12" s="125">
        <v>1</v>
      </c>
    </row>
    <row r="13" spans="1:4" x14ac:dyDescent="0.25">
      <c r="A13" s="125" t="s">
        <v>26625</v>
      </c>
      <c r="B13" s="125" t="s">
        <v>26625</v>
      </c>
      <c r="C13" s="125">
        <v>1</v>
      </c>
    </row>
    <row r="14" spans="1:4" x14ac:dyDescent="0.25">
      <c r="A14" s="125" t="s">
        <v>26626</v>
      </c>
      <c r="B14" s="125" t="s">
        <v>26627</v>
      </c>
      <c r="C14" s="125">
        <v>1</v>
      </c>
    </row>
    <row r="15" spans="1:4" x14ac:dyDescent="0.25">
      <c r="A15" s="125" t="s">
        <v>26628</v>
      </c>
      <c r="B15" s="125" t="s">
        <v>26628</v>
      </c>
      <c r="C15" s="125">
        <v>1</v>
      </c>
    </row>
    <row r="16" spans="1:4" x14ac:dyDescent="0.25">
      <c r="A16" s="125" t="s">
        <v>26629</v>
      </c>
      <c r="B16" s="125" t="s">
        <v>26630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26631</v>
      </c>
      <c r="B19" s="125" t="s">
        <v>26632</v>
      </c>
      <c r="C19" s="125">
        <v>1</v>
      </c>
    </row>
    <row r="20" spans="1:3" x14ac:dyDescent="0.25">
      <c r="A20" s="125" t="s">
        <v>26633</v>
      </c>
      <c r="B20" s="125" t="s">
        <v>25568</v>
      </c>
      <c r="C20" s="125">
        <v>1</v>
      </c>
    </row>
    <row r="21" spans="1:3" x14ac:dyDescent="0.25">
      <c r="A21" s="125" t="s">
        <v>26634</v>
      </c>
      <c r="B21" s="125" t="s">
        <v>25569</v>
      </c>
      <c r="C21" s="125">
        <v>1</v>
      </c>
    </row>
    <row r="22" spans="1:3" x14ac:dyDescent="0.25">
      <c r="A22" s="125" t="s">
        <v>26635</v>
      </c>
      <c r="B22" s="125" t="s">
        <v>26636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26637</v>
      </c>
      <c r="B24" s="125" t="s">
        <v>26638</v>
      </c>
      <c r="C24" s="125">
        <v>1</v>
      </c>
    </row>
    <row r="25" spans="1:3" x14ac:dyDescent="0.25">
      <c r="A25" s="125" t="s">
        <v>26639</v>
      </c>
      <c r="B25" s="125" t="s">
        <v>26640</v>
      </c>
      <c r="C25" s="125">
        <v>1</v>
      </c>
    </row>
    <row r="26" spans="1:3" x14ac:dyDescent="0.25">
      <c r="A26" s="125" t="s">
        <v>26641</v>
      </c>
      <c r="B26" s="125" t="s">
        <v>25573</v>
      </c>
      <c r="C26" s="125">
        <v>1</v>
      </c>
    </row>
    <row r="27" spans="1:3" x14ac:dyDescent="0.25">
      <c r="A27" s="125" t="s">
        <v>26642</v>
      </c>
      <c r="B27" s="125" t="s">
        <v>26643</v>
      </c>
      <c r="C27" s="125">
        <v>1</v>
      </c>
    </row>
    <row r="28" spans="1:3" x14ac:dyDescent="0.25">
      <c r="A28" s="125" t="s">
        <v>26644</v>
      </c>
      <c r="B28" s="125" t="s">
        <v>25575</v>
      </c>
      <c r="C28" s="125">
        <v>1</v>
      </c>
    </row>
    <row r="29" spans="1:3" x14ac:dyDescent="0.25">
      <c r="A29" s="125" t="s">
        <v>26645</v>
      </c>
      <c r="B29" s="125" t="s">
        <v>26646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26647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26648</v>
      </c>
      <c r="C32" s="125">
        <v>1</v>
      </c>
    </row>
    <row r="33" spans="1:3" x14ac:dyDescent="0.25">
      <c r="A33" s="125" t="s">
        <v>26649</v>
      </c>
      <c r="B33" s="125" t="s">
        <v>26650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26651</v>
      </c>
      <c r="B2" s="125">
        <v>1</v>
      </c>
    </row>
    <row r="3" spans="1:2" x14ac:dyDescent="0.25">
      <c r="A3" s="125" t="s">
        <v>26652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26653</v>
      </c>
      <c r="B1" s="128">
        <v>1</v>
      </c>
    </row>
    <row r="2" spans="1:2" x14ac:dyDescent="0.25">
      <c r="A2" s="127" t="s">
        <v>26654</v>
      </c>
      <c r="B2" s="128">
        <v>1</v>
      </c>
    </row>
    <row r="3" spans="1:2" x14ac:dyDescent="0.25">
      <c r="A3" s="127" t="s">
        <v>26655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26656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26657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26658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26659</v>
      </c>
      <c r="B11" s="128">
        <v>1</v>
      </c>
    </row>
    <row r="12" spans="1:2" x14ac:dyDescent="0.25">
      <c r="A12" s="127" t="s">
        <v>26660</v>
      </c>
      <c r="B12" s="128">
        <v>1</v>
      </c>
    </row>
    <row r="13" spans="1:2" x14ac:dyDescent="0.25">
      <c r="A13" s="127" t="s">
        <v>26661</v>
      </c>
      <c r="B13" s="128">
        <v>1</v>
      </c>
    </row>
    <row r="14" spans="1:2" x14ac:dyDescent="0.25">
      <c r="A14" s="127" t="s">
        <v>26662</v>
      </c>
      <c r="B14" s="128">
        <v>1</v>
      </c>
    </row>
    <row r="15" spans="1:2" x14ac:dyDescent="0.25">
      <c r="A15" s="127" t="s">
        <v>26663</v>
      </c>
      <c r="B15" s="128">
        <v>1</v>
      </c>
    </row>
    <row r="16" spans="1:2" x14ac:dyDescent="0.25">
      <c r="A16" s="127" t="s">
        <v>26664</v>
      </c>
      <c r="B16" s="128">
        <v>1</v>
      </c>
    </row>
    <row r="17" spans="1:2" x14ac:dyDescent="0.25">
      <c r="A17" s="127" t="s">
        <v>26665</v>
      </c>
      <c r="B17" s="128">
        <v>1</v>
      </c>
    </row>
    <row r="18" spans="1:2" x14ac:dyDescent="0.25">
      <c r="A18" s="127" t="s">
        <v>26666</v>
      </c>
      <c r="B18" s="128">
        <v>1</v>
      </c>
    </row>
    <row r="19" spans="1:2" x14ac:dyDescent="0.25">
      <c r="A19" s="127" t="s">
        <v>26667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26668</v>
      </c>
      <c r="B21" s="128">
        <v>1</v>
      </c>
    </row>
    <row r="22" spans="1:2" x14ac:dyDescent="0.25">
      <c r="A22" s="127" t="s">
        <v>26669</v>
      </c>
      <c r="B22" s="128">
        <v>1</v>
      </c>
    </row>
    <row r="23" spans="1:2" x14ac:dyDescent="0.25">
      <c r="A23" s="127" t="s">
        <v>26670</v>
      </c>
      <c r="B23" s="128">
        <v>1</v>
      </c>
    </row>
    <row r="24" spans="1:2" x14ac:dyDescent="0.25">
      <c r="A24" s="127" t="s">
        <v>26671</v>
      </c>
      <c r="B24" s="128">
        <v>1</v>
      </c>
    </row>
    <row r="25" spans="1:2" x14ac:dyDescent="0.25">
      <c r="A25" s="127" t="s">
        <v>26672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P7" sqref="P7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28415</v>
      </c>
      <c r="P1" s="79" t="s">
        <v>28416</v>
      </c>
      <c r="Q1" s="79" t="s">
        <v>2</v>
      </c>
      <c r="R1" s="145" t="s">
        <v>28433</v>
      </c>
      <c r="S1" s="105" t="s">
        <v>249</v>
      </c>
      <c r="T1" s="114" t="s">
        <v>3</v>
      </c>
      <c r="U1" s="106" t="s">
        <v>245</v>
      </c>
      <c r="V1" s="86" t="s">
        <v>26812</v>
      </c>
      <c r="W1" s="86" t="s">
        <v>26799</v>
      </c>
      <c r="X1" s="86" t="s">
        <v>26800</v>
      </c>
      <c r="Y1" s="86" t="s">
        <v>26801</v>
      </c>
      <c r="Z1" s="86" t="s">
        <v>26802</v>
      </c>
      <c r="AA1" s="86" t="s">
        <v>26803</v>
      </c>
      <c r="AB1" s="86" t="s">
        <v>26804</v>
      </c>
      <c r="AC1" s="86" t="s">
        <v>26805</v>
      </c>
      <c r="AD1" s="86" t="s">
        <v>26806</v>
      </c>
      <c r="AE1" s="86" t="s">
        <v>26807</v>
      </c>
      <c r="AF1" s="86" t="s">
        <v>26808</v>
      </c>
      <c r="AG1" s="86" t="s">
        <v>26809</v>
      </c>
      <c r="AH1" s="86" t="s">
        <v>26810</v>
      </c>
      <c r="AI1" s="86" t="s">
        <v>26811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28435</v>
      </c>
      <c r="B2" s="80" t="s">
        <v>28521</v>
      </c>
      <c r="C2" s="80" t="s">
        <v>46</v>
      </c>
      <c r="D2" s="80" t="s">
        <v>28539</v>
      </c>
      <c r="E2" s="80" t="s">
        <v>28540</v>
      </c>
      <c r="F2" s="80" t="s">
        <v>91</v>
      </c>
      <c r="G2" s="80" t="s">
        <v>28540</v>
      </c>
      <c r="H2" s="80" t="s">
        <v>28541</v>
      </c>
      <c r="I2" s="80" t="s">
        <v>26</v>
      </c>
      <c r="J2" s="83" t="s">
        <v>28577</v>
      </c>
      <c r="K2" s="80" t="s">
        <v>25678</v>
      </c>
      <c r="L2" s="80" t="s">
        <v>25607</v>
      </c>
      <c r="M2" s="80" t="s">
        <v>28583</v>
      </c>
      <c r="N2" s="80">
        <v>772.22</v>
      </c>
      <c r="O2" s="80"/>
      <c r="P2" s="80"/>
      <c r="Q2" s="80"/>
      <c r="R2" s="146"/>
      <c r="S2" s="103" t="str">
        <f>A2&amp;"-"&amp;T2</f>
        <v>94-001-05-</v>
      </c>
      <c r="V2" s="81">
        <v>3</v>
      </c>
    </row>
    <row r="3" spans="1:45" ht="15" customHeight="1" x14ac:dyDescent="0.2">
      <c r="A3" s="81" t="s">
        <v>28436</v>
      </c>
      <c r="B3" s="81" t="s">
        <v>28521</v>
      </c>
      <c r="C3" s="81" t="s">
        <v>46</v>
      </c>
      <c r="D3" s="81" t="s">
        <v>28539</v>
      </c>
      <c r="E3" s="81" t="s">
        <v>28540</v>
      </c>
      <c r="F3" s="81" t="s">
        <v>91</v>
      </c>
      <c r="G3" s="81" t="s">
        <v>28540</v>
      </c>
      <c r="H3" s="81" t="s">
        <v>28542</v>
      </c>
      <c r="I3" s="81" t="s">
        <v>25472</v>
      </c>
      <c r="J3" s="84" t="s">
        <v>28577</v>
      </c>
      <c r="K3" s="81" t="s">
        <v>25678</v>
      </c>
      <c r="L3" s="81" t="s">
        <v>25607</v>
      </c>
      <c r="M3" s="81" t="s">
        <v>28583</v>
      </c>
      <c r="N3" s="81">
        <v>772.22</v>
      </c>
      <c r="Q3" s="80"/>
      <c r="R3" s="146"/>
      <c r="S3" s="103" t="str">
        <f t="shared" ref="S3:S66" si="0">A3&amp;"-"&amp;T3</f>
        <v>94-001-01-</v>
      </c>
      <c r="V3" s="81">
        <v>6</v>
      </c>
    </row>
    <row r="4" spans="1:45" ht="15" customHeight="1" x14ac:dyDescent="0.2">
      <c r="A4" s="81" t="s">
        <v>28437</v>
      </c>
      <c r="B4" s="81" t="s">
        <v>28522</v>
      </c>
      <c r="C4" s="81" t="s">
        <v>46</v>
      </c>
      <c r="D4" s="81" t="s">
        <v>28539</v>
      </c>
      <c r="E4" s="81" t="s">
        <v>28540</v>
      </c>
      <c r="F4" s="81" t="s">
        <v>91</v>
      </c>
      <c r="G4" s="81" t="s">
        <v>28540</v>
      </c>
      <c r="H4" s="81" t="s">
        <v>28541</v>
      </c>
      <c r="I4" s="81" t="s">
        <v>26</v>
      </c>
      <c r="J4" s="84" t="s">
        <v>26433</v>
      </c>
      <c r="K4" s="81" t="s">
        <v>25678</v>
      </c>
      <c r="L4" s="81" t="s">
        <v>25607</v>
      </c>
      <c r="M4" s="81" t="s">
        <v>28583</v>
      </c>
      <c r="N4" s="81">
        <v>716.67</v>
      </c>
      <c r="Q4" s="80"/>
      <c r="R4" s="146"/>
      <c r="S4" s="103" t="str">
        <f t="shared" si="0"/>
        <v>94-002-05-</v>
      </c>
      <c r="V4" s="81">
        <v>8</v>
      </c>
    </row>
    <row r="5" spans="1:45" ht="15" customHeight="1" x14ac:dyDescent="0.2">
      <c r="A5" s="81" t="s">
        <v>28438</v>
      </c>
      <c r="B5" s="81" t="s">
        <v>28522</v>
      </c>
      <c r="C5" s="81" t="s">
        <v>46</v>
      </c>
      <c r="D5" s="81" t="s">
        <v>28539</v>
      </c>
      <c r="E5" s="81" t="s">
        <v>28540</v>
      </c>
      <c r="F5" s="81" t="s">
        <v>91</v>
      </c>
      <c r="G5" s="81" t="s">
        <v>28540</v>
      </c>
      <c r="H5" s="81" t="s">
        <v>28543</v>
      </c>
      <c r="I5" s="81" t="s">
        <v>23</v>
      </c>
      <c r="J5" s="84" t="s">
        <v>26433</v>
      </c>
      <c r="K5" s="81" t="s">
        <v>25678</v>
      </c>
      <c r="L5" s="81" t="s">
        <v>25607</v>
      </c>
      <c r="M5" s="81" t="s">
        <v>28583</v>
      </c>
      <c r="N5" s="81">
        <v>716.67</v>
      </c>
      <c r="Q5" s="80"/>
      <c r="R5" s="146"/>
      <c r="S5" s="103" t="str">
        <f t="shared" si="0"/>
        <v>94-002-16-</v>
      </c>
      <c r="V5" s="81">
        <v>4</v>
      </c>
    </row>
    <row r="6" spans="1:45" ht="15" customHeight="1" x14ac:dyDescent="0.2">
      <c r="A6" s="81" t="s">
        <v>28439</v>
      </c>
      <c r="B6" s="81" t="s">
        <v>28522</v>
      </c>
      <c r="C6" s="81" t="s">
        <v>46</v>
      </c>
      <c r="D6" s="81" t="s">
        <v>28539</v>
      </c>
      <c r="E6" s="81" t="s">
        <v>28540</v>
      </c>
      <c r="F6" s="81" t="s">
        <v>91</v>
      </c>
      <c r="G6" s="81" t="s">
        <v>28540</v>
      </c>
      <c r="H6" s="81" t="s">
        <v>28431</v>
      </c>
      <c r="I6" s="81" t="s">
        <v>141</v>
      </c>
      <c r="J6" s="84" t="s">
        <v>26433</v>
      </c>
      <c r="K6" s="81" t="s">
        <v>25678</v>
      </c>
      <c r="L6" s="81" t="s">
        <v>25607</v>
      </c>
      <c r="M6" s="81" t="s">
        <v>28583</v>
      </c>
      <c r="N6" s="81">
        <v>716.67</v>
      </c>
      <c r="Q6" s="80"/>
      <c r="R6" s="146"/>
      <c r="S6" s="103" t="str">
        <f t="shared" si="0"/>
        <v>94-002-18-</v>
      </c>
      <c r="V6" s="81">
        <v>4</v>
      </c>
    </row>
    <row r="7" spans="1:45" ht="15" customHeight="1" x14ac:dyDescent="0.2">
      <c r="A7" s="81" t="s">
        <v>28440</v>
      </c>
      <c r="B7" s="81" t="s">
        <v>28522</v>
      </c>
      <c r="C7" s="81" t="s">
        <v>46</v>
      </c>
      <c r="D7" s="81" t="s">
        <v>28539</v>
      </c>
      <c r="E7" s="81" t="s">
        <v>28540</v>
      </c>
      <c r="F7" s="81" t="s">
        <v>91</v>
      </c>
      <c r="G7" s="81" t="s">
        <v>28540</v>
      </c>
      <c r="H7" s="81" t="s">
        <v>28544</v>
      </c>
      <c r="I7" s="81" t="s">
        <v>27</v>
      </c>
      <c r="J7" s="84" t="s">
        <v>26433</v>
      </c>
      <c r="K7" s="81" t="s">
        <v>25678</v>
      </c>
      <c r="L7" s="81" t="s">
        <v>25607</v>
      </c>
      <c r="M7" s="81" t="s">
        <v>28583</v>
      </c>
      <c r="N7" s="81">
        <v>716.67</v>
      </c>
      <c r="Q7" s="80"/>
      <c r="R7" s="146"/>
      <c r="S7" s="103" t="str">
        <f t="shared" si="0"/>
        <v>94-002-06-</v>
      </c>
      <c r="V7" s="81">
        <v>3</v>
      </c>
    </row>
    <row r="8" spans="1:45" ht="15" customHeight="1" x14ac:dyDescent="0.2">
      <c r="A8" s="81" t="s">
        <v>28441</v>
      </c>
      <c r="B8" s="81" t="s">
        <v>28522</v>
      </c>
      <c r="C8" s="81" t="s">
        <v>46</v>
      </c>
      <c r="D8" s="81" t="s">
        <v>28539</v>
      </c>
      <c r="E8" s="81" t="s">
        <v>28540</v>
      </c>
      <c r="F8" s="81" t="s">
        <v>91</v>
      </c>
      <c r="G8" s="81" t="s">
        <v>28540</v>
      </c>
      <c r="H8" s="81" t="s">
        <v>28545</v>
      </c>
      <c r="I8" s="81" t="s">
        <v>100</v>
      </c>
      <c r="J8" s="84" t="s">
        <v>213</v>
      </c>
      <c r="K8" s="81" t="s">
        <v>25678</v>
      </c>
      <c r="L8" s="81" t="s">
        <v>25607</v>
      </c>
      <c r="M8" s="81" t="s">
        <v>28583</v>
      </c>
      <c r="N8" s="81">
        <v>716.67</v>
      </c>
      <c r="Q8" s="80"/>
      <c r="R8" s="146"/>
      <c r="S8" s="103" t="str">
        <f t="shared" si="0"/>
        <v>94-002-17-</v>
      </c>
      <c r="V8" s="81">
        <v>3</v>
      </c>
    </row>
    <row r="9" spans="1:45" ht="15" customHeight="1" x14ac:dyDescent="0.2">
      <c r="A9" s="81" t="s">
        <v>28442</v>
      </c>
      <c r="B9" s="81" t="s">
        <v>28523</v>
      </c>
      <c r="C9" s="81" t="s">
        <v>46</v>
      </c>
      <c r="D9" s="81" t="s">
        <v>28539</v>
      </c>
      <c r="E9" s="81" t="s">
        <v>28540</v>
      </c>
      <c r="F9" s="81" t="s">
        <v>91</v>
      </c>
      <c r="G9" s="81" t="s">
        <v>28540</v>
      </c>
      <c r="H9" s="81" t="s">
        <v>28546</v>
      </c>
      <c r="I9" s="81" t="s">
        <v>1</v>
      </c>
      <c r="J9" s="84" t="s">
        <v>26132</v>
      </c>
      <c r="K9" s="81" t="s">
        <v>25678</v>
      </c>
      <c r="L9" s="81" t="s">
        <v>25607</v>
      </c>
      <c r="M9" s="81" t="s">
        <v>28583</v>
      </c>
      <c r="N9" s="81">
        <v>605.55999999999995</v>
      </c>
      <c r="Q9" s="80"/>
      <c r="R9" s="146"/>
      <c r="S9" s="103" t="str">
        <f t="shared" si="0"/>
        <v>94-003-09-</v>
      </c>
      <c r="V9" s="81">
        <v>4</v>
      </c>
    </row>
    <row r="10" spans="1:45" ht="15" customHeight="1" x14ac:dyDescent="0.2">
      <c r="A10" s="81" t="s">
        <v>28443</v>
      </c>
      <c r="B10" s="81" t="s">
        <v>28523</v>
      </c>
      <c r="C10" s="81" t="s">
        <v>46</v>
      </c>
      <c r="D10" s="81" t="s">
        <v>28539</v>
      </c>
      <c r="E10" s="81" t="s">
        <v>28540</v>
      </c>
      <c r="F10" s="81" t="s">
        <v>91</v>
      </c>
      <c r="G10" s="81" t="s">
        <v>28540</v>
      </c>
      <c r="H10" s="81" t="s">
        <v>28543</v>
      </c>
      <c r="I10" s="81" t="s">
        <v>23</v>
      </c>
      <c r="J10" s="84" t="s">
        <v>26132</v>
      </c>
      <c r="K10" s="81" t="s">
        <v>25678</v>
      </c>
      <c r="L10" s="81" t="s">
        <v>25607</v>
      </c>
      <c r="M10" s="81" t="s">
        <v>28583</v>
      </c>
      <c r="N10" s="81">
        <v>605.55999999999995</v>
      </c>
      <c r="Q10" s="80"/>
      <c r="R10" s="146"/>
      <c r="S10" s="103" t="str">
        <f t="shared" si="0"/>
        <v>94-003-16-</v>
      </c>
      <c r="V10" s="81">
        <v>3</v>
      </c>
    </row>
    <row r="11" spans="1:45" ht="15" customHeight="1" x14ac:dyDescent="0.2">
      <c r="A11" s="81" t="s">
        <v>28444</v>
      </c>
      <c r="B11" s="81" t="s">
        <v>28523</v>
      </c>
      <c r="C11" s="81" t="s">
        <v>46</v>
      </c>
      <c r="D11" s="81" t="s">
        <v>28539</v>
      </c>
      <c r="E11" s="81" t="s">
        <v>28540</v>
      </c>
      <c r="F11" s="81" t="s">
        <v>91</v>
      </c>
      <c r="G11" s="81" t="s">
        <v>28540</v>
      </c>
      <c r="H11" s="81" t="s">
        <v>28431</v>
      </c>
      <c r="I11" s="81" t="s">
        <v>141</v>
      </c>
      <c r="J11" s="84" t="s">
        <v>26132</v>
      </c>
      <c r="K11" s="81" t="s">
        <v>25678</v>
      </c>
      <c r="L11" s="81" t="s">
        <v>25607</v>
      </c>
      <c r="M11" s="81" t="s">
        <v>28583</v>
      </c>
      <c r="N11" s="81">
        <v>605.55999999999995</v>
      </c>
      <c r="Q11" s="80"/>
      <c r="R11" s="146"/>
      <c r="S11" s="103" t="str">
        <f t="shared" si="0"/>
        <v>94-003-18-</v>
      </c>
      <c r="V11" s="81">
        <v>2</v>
      </c>
    </row>
    <row r="12" spans="1:45" ht="15" customHeight="1" x14ac:dyDescent="0.2">
      <c r="A12" s="81" t="s">
        <v>28445</v>
      </c>
      <c r="B12" s="81" t="s">
        <v>28523</v>
      </c>
      <c r="C12" s="81" t="s">
        <v>46</v>
      </c>
      <c r="D12" s="81" t="s">
        <v>28539</v>
      </c>
      <c r="E12" s="81" t="s">
        <v>28540</v>
      </c>
      <c r="F12" s="81" t="s">
        <v>91</v>
      </c>
      <c r="G12" s="81" t="s">
        <v>28540</v>
      </c>
      <c r="H12" s="81" t="s">
        <v>28544</v>
      </c>
      <c r="I12" s="81" t="s">
        <v>27</v>
      </c>
      <c r="J12" s="84" t="s">
        <v>26132</v>
      </c>
      <c r="K12" s="81" t="s">
        <v>25678</v>
      </c>
      <c r="L12" s="81" t="s">
        <v>25607</v>
      </c>
      <c r="M12" s="81" t="s">
        <v>28583</v>
      </c>
      <c r="N12" s="81">
        <v>605.55999999999995</v>
      </c>
      <c r="Q12" s="80"/>
      <c r="R12" s="146"/>
      <c r="S12" s="103" t="str">
        <f t="shared" si="0"/>
        <v>94-003-06-</v>
      </c>
      <c r="V12" s="81">
        <v>2</v>
      </c>
    </row>
    <row r="13" spans="1:45" ht="15" customHeight="1" x14ac:dyDescent="0.2">
      <c r="A13" s="80" t="s">
        <v>28446</v>
      </c>
      <c r="B13" s="81" t="s">
        <v>28524</v>
      </c>
      <c r="C13" s="81" t="s">
        <v>46</v>
      </c>
      <c r="D13" s="81" t="s">
        <v>28539</v>
      </c>
      <c r="E13" s="81" t="s">
        <v>28540</v>
      </c>
      <c r="F13" s="81" t="s">
        <v>91</v>
      </c>
      <c r="G13" s="81" t="s">
        <v>28540</v>
      </c>
      <c r="H13" s="81" t="s">
        <v>28546</v>
      </c>
      <c r="I13" s="80" t="s">
        <v>1</v>
      </c>
      <c r="J13" s="84" t="s">
        <v>11</v>
      </c>
      <c r="K13" s="81" t="s">
        <v>25687</v>
      </c>
      <c r="L13" s="81" t="s">
        <v>25607</v>
      </c>
      <c r="M13" s="81" t="s">
        <v>28583</v>
      </c>
      <c r="N13" s="81">
        <v>661.11</v>
      </c>
      <c r="Q13" s="80"/>
      <c r="R13" s="146"/>
      <c r="S13" s="103" t="str">
        <f t="shared" si="0"/>
        <v>94-004-09-</v>
      </c>
      <c r="V13" s="81">
        <v>12</v>
      </c>
    </row>
    <row r="14" spans="1:45" ht="15" customHeight="1" x14ac:dyDescent="0.2">
      <c r="A14" s="81" t="s">
        <v>28447</v>
      </c>
      <c r="B14" s="81" t="s">
        <v>28524</v>
      </c>
      <c r="C14" s="81" t="s">
        <v>46</v>
      </c>
      <c r="D14" s="81" t="s">
        <v>28539</v>
      </c>
      <c r="E14" s="81" t="s">
        <v>28540</v>
      </c>
      <c r="F14" s="81" t="s">
        <v>91</v>
      </c>
      <c r="G14" s="81" t="s">
        <v>28540</v>
      </c>
      <c r="H14" s="81" t="s">
        <v>28541</v>
      </c>
      <c r="I14" s="81" t="s">
        <v>26</v>
      </c>
      <c r="J14" s="84" t="s">
        <v>11</v>
      </c>
      <c r="K14" s="81" t="s">
        <v>25687</v>
      </c>
      <c r="L14" s="81" t="s">
        <v>25607</v>
      </c>
      <c r="M14" s="81" t="s">
        <v>28583</v>
      </c>
      <c r="N14" s="81">
        <v>661.11</v>
      </c>
      <c r="Q14" s="80"/>
      <c r="R14" s="146"/>
      <c r="S14" s="103" t="str">
        <f t="shared" si="0"/>
        <v>94-004-05-</v>
      </c>
      <c r="V14" s="81">
        <v>8</v>
      </c>
    </row>
    <row r="15" spans="1:45" ht="15" customHeight="1" x14ac:dyDescent="0.2">
      <c r="A15" s="81" t="s">
        <v>28448</v>
      </c>
      <c r="B15" s="81" t="s">
        <v>28524</v>
      </c>
      <c r="C15" s="81" t="s">
        <v>46</v>
      </c>
      <c r="D15" s="81" t="s">
        <v>28539</v>
      </c>
      <c r="E15" s="81" t="s">
        <v>28540</v>
      </c>
      <c r="F15" s="81" t="s">
        <v>91</v>
      </c>
      <c r="G15" s="81" t="s">
        <v>28540</v>
      </c>
      <c r="H15" s="81" t="s">
        <v>28547</v>
      </c>
      <c r="I15" s="81" t="s">
        <v>28</v>
      </c>
      <c r="J15" s="84" t="s">
        <v>11</v>
      </c>
      <c r="K15" s="81" t="s">
        <v>25687</v>
      </c>
      <c r="L15" s="81" t="s">
        <v>25607</v>
      </c>
      <c r="M15" s="81" t="s">
        <v>28583</v>
      </c>
      <c r="N15" s="81">
        <v>661.11</v>
      </c>
      <c r="Q15" s="80"/>
      <c r="R15" s="146"/>
      <c r="S15" s="103" t="str">
        <f t="shared" si="0"/>
        <v>94-004-08-</v>
      </c>
      <c r="V15" s="81">
        <v>6</v>
      </c>
    </row>
    <row r="16" spans="1:45" ht="15" customHeight="1" x14ac:dyDescent="0.2">
      <c r="A16" s="81" t="s">
        <v>28449</v>
      </c>
      <c r="B16" s="81" t="s">
        <v>28524</v>
      </c>
      <c r="C16" s="81" t="s">
        <v>46</v>
      </c>
      <c r="D16" s="81" t="s">
        <v>28539</v>
      </c>
      <c r="E16" s="81" t="s">
        <v>28540</v>
      </c>
      <c r="F16" s="81" t="s">
        <v>91</v>
      </c>
      <c r="G16" s="81" t="s">
        <v>28540</v>
      </c>
      <c r="H16" s="81" t="s">
        <v>28543</v>
      </c>
      <c r="I16" s="81" t="s">
        <v>23</v>
      </c>
      <c r="J16" s="84" t="s">
        <v>11</v>
      </c>
      <c r="K16" s="81" t="s">
        <v>25687</v>
      </c>
      <c r="L16" s="81" t="s">
        <v>25607</v>
      </c>
      <c r="M16" s="81" t="s">
        <v>28583</v>
      </c>
      <c r="N16" s="81">
        <v>661.11</v>
      </c>
      <c r="Q16" s="80"/>
      <c r="R16" s="146"/>
      <c r="S16" s="103" t="str">
        <f t="shared" si="0"/>
        <v>94-004-16-</v>
      </c>
      <c r="V16" s="81">
        <v>8</v>
      </c>
    </row>
    <row r="17" spans="1:22" ht="15" customHeight="1" x14ac:dyDescent="0.2">
      <c r="A17" s="81" t="s">
        <v>28450</v>
      </c>
      <c r="B17" s="81" t="s">
        <v>28524</v>
      </c>
      <c r="C17" s="81" t="s">
        <v>46</v>
      </c>
      <c r="D17" s="81" t="s">
        <v>28539</v>
      </c>
      <c r="E17" s="81" t="s">
        <v>28540</v>
      </c>
      <c r="F17" s="81" t="s">
        <v>91</v>
      </c>
      <c r="G17" s="81" t="s">
        <v>28540</v>
      </c>
      <c r="H17" s="81" t="s">
        <v>28431</v>
      </c>
      <c r="I17" s="81" t="s">
        <v>141</v>
      </c>
      <c r="J17" s="84" t="s">
        <v>11</v>
      </c>
      <c r="K17" s="81" t="s">
        <v>25687</v>
      </c>
      <c r="L17" s="81" t="s">
        <v>25607</v>
      </c>
      <c r="M17" s="81" t="s">
        <v>28583</v>
      </c>
      <c r="N17" s="81">
        <v>661.11</v>
      </c>
      <c r="Q17" s="80"/>
      <c r="R17" s="146"/>
      <c r="S17" s="103" t="str">
        <f t="shared" si="0"/>
        <v>94-004-18-</v>
      </c>
      <c r="V17" s="81">
        <v>4</v>
      </c>
    </row>
    <row r="18" spans="1:22" ht="15" customHeight="1" x14ac:dyDescent="0.2">
      <c r="A18" s="81" t="s">
        <v>28451</v>
      </c>
      <c r="B18" s="81" t="s">
        <v>28524</v>
      </c>
      <c r="C18" s="81" t="s">
        <v>46</v>
      </c>
      <c r="D18" s="81" t="s">
        <v>28539</v>
      </c>
      <c r="E18" s="81" t="s">
        <v>28540</v>
      </c>
      <c r="F18" s="81" t="s">
        <v>91</v>
      </c>
      <c r="G18" s="81" t="s">
        <v>28540</v>
      </c>
      <c r="H18" s="81" t="s">
        <v>28545</v>
      </c>
      <c r="I18" s="81" t="s">
        <v>100</v>
      </c>
      <c r="J18" s="84" t="s">
        <v>11</v>
      </c>
      <c r="K18" s="81" t="s">
        <v>25687</v>
      </c>
      <c r="L18" s="81" t="s">
        <v>25607</v>
      </c>
      <c r="M18" s="81" t="s">
        <v>28583</v>
      </c>
      <c r="N18" s="81">
        <v>661.11</v>
      </c>
      <c r="Q18" s="80"/>
      <c r="R18" s="146"/>
      <c r="S18" s="103" t="str">
        <f t="shared" si="0"/>
        <v>94-004-17-</v>
      </c>
      <c r="V18" s="81">
        <v>2</v>
      </c>
    </row>
    <row r="19" spans="1:22" ht="15" customHeight="1" x14ac:dyDescent="0.2">
      <c r="A19" s="81" t="s">
        <v>28452</v>
      </c>
      <c r="B19" s="81" t="s">
        <v>28525</v>
      </c>
      <c r="C19" s="81" t="s">
        <v>46</v>
      </c>
      <c r="D19" s="81" t="s">
        <v>28539</v>
      </c>
      <c r="E19" s="81" t="s">
        <v>28540</v>
      </c>
      <c r="F19" s="81" t="s">
        <v>91</v>
      </c>
      <c r="G19" s="81" t="s">
        <v>28540</v>
      </c>
      <c r="H19" s="81" t="s">
        <v>28548</v>
      </c>
      <c r="I19" s="81" t="s">
        <v>28244</v>
      </c>
      <c r="J19" s="84" t="s">
        <v>11</v>
      </c>
      <c r="K19" s="81" t="s">
        <v>25687</v>
      </c>
      <c r="L19" s="81" t="s">
        <v>25607</v>
      </c>
      <c r="M19" s="81" t="s">
        <v>28583</v>
      </c>
      <c r="N19" s="81">
        <v>661.11</v>
      </c>
      <c r="Q19" s="80"/>
      <c r="R19" s="146"/>
      <c r="S19" s="103" t="str">
        <f t="shared" si="0"/>
        <v>94-005-09-</v>
      </c>
      <c r="V19" s="81">
        <v>4</v>
      </c>
    </row>
    <row r="20" spans="1:22" ht="15" customHeight="1" x14ac:dyDescent="0.2">
      <c r="A20" s="81" t="s">
        <v>28453</v>
      </c>
      <c r="B20" s="81" t="s">
        <v>28525</v>
      </c>
      <c r="C20" s="81" t="s">
        <v>46</v>
      </c>
      <c r="D20" s="81" t="s">
        <v>28539</v>
      </c>
      <c r="E20" s="81" t="s">
        <v>28540</v>
      </c>
      <c r="F20" s="81" t="s">
        <v>91</v>
      </c>
      <c r="G20" s="81" t="s">
        <v>28540</v>
      </c>
      <c r="H20" s="81" t="s">
        <v>28549</v>
      </c>
      <c r="I20" s="81" t="s">
        <v>137</v>
      </c>
      <c r="J20" s="84" t="s">
        <v>11</v>
      </c>
      <c r="K20" s="81" t="s">
        <v>25687</v>
      </c>
      <c r="L20" s="81" t="s">
        <v>25607</v>
      </c>
      <c r="M20" s="81" t="s">
        <v>28583</v>
      </c>
      <c r="N20" s="81">
        <v>661.11</v>
      </c>
      <c r="Q20" s="80"/>
      <c r="R20" s="146"/>
      <c r="S20" s="103" t="str">
        <f t="shared" si="0"/>
        <v>94-005-72-</v>
      </c>
      <c r="V20" s="81">
        <v>2</v>
      </c>
    </row>
    <row r="21" spans="1:22" ht="15" customHeight="1" x14ac:dyDescent="0.2">
      <c r="A21" s="81" t="s">
        <v>28454</v>
      </c>
      <c r="B21" s="81" t="s">
        <v>28525</v>
      </c>
      <c r="C21" s="81" t="s">
        <v>46</v>
      </c>
      <c r="D21" s="81" t="s">
        <v>28539</v>
      </c>
      <c r="E21" s="81" t="s">
        <v>28540</v>
      </c>
      <c r="F21" s="81" t="s">
        <v>91</v>
      </c>
      <c r="G21" s="81" t="s">
        <v>28540</v>
      </c>
      <c r="H21" s="81" t="s">
        <v>28550</v>
      </c>
      <c r="I21" s="81" t="s">
        <v>25537</v>
      </c>
      <c r="J21" s="84" t="s">
        <v>11</v>
      </c>
      <c r="K21" s="81" t="s">
        <v>25687</v>
      </c>
      <c r="L21" s="81" t="s">
        <v>25607</v>
      </c>
      <c r="M21" s="81" t="s">
        <v>28583</v>
      </c>
      <c r="N21" s="81">
        <v>661.11</v>
      </c>
      <c r="Q21" s="80"/>
      <c r="R21" s="146"/>
      <c r="S21" s="103" t="str">
        <f t="shared" si="0"/>
        <v>94-005-10-</v>
      </c>
      <c r="V21" s="81">
        <v>6</v>
      </c>
    </row>
    <row r="22" spans="1:22" ht="15" customHeight="1" x14ac:dyDescent="0.2">
      <c r="A22" s="81" t="s">
        <v>28455</v>
      </c>
      <c r="B22" s="81" t="s">
        <v>28525</v>
      </c>
      <c r="C22" s="81" t="s">
        <v>46</v>
      </c>
      <c r="D22" s="81" t="s">
        <v>28539</v>
      </c>
      <c r="E22" s="81" t="s">
        <v>28540</v>
      </c>
      <c r="F22" s="81" t="s">
        <v>91</v>
      </c>
      <c r="G22" s="81" t="s">
        <v>28540</v>
      </c>
      <c r="H22" s="81" t="s">
        <v>28551</v>
      </c>
      <c r="I22" s="81" t="s">
        <v>25531</v>
      </c>
      <c r="J22" s="84" t="s">
        <v>11</v>
      </c>
      <c r="K22" s="81" t="s">
        <v>25687</v>
      </c>
      <c r="L22" s="81" t="s">
        <v>25607</v>
      </c>
      <c r="M22" s="81" t="s">
        <v>28583</v>
      </c>
      <c r="N22" s="81">
        <v>661.11</v>
      </c>
      <c r="Q22" s="80"/>
      <c r="R22" s="146"/>
      <c r="S22" s="103" t="str">
        <f t="shared" si="0"/>
        <v>94-005-33-</v>
      </c>
      <c r="V22" s="81">
        <v>4</v>
      </c>
    </row>
    <row r="23" spans="1:22" ht="15" customHeight="1" x14ac:dyDescent="0.2">
      <c r="A23" s="81" t="s">
        <v>28456</v>
      </c>
      <c r="B23" s="81" t="s">
        <v>28525</v>
      </c>
      <c r="C23" s="81" t="s">
        <v>46</v>
      </c>
      <c r="D23" s="81" t="s">
        <v>28539</v>
      </c>
      <c r="E23" s="81" t="s">
        <v>28540</v>
      </c>
      <c r="F23" s="81" t="s">
        <v>91</v>
      </c>
      <c r="G23" s="81" t="s">
        <v>28540</v>
      </c>
      <c r="H23" s="81" t="s">
        <v>28552</v>
      </c>
      <c r="I23" s="81" t="s">
        <v>28251</v>
      </c>
      <c r="J23" s="84" t="s">
        <v>11</v>
      </c>
      <c r="K23" s="81" t="s">
        <v>25687</v>
      </c>
      <c r="L23" s="81" t="s">
        <v>25607</v>
      </c>
      <c r="M23" s="81" t="s">
        <v>28583</v>
      </c>
      <c r="N23" s="81">
        <v>661.11</v>
      </c>
      <c r="Q23" s="80"/>
      <c r="R23" s="146"/>
      <c r="S23" s="103" t="str">
        <f t="shared" si="0"/>
        <v>94-005-71-</v>
      </c>
      <c r="V23" s="81">
        <v>4</v>
      </c>
    </row>
    <row r="24" spans="1:22" ht="15" customHeight="1" x14ac:dyDescent="0.2">
      <c r="A24" s="81" t="s">
        <v>28457</v>
      </c>
      <c r="B24" s="81" t="s">
        <v>28526</v>
      </c>
      <c r="C24" s="81" t="s">
        <v>46</v>
      </c>
      <c r="D24" s="81" t="s">
        <v>28539</v>
      </c>
      <c r="E24" s="81" t="s">
        <v>28540</v>
      </c>
      <c r="F24" s="81" t="s">
        <v>91</v>
      </c>
      <c r="G24" s="81" t="s">
        <v>28540</v>
      </c>
      <c r="H24" s="81" t="s">
        <v>28553</v>
      </c>
      <c r="I24" s="81" t="s">
        <v>104</v>
      </c>
      <c r="J24" s="84" t="s">
        <v>26231</v>
      </c>
      <c r="L24" s="81" t="s">
        <v>25607</v>
      </c>
      <c r="M24" s="81" t="s">
        <v>28583</v>
      </c>
      <c r="N24" s="81">
        <v>661.11</v>
      </c>
      <c r="Q24" s="80"/>
      <c r="R24" s="146"/>
      <c r="S24" s="103" t="str">
        <f t="shared" si="0"/>
        <v>94-006-00-</v>
      </c>
      <c r="V24" s="81">
        <v>6</v>
      </c>
    </row>
    <row r="25" spans="1:22" ht="15" customHeight="1" x14ac:dyDescent="0.2">
      <c r="A25" s="81" t="s">
        <v>28458</v>
      </c>
      <c r="B25" s="81" t="s">
        <v>28527</v>
      </c>
      <c r="C25" s="81" t="s">
        <v>46</v>
      </c>
      <c r="D25" s="81" t="s">
        <v>28539</v>
      </c>
      <c r="E25" s="81" t="s">
        <v>28540</v>
      </c>
      <c r="F25" s="81" t="s">
        <v>91</v>
      </c>
      <c r="G25" s="81" t="s">
        <v>28540</v>
      </c>
      <c r="H25" s="81" t="s">
        <v>28546</v>
      </c>
      <c r="I25" s="81" t="s">
        <v>1</v>
      </c>
      <c r="J25" s="84" t="s">
        <v>26433</v>
      </c>
      <c r="L25" s="81" t="s">
        <v>25607</v>
      </c>
      <c r="M25" s="81" t="s">
        <v>28583</v>
      </c>
      <c r="N25" s="81">
        <v>661.11</v>
      </c>
      <c r="Q25" s="80"/>
      <c r="R25" s="146"/>
      <c r="S25" s="103" t="str">
        <f t="shared" si="0"/>
        <v>94-007-09-</v>
      </c>
      <c r="V25" s="81">
        <v>2</v>
      </c>
    </row>
    <row r="26" spans="1:22" ht="15" customHeight="1" x14ac:dyDescent="0.2">
      <c r="A26" s="81" t="s">
        <v>28459</v>
      </c>
      <c r="B26" s="81" t="s">
        <v>28527</v>
      </c>
      <c r="C26" s="81" t="s">
        <v>46</v>
      </c>
      <c r="D26" s="81" t="s">
        <v>28539</v>
      </c>
      <c r="E26" s="81" t="s">
        <v>28540</v>
      </c>
      <c r="F26" s="81" t="s">
        <v>91</v>
      </c>
      <c r="G26" s="81" t="s">
        <v>28540</v>
      </c>
      <c r="H26" s="81" t="s">
        <v>28541</v>
      </c>
      <c r="I26" s="81" t="s">
        <v>26</v>
      </c>
      <c r="J26" s="84" t="s">
        <v>26433</v>
      </c>
      <c r="L26" s="81" t="s">
        <v>25607</v>
      </c>
      <c r="M26" s="81" t="s">
        <v>28583</v>
      </c>
      <c r="N26" s="81">
        <v>661.11</v>
      </c>
      <c r="Q26" s="80"/>
      <c r="R26" s="146"/>
      <c r="S26" s="103" t="str">
        <f t="shared" si="0"/>
        <v>94-007-05-</v>
      </c>
      <c r="V26" s="81">
        <v>16</v>
      </c>
    </row>
    <row r="27" spans="1:22" ht="15" customHeight="1" x14ac:dyDescent="0.2">
      <c r="A27" s="81" t="s">
        <v>28460</v>
      </c>
      <c r="B27" s="81" t="s">
        <v>28527</v>
      </c>
      <c r="C27" s="81" t="s">
        <v>46</v>
      </c>
      <c r="D27" s="81" t="s">
        <v>28539</v>
      </c>
      <c r="E27" s="81" t="s">
        <v>28540</v>
      </c>
      <c r="F27" s="81" t="s">
        <v>91</v>
      </c>
      <c r="G27" s="81" t="s">
        <v>28540</v>
      </c>
      <c r="H27" s="81" t="s">
        <v>28554</v>
      </c>
      <c r="I27" s="81" t="s">
        <v>25472</v>
      </c>
      <c r="J27" s="84" t="s">
        <v>26433</v>
      </c>
      <c r="L27" s="81" t="s">
        <v>25607</v>
      </c>
      <c r="M27" s="81" t="s">
        <v>28583</v>
      </c>
      <c r="N27" s="81">
        <v>661.11</v>
      </c>
      <c r="Q27" s="80"/>
      <c r="R27" s="146"/>
      <c r="S27" s="103" t="str">
        <f t="shared" si="0"/>
        <v>94-007-01-</v>
      </c>
      <c r="V27" s="81">
        <v>14</v>
      </c>
    </row>
    <row r="28" spans="1:22" ht="15" customHeight="1" x14ac:dyDescent="0.2">
      <c r="A28" s="81" t="s">
        <v>28461</v>
      </c>
      <c r="B28" s="81" t="s">
        <v>28527</v>
      </c>
      <c r="C28" s="81" t="s">
        <v>46</v>
      </c>
      <c r="D28" s="81" t="s">
        <v>28539</v>
      </c>
      <c r="E28" s="81" t="s">
        <v>28540</v>
      </c>
      <c r="F28" s="81" t="s">
        <v>91</v>
      </c>
      <c r="G28" s="81" t="s">
        <v>28540</v>
      </c>
      <c r="H28" s="81" t="s">
        <v>28555</v>
      </c>
      <c r="I28" s="81" t="s">
        <v>34</v>
      </c>
      <c r="J28" s="84" t="s">
        <v>26433</v>
      </c>
      <c r="L28" s="81" t="s">
        <v>25607</v>
      </c>
      <c r="M28" s="81" t="s">
        <v>28583</v>
      </c>
      <c r="N28" s="81">
        <v>661.11</v>
      </c>
      <c r="Q28" s="80"/>
      <c r="R28" s="146"/>
      <c r="S28" s="103" t="str">
        <f t="shared" si="0"/>
        <v>94-007-19-</v>
      </c>
      <c r="V28" s="81">
        <v>16</v>
      </c>
    </row>
    <row r="29" spans="1:22" ht="15" customHeight="1" x14ac:dyDescent="0.2">
      <c r="A29" s="81" t="s">
        <v>28462</v>
      </c>
      <c r="B29" s="81" t="s">
        <v>28527</v>
      </c>
      <c r="C29" s="81" t="s">
        <v>46</v>
      </c>
      <c r="D29" s="81" t="s">
        <v>28539</v>
      </c>
      <c r="E29" s="81" t="s">
        <v>28540</v>
      </c>
      <c r="F29" s="81" t="s">
        <v>91</v>
      </c>
      <c r="G29" s="81" t="s">
        <v>28540</v>
      </c>
      <c r="H29" s="81" t="s">
        <v>28556</v>
      </c>
      <c r="I29" s="81" t="s">
        <v>96</v>
      </c>
      <c r="J29" s="84" t="s">
        <v>26433</v>
      </c>
      <c r="L29" s="81" t="s">
        <v>25607</v>
      </c>
      <c r="M29" s="81" t="s">
        <v>28583</v>
      </c>
      <c r="N29" s="81">
        <v>661.11</v>
      </c>
      <c r="Q29" s="80"/>
      <c r="R29" s="146"/>
      <c r="S29" s="103" t="str">
        <f t="shared" si="0"/>
        <v>94-007-12-</v>
      </c>
      <c r="V29" s="81">
        <v>7</v>
      </c>
    </row>
    <row r="30" spans="1:22" ht="15" customHeight="1" x14ac:dyDescent="0.2">
      <c r="A30" s="81" t="s">
        <v>28463</v>
      </c>
      <c r="B30" s="81" t="s">
        <v>28527</v>
      </c>
      <c r="C30" s="81" t="s">
        <v>46</v>
      </c>
      <c r="D30" s="81" t="s">
        <v>28539</v>
      </c>
      <c r="E30" s="81" t="s">
        <v>28540</v>
      </c>
      <c r="F30" s="81" t="s">
        <v>91</v>
      </c>
      <c r="G30" s="81" t="s">
        <v>28540</v>
      </c>
      <c r="H30" s="81" t="s">
        <v>28543</v>
      </c>
      <c r="I30" s="81" t="s">
        <v>23</v>
      </c>
      <c r="J30" s="84" t="s">
        <v>26433</v>
      </c>
      <c r="L30" s="81" t="s">
        <v>25607</v>
      </c>
      <c r="M30" s="81" t="s">
        <v>28583</v>
      </c>
      <c r="N30" s="81">
        <v>661.11</v>
      </c>
      <c r="Q30" s="80"/>
      <c r="R30" s="146"/>
      <c r="S30" s="103" t="str">
        <f t="shared" si="0"/>
        <v>94-007-16-</v>
      </c>
      <c r="V30" s="81">
        <v>10</v>
      </c>
    </row>
    <row r="31" spans="1:22" ht="15" customHeight="1" x14ac:dyDescent="0.2">
      <c r="A31" s="81" t="s">
        <v>28464</v>
      </c>
      <c r="B31" s="81" t="s">
        <v>28527</v>
      </c>
      <c r="C31" s="81" t="s">
        <v>46</v>
      </c>
      <c r="D31" s="81" t="s">
        <v>28539</v>
      </c>
      <c r="E31" s="81" t="s">
        <v>28540</v>
      </c>
      <c r="F31" s="81" t="s">
        <v>91</v>
      </c>
      <c r="G31" s="81" t="s">
        <v>28540</v>
      </c>
      <c r="H31" s="81" t="s">
        <v>28557</v>
      </c>
      <c r="I31" s="81" t="s">
        <v>123</v>
      </c>
      <c r="J31" s="84" t="s">
        <v>26433</v>
      </c>
      <c r="L31" s="81" t="s">
        <v>25607</v>
      </c>
      <c r="M31" s="81" t="s">
        <v>28583</v>
      </c>
      <c r="N31" s="81">
        <v>661.11</v>
      </c>
      <c r="Q31" s="80"/>
      <c r="R31" s="146"/>
      <c r="S31" s="103" t="str">
        <f t="shared" si="0"/>
        <v>94-007-13-</v>
      </c>
      <c r="V31" s="81">
        <v>4</v>
      </c>
    </row>
    <row r="32" spans="1:22" ht="15" customHeight="1" x14ac:dyDescent="0.2">
      <c r="A32" s="81" t="s">
        <v>28465</v>
      </c>
      <c r="B32" s="81" t="s">
        <v>28527</v>
      </c>
      <c r="C32" s="81" t="s">
        <v>46</v>
      </c>
      <c r="D32" s="81" t="s">
        <v>28539</v>
      </c>
      <c r="E32" s="81" t="s">
        <v>28540</v>
      </c>
      <c r="F32" s="81" t="s">
        <v>91</v>
      </c>
      <c r="G32" s="81" t="s">
        <v>28540</v>
      </c>
      <c r="H32" s="81" t="s">
        <v>28431</v>
      </c>
      <c r="I32" s="81" t="s">
        <v>141</v>
      </c>
      <c r="J32" s="84" t="s">
        <v>26433</v>
      </c>
      <c r="L32" s="81" t="s">
        <v>25607</v>
      </c>
      <c r="M32" s="81" t="s">
        <v>28583</v>
      </c>
      <c r="N32" s="81">
        <v>661.11</v>
      </c>
      <c r="Q32" s="80"/>
      <c r="R32" s="146"/>
      <c r="S32" s="103" t="str">
        <f t="shared" si="0"/>
        <v>94-007-18-</v>
      </c>
      <c r="V32" s="81">
        <v>4</v>
      </c>
    </row>
    <row r="33" spans="1:30" ht="15" customHeight="1" x14ac:dyDescent="0.2">
      <c r="A33" s="81" t="s">
        <v>28466</v>
      </c>
      <c r="B33" s="81" t="s">
        <v>28527</v>
      </c>
      <c r="C33" s="81" t="s">
        <v>46</v>
      </c>
      <c r="D33" s="81" t="s">
        <v>28539</v>
      </c>
      <c r="E33" s="81" t="s">
        <v>28540</v>
      </c>
      <c r="F33" s="81" t="s">
        <v>91</v>
      </c>
      <c r="G33" s="81" t="s">
        <v>28540</v>
      </c>
      <c r="H33" s="81" t="s">
        <v>28544</v>
      </c>
      <c r="I33" s="81" t="s">
        <v>27</v>
      </c>
      <c r="J33" s="84" t="s">
        <v>26433</v>
      </c>
      <c r="L33" s="81" t="s">
        <v>25607</v>
      </c>
      <c r="M33" s="81" t="s">
        <v>28583</v>
      </c>
      <c r="N33" s="81">
        <v>661.11</v>
      </c>
      <c r="Q33" s="80"/>
      <c r="R33" s="146"/>
      <c r="S33" s="103" t="str">
        <f t="shared" si="0"/>
        <v>94-007-06-</v>
      </c>
      <c r="V33" s="81">
        <v>4</v>
      </c>
    </row>
    <row r="34" spans="1:30" ht="15" customHeight="1" x14ac:dyDescent="0.2">
      <c r="A34" s="81" t="s">
        <v>28467</v>
      </c>
      <c r="B34" s="81" t="s">
        <v>28527</v>
      </c>
      <c r="C34" s="81" t="s">
        <v>46</v>
      </c>
      <c r="D34" s="81" t="s">
        <v>28539</v>
      </c>
      <c r="E34" s="81" t="s">
        <v>28540</v>
      </c>
      <c r="F34" s="81" t="s">
        <v>91</v>
      </c>
      <c r="G34" s="81" t="s">
        <v>28540</v>
      </c>
      <c r="H34" s="81" t="s">
        <v>28558</v>
      </c>
      <c r="I34" s="81" t="s">
        <v>28</v>
      </c>
      <c r="J34" s="84" t="s">
        <v>26433</v>
      </c>
      <c r="L34" s="81" t="s">
        <v>25607</v>
      </c>
      <c r="M34" s="81" t="s">
        <v>28583</v>
      </c>
      <c r="N34" s="81">
        <v>661.11</v>
      </c>
      <c r="Q34" s="80"/>
      <c r="R34" s="146"/>
      <c r="S34" s="103" t="str">
        <f t="shared" si="0"/>
        <v>94-007-08-</v>
      </c>
      <c r="V34" s="81">
        <v>4</v>
      </c>
    </row>
    <row r="35" spans="1:30" ht="15" customHeight="1" x14ac:dyDescent="0.2">
      <c r="A35" s="81" t="s">
        <v>28468</v>
      </c>
      <c r="B35" s="81" t="s">
        <v>28527</v>
      </c>
      <c r="C35" s="81" t="s">
        <v>46</v>
      </c>
      <c r="D35" s="81" t="s">
        <v>28539</v>
      </c>
      <c r="E35" s="81" t="s">
        <v>28540</v>
      </c>
      <c r="F35" s="81" t="s">
        <v>91</v>
      </c>
      <c r="G35" s="81" t="s">
        <v>28540</v>
      </c>
      <c r="H35" s="81" t="s">
        <v>28559</v>
      </c>
      <c r="I35" s="81" t="s">
        <v>54</v>
      </c>
      <c r="J35" s="84" t="s">
        <v>26433</v>
      </c>
      <c r="L35" s="81" t="s">
        <v>25607</v>
      </c>
      <c r="M35" s="81" t="s">
        <v>28583</v>
      </c>
      <c r="N35" s="81">
        <v>661.11</v>
      </c>
      <c r="Q35" s="80"/>
      <c r="R35" s="146"/>
      <c r="S35" s="103" t="str">
        <f t="shared" si="0"/>
        <v>94-007-11-</v>
      </c>
      <c r="V35" s="81">
        <v>4</v>
      </c>
    </row>
    <row r="36" spans="1:30" ht="15" customHeight="1" x14ac:dyDescent="0.2">
      <c r="A36" s="81" t="s">
        <v>28469</v>
      </c>
      <c r="B36" s="81" t="s">
        <v>28527</v>
      </c>
      <c r="C36" s="81" t="s">
        <v>46</v>
      </c>
      <c r="D36" s="81" t="s">
        <v>28539</v>
      </c>
      <c r="E36" s="81" t="s">
        <v>28540</v>
      </c>
      <c r="F36" s="81" t="s">
        <v>91</v>
      </c>
      <c r="G36" s="81" t="s">
        <v>28540</v>
      </c>
      <c r="H36" s="81" t="s">
        <v>28545</v>
      </c>
      <c r="I36" s="81" t="s">
        <v>100</v>
      </c>
      <c r="J36" s="84" t="s">
        <v>213</v>
      </c>
      <c r="K36" s="81" t="s">
        <v>25678</v>
      </c>
      <c r="L36" s="81" t="s">
        <v>25607</v>
      </c>
      <c r="M36" s="81" t="s">
        <v>28583</v>
      </c>
      <c r="N36" s="81">
        <v>661.11</v>
      </c>
      <c r="Q36" s="80"/>
      <c r="R36" s="146"/>
      <c r="S36" s="103" t="str">
        <f t="shared" si="0"/>
        <v>94-007-17-</v>
      </c>
      <c r="V36" s="81">
        <v>4</v>
      </c>
    </row>
    <row r="37" spans="1:30" ht="15" customHeight="1" x14ac:dyDescent="0.2">
      <c r="A37" s="81" t="s">
        <v>28470</v>
      </c>
      <c r="B37" s="81" t="s">
        <v>28528</v>
      </c>
      <c r="C37" s="81" t="s">
        <v>46</v>
      </c>
      <c r="D37" s="81" t="s">
        <v>28539</v>
      </c>
      <c r="E37" s="81" t="s">
        <v>28540</v>
      </c>
      <c r="F37" s="81" t="s">
        <v>91</v>
      </c>
      <c r="G37" s="81" t="s">
        <v>28540</v>
      </c>
      <c r="H37" s="81" t="s">
        <v>28560</v>
      </c>
      <c r="I37" s="81" t="s">
        <v>104</v>
      </c>
      <c r="J37" s="84" t="s">
        <v>28578</v>
      </c>
      <c r="K37" s="81" t="s">
        <v>25687</v>
      </c>
      <c r="L37" s="81" t="s">
        <v>25607</v>
      </c>
      <c r="M37" s="81" t="s">
        <v>28583</v>
      </c>
      <c r="N37" s="81">
        <v>716.67</v>
      </c>
      <c r="Q37" s="80"/>
      <c r="R37" s="146"/>
      <c r="S37" s="103" t="str">
        <f t="shared" si="0"/>
        <v>94-008-00-</v>
      </c>
      <c r="V37" s="81">
        <v>6</v>
      </c>
    </row>
    <row r="38" spans="1:30" ht="15" customHeight="1" x14ac:dyDescent="0.2">
      <c r="A38" s="81" t="s">
        <v>28471</v>
      </c>
      <c r="B38" s="81" t="s">
        <v>28529</v>
      </c>
      <c r="C38" s="81" t="s">
        <v>46</v>
      </c>
      <c r="D38" s="81" t="s">
        <v>28539</v>
      </c>
      <c r="E38" s="81" t="s">
        <v>28540</v>
      </c>
      <c r="F38" s="81" t="s">
        <v>91</v>
      </c>
      <c r="G38" s="81" t="s">
        <v>28540</v>
      </c>
      <c r="H38" s="81" t="s">
        <v>28549</v>
      </c>
      <c r="I38" s="81" t="s">
        <v>137</v>
      </c>
      <c r="J38" s="84" t="s">
        <v>26433</v>
      </c>
      <c r="K38" s="81" t="s">
        <v>25678</v>
      </c>
      <c r="L38" s="81" t="s">
        <v>25607</v>
      </c>
      <c r="M38" s="81" t="s">
        <v>28583</v>
      </c>
      <c r="N38" s="81">
        <v>661.11</v>
      </c>
      <c r="Q38" s="80"/>
      <c r="R38" s="146"/>
      <c r="S38" s="103" t="str">
        <f t="shared" si="0"/>
        <v>94-009-72-</v>
      </c>
      <c r="V38" s="81">
        <v>4</v>
      </c>
    </row>
    <row r="39" spans="1:30" ht="15" customHeight="1" x14ac:dyDescent="0.2">
      <c r="A39" s="81" t="s">
        <v>28472</v>
      </c>
      <c r="B39" s="81" t="s">
        <v>28529</v>
      </c>
      <c r="C39" s="81" t="s">
        <v>46</v>
      </c>
      <c r="D39" s="81" t="s">
        <v>28539</v>
      </c>
      <c r="E39" s="81" t="s">
        <v>28540</v>
      </c>
      <c r="F39" s="81" t="s">
        <v>91</v>
      </c>
      <c r="G39" s="81" t="s">
        <v>28540</v>
      </c>
      <c r="H39" s="81" t="s">
        <v>28550</v>
      </c>
      <c r="I39" s="81" t="s">
        <v>25537</v>
      </c>
      <c r="J39" s="84" t="s">
        <v>26433</v>
      </c>
      <c r="K39" s="81" t="s">
        <v>25678</v>
      </c>
      <c r="L39" s="81" t="s">
        <v>25607</v>
      </c>
      <c r="M39" s="81" t="s">
        <v>28583</v>
      </c>
      <c r="N39" s="81">
        <v>661.11</v>
      </c>
      <c r="Q39" s="80"/>
      <c r="R39" s="146"/>
      <c r="S39" s="103" t="str">
        <f t="shared" si="0"/>
        <v>94-009-10-</v>
      </c>
      <c r="V39" s="81">
        <v>8</v>
      </c>
    </row>
    <row r="40" spans="1:30" ht="15" customHeight="1" x14ac:dyDescent="0.2">
      <c r="A40" s="81" t="s">
        <v>28473</v>
      </c>
      <c r="B40" s="81" t="s">
        <v>28529</v>
      </c>
      <c r="C40" s="81" t="s">
        <v>46</v>
      </c>
      <c r="D40" s="81" t="s">
        <v>28539</v>
      </c>
      <c r="E40" s="81" t="s">
        <v>28540</v>
      </c>
      <c r="F40" s="81" t="s">
        <v>91</v>
      </c>
      <c r="G40" s="81" t="s">
        <v>28540</v>
      </c>
      <c r="H40" s="81" t="s">
        <v>28561</v>
      </c>
      <c r="I40" s="81" t="s">
        <v>25486</v>
      </c>
      <c r="J40" s="84" t="s">
        <v>26433</v>
      </c>
      <c r="K40" s="81" t="s">
        <v>25678</v>
      </c>
      <c r="L40" s="81" t="s">
        <v>25607</v>
      </c>
      <c r="M40" s="81" t="s">
        <v>28583</v>
      </c>
      <c r="N40" s="81">
        <v>661.11</v>
      </c>
      <c r="Q40" s="80"/>
      <c r="R40" s="146"/>
      <c r="S40" s="103" t="str">
        <f t="shared" si="0"/>
        <v>94-009-09-</v>
      </c>
      <c r="V40" s="81">
        <v>6</v>
      </c>
    </row>
    <row r="41" spans="1:30" ht="15" customHeight="1" x14ac:dyDescent="0.2">
      <c r="A41" s="81" t="s">
        <v>28474</v>
      </c>
      <c r="B41" s="81" t="s">
        <v>28529</v>
      </c>
      <c r="C41" s="81" t="s">
        <v>46</v>
      </c>
      <c r="D41" s="81" t="s">
        <v>28539</v>
      </c>
      <c r="E41" s="81" t="s">
        <v>28540</v>
      </c>
      <c r="F41" s="81" t="s">
        <v>91</v>
      </c>
      <c r="G41" s="81" t="s">
        <v>28540</v>
      </c>
      <c r="H41" s="81" t="s">
        <v>28562</v>
      </c>
      <c r="I41" s="81" t="s">
        <v>25481</v>
      </c>
      <c r="J41" s="84" t="s">
        <v>26433</v>
      </c>
      <c r="K41" s="81" t="s">
        <v>25678</v>
      </c>
      <c r="L41" s="81" t="s">
        <v>25607</v>
      </c>
      <c r="M41" s="81" t="s">
        <v>28583</v>
      </c>
      <c r="N41" s="81">
        <v>661.11</v>
      </c>
      <c r="Q41" s="80"/>
      <c r="R41" s="146"/>
      <c r="S41" s="103" t="str">
        <f t="shared" si="0"/>
        <v>94-009-08-</v>
      </c>
      <c r="V41" s="81">
        <v>4</v>
      </c>
    </row>
    <row r="42" spans="1:30" ht="15" customHeight="1" x14ac:dyDescent="0.2">
      <c r="A42" s="81" t="s">
        <v>28475</v>
      </c>
      <c r="B42" s="81" t="s">
        <v>28529</v>
      </c>
      <c r="C42" s="81" t="s">
        <v>46</v>
      </c>
      <c r="D42" s="81" t="s">
        <v>28539</v>
      </c>
      <c r="E42" s="81" t="s">
        <v>28540</v>
      </c>
      <c r="F42" s="81" t="s">
        <v>91</v>
      </c>
      <c r="G42" s="81" t="s">
        <v>28540</v>
      </c>
      <c r="H42" s="81" t="s">
        <v>28563</v>
      </c>
      <c r="I42" s="81" t="s">
        <v>28564</v>
      </c>
      <c r="J42" s="84" t="s">
        <v>26433</v>
      </c>
      <c r="K42" s="81" t="s">
        <v>25678</v>
      </c>
      <c r="L42" s="81" t="s">
        <v>25607</v>
      </c>
      <c r="M42" s="81" t="s">
        <v>28583</v>
      </c>
      <c r="N42" s="81">
        <v>661.11</v>
      </c>
      <c r="Q42" s="80"/>
      <c r="R42" s="146"/>
      <c r="S42" s="103" t="str">
        <f t="shared" si="0"/>
        <v>94-009-11-</v>
      </c>
      <c r="V42" s="81">
        <v>6</v>
      </c>
    </row>
    <row r="43" spans="1:30" ht="15" customHeight="1" x14ac:dyDescent="0.2">
      <c r="A43" s="81" t="s">
        <v>28476</v>
      </c>
      <c r="B43" s="81" t="s">
        <v>28529</v>
      </c>
      <c r="C43" s="81" t="s">
        <v>46</v>
      </c>
      <c r="D43" s="81" t="s">
        <v>28539</v>
      </c>
      <c r="E43" s="81" t="s">
        <v>28540</v>
      </c>
      <c r="F43" s="81" t="s">
        <v>91</v>
      </c>
      <c r="G43" s="81" t="s">
        <v>28540</v>
      </c>
      <c r="H43" s="81" t="s">
        <v>28552</v>
      </c>
      <c r="I43" s="81" t="s">
        <v>28251</v>
      </c>
      <c r="J43" s="84" t="s">
        <v>26433</v>
      </c>
      <c r="K43" s="81" t="s">
        <v>25678</v>
      </c>
      <c r="L43" s="81" t="s">
        <v>25607</v>
      </c>
      <c r="M43" s="81" t="s">
        <v>28583</v>
      </c>
      <c r="N43" s="81">
        <v>661.11</v>
      </c>
      <c r="Q43" s="80"/>
      <c r="R43" s="146"/>
      <c r="S43" s="103" t="str">
        <f t="shared" si="0"/>
        <v>94-009-71-</v>
      </c>
      <c r="V43" s="81">
        <v>4</v>
      </c>
    </row>
    <row r="44" spans="1:30" ht="15" customHeight="1" x14ac:dyDescent="0.2">
      <c r="A44" s="81" t="s">
        <v>28477</v>
      </c>
      <c r="B44" s="81" t="s">
        <v>28529</v>
      </c>
      <c r="C44" s="81" t="s">
        <v>46</v>
      </c>
      <c r="D44" s="81" t="s">
        <v>28539</v>
      </c>
      <c r="E44" s="81" t="s">
        <v>28540</v>
      </c>
      <c r="F44" s="81" t="s">
        <v>91</v>
      </c>
      <c r="G44" s="81" t="s">
        <v>28540</v>
      </c>
      <c r="H44" s="81" t="s">
        <v>28565</v>
      </c>
      <c r="I44" s="81" t="s">
        <v>25492</v>
      </c>
      <c r="J44" s="84" t="s">
        <v>26433</v>
      </c>
      <c r="K44" s="81" t="s">
        <v>25678</v>
      </c>
      <c r="L44" s="81" t="s">
        <v>25607</v>
      </c>
      <c r="M44" s="81" t="s">
        <v>28583</v>
      </c>
      <c r="N44" s="81">
        <v>661.11</v>
      </c>
      <c r="Q44" s="80"/>
      <c r="R44" s="146"/>
      <c r="S44" s="103" t="str">
        <f t="shared" si="0"/>
        <v>94-009-45-</v>
      </c>
      <c r="V44" s="81">
        <v>4</v>
      </c>
    </row>
    <row r="45" spans="1:30" ht="15" customHeight="1" x14ac:dyDescent="0.2">
      <c r="A45" s="81" t="s">
        <v>28478</v>
      </c>
      <c r="B45" s="81" t="s">
        <v>28530</v>
      </c>
      <c r="C45" s="81" t="s">
        <v>46</v>
      </c>
      <c r="D45" s="81" t="s">
        <v>28539</v>
      </c>
      <c r="E45" s="81" t="s">
        <v>28540</v>
      </c>
      <c r="F45" s="81" t="s">
        <v>91</v>
      </c>
      <c r="G45" s="81" t="s">
        <v>28540</v>
      </c>
      <c r="H45" s="81" t="s">
        <v>28566</v>
      </c>
      <c r="I45" s="81" t="s">
        <v>28428</v>
      </c>
      <c r="J45" s="84" t="s">
        <v>26433</v>
      </c>
      <c r="K45" s="81" t="s">
        <v>25678</v>
      </c>
      <c r="L45" s="81" t="s">
        <v>25607</v>
      </c>
      <c r="M45" s="81" t="s">
        <v>28583</v>
      </c>
      <c r="N45" s="81">
        <v>661.11</v>
      </c>
      <c r="Q45" s="80"/>
      <c r="R45" s="146"/>
      <c r="S45" s="103" t="str">
        <f t="shared" si="0"/>
        <v>94-010-00-</v>
      </c>
      <c r="V45" s="81">
        <v>10</v>
      </c>
    </row>
    <row r="46" spans="1:30" ht="15" customHeight="1" x14ac:dyDescent="0.2">
      <c r="A46" s="81" t="s">
        <v>28479</v>
      </c>
      <c r="B46" s="81" t="s">
        <v>28531</v>
      </c>
      <c r="C46" s="81" t="s">
        <v>46</v>
      </c>
      <c r="D46" s="81" t="s">
        <v>47</v>
      </c>
      <c r="E46" s="81" t="s">
        <v>28540</v>
      </c>
      <c r="F46" s="81" t="s">
        <v>91</v>
      </c>
      <c r="G46" s="81" t="s">
        <v>28540</v>
      </c>
      <c r="H46" s="81" t="s">
        <v>28567</v>
      </c>
      <c r="I46" s="81" t="s">
        <v>22</v>
      </c>
      <c r="J46" s="84" t="s">
        <v>28579</v>
      </c>
      <c r="L46" s="81" t="s">
        <v>25607</v>
      </c>
      <c r="M46" s="81" t="s">
        <v>28583</v>
      </c>
      <c r="N46" s="81">
        <v>716.67</v>
      </c>
      <c r="Q46" s="80"/>
      <c r="R46" s="146"/>
      <c r="S46" s="103" t="str">
        <f t="shared" si="0"/>
        <v>94-011-14-</v>
      </c>
      <c r="Z46" s="81">
        <v>3</v>
      </c>
      <c r="AD46" s="81">
        <v>3</v>
      </c>
    </row>
    <row r="47" spans="1:30" ht="15" customHeight="1" x14ac:dyDescent="0.2">
      <c r="A47" s="81" t="s">
        <v>28480</v>
      </c>
      <c r="B47" s="81" t="s">
        <v>28531</v>
      </c>
      <c r="C47" s="81" t="s">
        <v>46</v>
      </c>
      <c r="D47" s="81" t="s">
        <v>47</v>
      </c>
      <c r="E47" s="81" t="s">
        <v>28540</v>
      </c>
      <c r="F47" s="81" t="s">
        <v>91</v>
      </c>
      <c r="G47" s="81" t="s">
        <v>28540</v>
      </c>
      <c r="H47" s="81" t="s">
        <v>28568</v>
      </c>
      <c r="I47" s="81" t="s">
        <v>25408</v>
      </c>
      <c r="J47" s="84" t="s">
        <v>28579</v>
      </c>
      <c r="L47" s="81" t="s">
        <v>25607</v>
      </c>
      <c r="M47" s="81" t="s">
        <v>28583</v>
      </c>
      <c r="N47" s="81">
        <v>716.67</v>
      </c>
      <c r="Q47" s="80"/>
      <c r="R47" s="146"/>
      <c r="S47" s="103" t="str">
        <f t="shared" si="0"/>
        <v>94-011-00-</v>
      </c>
      <c r="Z47" s="81">
        <v>2</v>
      </c>
      <c r="AD47" s="81">
        <v>2</v>
      </c>
    </row>
    <row r="48" spans="1:30" ht="15" customHeight="1" x14ac:dyDescent="0.2">
      <c r="A48" s="81" t="s">
        <v>28481</v>
      </c>
      <c r="B48" s="81" t="s">
        <v>28532</v>
      </c>
      <c r="C48" s="81" t="s">
        <v>46</v>
      </c>
      <c r="D48" s="81" t="s">
        <v>92</v>
      </c>
      <c r="E48" s="81" t="s">
        <v>28540</v>
      </c>
      <c r="F48" s="81" t="s">
        <v>91</v>
      </c>
      <c r="G48" s="81" t="s">
        <v>28540</v>
      </c>
      <c r="H48" s="81" t="s">
        <v>28431</v>
      </c>
      <c r="I48" s="81" t="s">
        <v>141</v>
      </c>
      <c r="J48" s="84" t="s">
        <v>59</v>
      </c>
      <c r="L48" s="81" t="s">
        <v>25607</v>
      </c>
      <c r="M48" s="81" t="s">
        <v>28583</v>
      </c>
      <c r="N48" s="81">
        <v>605.55999999999995</v>
      </c>
      <c r="Q48" s="80"/>
      <c r="R48" s="146"/>
      <c r="S48" s="103" t="str">
        <f t="shared" si="0"/>
        <v>94-012-18-</v>
      </c>
      <c r="V48" s="81">
        <v>2</v>
      </c>
    </row>
    <row r="49" spans="1:30" ht="15" customHeight="1" x14ac:dyDescent="0.2">
      <c r="A49" s="81" t="s">
        <v>28482</v>
      </c>
      <c r="B49" s="81" t="s">
        <v>28532</v>
      </c>
      <c r="C49" s="81" t="s">
        <v>46</v>
      </c>
      <c r="D49" s="81" t="s">
        <v>92</v>
      </c>
      <c r="E49" s="81" t="s">
        <v>28540</v>
      </c>
      <c r="F49" s="81" t="s">
        <v>91</v>
      </c>
      <c r="G49" s="81" t="s">
        <v>28540</v>
      </c>
      <c r="H49" s="81" t="s">
        <v>28544</v>
      </c>
      <c r="I49" s="81" t="s">
        <v>27</v>
      </c>
      <c r="J49" s="84" t="s">
        <v>59</v>
      </c>
      <c r="L49" s="81" t="s">
        <v>25607</v>
      </c>
      <c r="M49" s="81" t="s">
        <v>28583</v>
      </c>
      <c r="N49" s="81">
        <v>605.55999999999995</v>
      </c>
      <c r="Q49" s="80"/>
      <c r="R49" s="146"/>
      <c r="S49" s="103" t="str">
        <f t="shared" si="0"/>
        <v>94-012-06-</v>
      </c>
      <c r="V49" s="81">
        <v>2</v>
      </c>
    </row>
    <row r="50" spans="1:30" ht="15" customHeight="1" x14ac:dyDescent="0.2">
      <c r="A50" s="81" t="s">
        <v>28483</v>
      </c>
      <c r="B50" s="81" t="s">
        <v>28533</v>
      </c>
      <c r="C50" s="81" t="s">
        <v>46</v>
      </c>
      <c r="D50" s="81" t="s">
        <v>92</v>
      </c>
      <c r="E50" s="81" t="s">
        <v>28540</v>
      </c>
      <c r="F50" s="81" t="s">
        <v>91</v>
      </c>
      <c r="G50" s="81" t="s">
        <v>28540</v>
      </c>
      <c r="H50" s="81" t="s">
        <v>28567</v>
      </c>
      <c r="I50" s="81" t="s">
        <v>22</v>
      </c>
      <c r="J50" s="84" t="s">
        <v>28580</v>
      </c>
      <c r="L50" s="81" t="s">
        <v>25607</v>
      </c>
      <c r="M50" s="81" t="s">
        <v>28583</v>
      </c>
      <c r="N50" s="81">
        <v>716.67</v>
      </c>
      <c r="Q50" s="80"/>
      <c r="R50" s="146"/>
      <c r="S50" s="103" t="str">
        <f t="shared" si="0"/>
        <v>94-013-14-</v>
      </c>
      <c r="Z50" s="81">
        <v>3</v>
      </c>
    </row>
    <row r="51" spans="1:30" ht="15" customHeight="1" x14ac:dyDescent="0.2">
      <c r="A51" s="81" t="s">
        <v>28484</v>
      </c>
      <c r="B51" s="81" t="s">
        <v>28534</v>
      </c>
      <c r="C51" s="81" t="s">
        <v>46</v>
      </c>
      <c r="D51" s="81" t="s">
        <v>92</v>
      </c>
      <c r="E51" s="81" t="s">
        <v>28540</v>
      </c>
      <c r="F51" s="81" t="s">
        <v>91</v>
      </c>
      <c r="G51" s="81" t="s">
        <v>28540</v>
      </c>
      <c r="H51" s="81" t="s">
        <v>28541</v>
      </c>
      <c r="I51" s="81" t="s">
        <v>26</v>
      </c>
      <c r="J51" s="84" t="s">
        <v>28581</v>
      </c>
      <c r="L51" s="81" t="s">
        <v>25607</v>
      </c>
      <c r="M51" s="81" t="s">
        <v>28583</v>
      </c>
      <c r="N51" s="81">
        <v>716.67</v>
      </c>
      <c r="Q51" s="80"/>
      <c r="R51" s="146"/>
      <c r="S51" s="103" t="str">
        <f t="shared" si="0"/>
        <v>94-014-05-</v>
      </c>
      <c r="Z51" s="81">
        <v>6</v>
      </c>
      <c r="AD51" s="81">
        <v>7</v>
      </c>
    </row>
    <row r="52" spans="1:30" ht="15" customHeight="1" x14ac:dyDescent="0.2">
      <c r="A52" s="81" t="s">
        <v>28485</v>
      </c>
      <c r="B52" s="81" t="s">
        <v>28534</v>
      </c>
      <c r="C52" s="81" t="s">
        <v>46</v>
      </c>
      <c r="D52" s="81" t="s">
        <v>92</v>
      </c>
      <c r="E52" s="81" t="s">
        <v>28540</v>
      </c>
      <c r="F52" s="81" t="s">
        <v>91</v>
      </c>
      <c r="G52" s="81" t="s">
        <v>28540</v>
      </c>
      <c r="H52" s="81" t="s">
        <v>28556</v>
      </c>
      <c r="I52" s="81" t="s">
        <v>96</v>
      </c>
      <c r="J52" s="84" t="s">
        <v>28581</v>
      </c>
      <c r="L52" s="81" t="s">
        <v>25607</v>
      </c>
      <c r="M52" s="81" t="s">
        <v>28583</v>
      </c>
      <c r="N52" s="81">
        <v>716.67</v>
      </c>
      <c r="Q52" s="80"/>
      <c r="R52" s="146"/>
      <c r="S52" s="103" t="str">
        <f t="shared" si="0"/>
        <v>94-014-12-</v>
      </c>
      <c r="Z52" s="81">
        <v>5</v>
      </c>
      <c r="AD52" s="81">
        <v>7</v>
      </c>
    </row>
    <row r="53" spans="1:30" ht="15" customHeight="1" x14ac:dyDescent="0.2">
      <c r="A53" s="81" t="s">
        <v>28486</v>
      </c>
      <c r="B53" s="81" t="s">
        <v>28534</v>
      </c>
      <c r="C53" s="81" t="s">
        <v>46</v>
      </c>
      <c r="D53" s="81" t="s">
        <v>92</v>
      </c>
      <c r="E53" s="81" t="s">
        <v>28540</v>
      </c>
      <c r="F53" s="81" t="s">
        <v>91</v>
      </c>
      <c r="G53" s="81" t="s">
        <v>28540</v>
      </c>
      <c r="H53" s="81" t="s">
        <v>28569</v>
      </c>
      <c r="I53" s="81" t="s">
        <v>25521</v>
      </c>
      <c r="J53" s="84" t="s">
        <v>28581</v>
      </c>
      <c r="L53" s="81" t="s">
        <v>25607</v>
      </c>
      <c r="M53" s="81" t="s">
        <v>28583</v>
      </c>
      <c r="N53" s="81">
        <v>716.67</v>
      </c>
      <c r="Q53" s="80"/>
      <c r="R53" s="146"/>
      <c r="S53" s="103" t="str">
        <f t="shared" si="0"/>
        <v>94-014-41-</v>
      </c>
      <c r="Z53" s="81">
        <v>4</v>
      </c>
    </row>
    <row r="54" spans="1:30" ht="15" customHeight="1" x14ac:dyDescent="0.2">
      <c r="A54" s="81" t="s">
        <v>28487</v>
      </c>
      <c r="B54" s="81" t="s">
        <v>28535</v>
      </c>
      <c r="C54" s="81" t="s">
        <v>46</v>
      </c>
      <c r="D54" s="81" t="s">
        <v>92</v>
      </c>
      <c r="E54" s="81" t="s">
        <v>28540</v>
      </c>
      <c r="F54" s="81" t="s">
        <v>91</v>
      </c>
      <c r="G54" s="81" t="s">
        <v>28540</v>
      </c>
      <c r="H54" s="81" t="s">
        <v>28546</v>
      </c>
      <c r="I54" s="81" t="s">
        <v>1</v>
      </c>
      <c r="J54" s="84" t="s">
        <v>26231</v>
      </c>
      <c r="L54" s="81" t="s">
        <v>25607</v>
      </c>
      <c r="M54" s="81" t="s">
        <v>28583</v>
      </c>
      <c r="N54" s="81">
        <v>661.11</v>
      </c>
      <c r="Q54" s="80"/>
      <c r="R54" s="146"/>
      <c r="S54" s="103" t="str">
        <f t="shared" si="0"/>
        <v>94-015-09-</v>
      </c>
      <c r="V54" s="81">
        <v>11</v>
      </c>
    </row>
    <row r="55" spans="1:30" ht="15" customHeight="1" x14ac:dyDescent="0.2">
      <c r="A55" s="81" t="s">
        <v>28488</v>
      </c>
      <c r="B55" s="81" t="s">
        <v>28535</v>
      </c>
      <c r="C55" s="81" t="s">
        <v>46</v>
      </c>
      <c r="D55" s="81" t="s">
        <v>92</v>
      </c>
      <c r="E55" s="81" t="s">
        <v>28540</v>
      </c>
      <c r="F55" s="81" t="s">
        <v>91</v>
      </c>
      <c r="G55" s="81" t="s">
        <v>28540</v>
      </c>
      <c r="H55" s="81" t="s">
        <v>28570</v>
      </c>
      <c r="I55" s="81" t="s">
        <v>54</v>
      </c>
      <c r="J55" s="84" t="s">
        <v>26231</v>
      </c>
      <c r="L55" s="81" t="s">
        <v>25607</v>
      </c>
      <c r="M55" s="81" t="s">
        <v>28583</v>
      </c>
      <c r="N55" s="81">
        <v>661.11</v>
      </c>
      <c r="Q55" s="80"/>
      <c r="R55" s="146"/>
      <c r="S55" s="103" t="str">
        <f t="shared" si="0"/>
        <v>94-015-11-</v>
      </c>
      <c r="V55" s="81">
        <v>2</v>
      </c>
    </row>
    <row r="56" spans="1:30" ht="15" customHeight="1" x14ac:dyDescent="0.2">
      <c r="A56" s="81" t="s">
        <v>28489</v>
      </c>
      <c r="B56" s="81" t="s">
        <v>28536</v>
      </c>
      <c r="C56" s="81" t="s">
        <v>49</v>
      </c>
      <c r="D56" s="81" t="s">
        <v>212</v>
      </c>
      <c r="E56" s="81" t="s">
        <v>28540</v>
      </c>
      <c r="F56" s="81" t="s">
        <v>91</v>
      </c>
      <c r="G56" s="81" t="s">
        <v>28540</v>
      </c>
      <c r="H56" s="81" t="s">
        <v>28571</v>
      </c>
      <c r="I56" s="81" t="s">
        <v>220</v>
      </c>
      <c r="J56" s="84" t="s">
        <v>28582</v>
      </c>
      <c r="K56" s="81" t="s">
        <v>25678</v>
      </c>
      <c r="L56" s="81" t="s">
        <v>25605</v>
      </c>
      <c r="M56" s="81" t="s">
        <v>28583</v>
      </c>
      <c r="N56" s="81">
        <v>368.05</v>
      </c>
      <c r="Q56" s="80"/>
      <c r="R56" s="146"/>
      <c r="S56" s="103" t="str">
        <f t="shared" si="0"/>
        <v>94-016-34-</v>
      </c>
      <c r="V56" s="81">
        <v>4</v>
      </c>
    </row>
    <row r="57" spans="1:30" ht="15" customHeight="1" x14ac:dyDescent="0.2">
      <c r="A57" s="81" t="s">
        <v>28490</v>
      </c>
      <c r="B57" s="81" t="s">
        <v>28536</v>
      </c>
      <c r="C57" s="81" t="s">
        <v>49</v>
      </c>
      <c r="D57" s="81" t="s">
        <v>212</v>
      </c>
      <c r="E57" s="81" t="s">
        <v>28540</v>
      </c>
      <c r="F57" s="81" t="s">
        <v>91</v>
      </c>
      <c r="G57" s="81" t="s">
        <v>28540</v>
      </c>
      <c r="H57" s="81" t="s">
        <v>28546</v>
      </c>
      <c r="I57" s="81" t="s">
        <v>1</v>
      </c>
      <c r="J57" s="84" t="s">
        <v>28582</v>
      </c>
      <c r="K57" s="81" t="s">
        <v>25678</v>
      </c>
      <c r="L57" s="81" t="s">
        <v>25607</v>
      </c>
      <c r="M57" s="81" t="s">
        <v>28583</v>
      </c>
      <c r="N57" s="81">
        <v>368.05</v>
      </c>
      <c r="Q57" s="80"/>
      <c r="R57" s="146"/>
      <c r="S57" s="103" t="str">
        <f t="shared" si="0"/>
        <v>94-016-09-</v>
      </c>
      <c r="V57" s="81">
        <v>16</v>
      </c>
    </row>
    <row r="58" spans="1:30" ht="15" customHeight="1" x14ac:dyDescent="0.2">
      <c r="A58" s="81" t="s">
        <v>28491</v>
      </c>
      <c r="B58" s="81" t="s">
        <v>28536</v>
      </c>
      <c r="C58" s="81" t="s">
        <v>49</v>
      </c>
      <c r="D58" s="81" t="s">
        <v>212</v>
      </c>
      <c r="E58" s="81" t="s">
        <v>28540</v>
      </c>
      <c r="F58" s="81" t="s">
        <v>91</v>
      </c>
      <c r="G58" s="81" t="s">
        <v>28540</v>
      </c>
      <c r="H58" s="81" t="s">
        <v>28567</v>
      </c>
      <c r="I58" s="81" t="s">
        <v>22</v>
      </c>
      <c r="J58" s="84" t="s">
        <v>28582</v>
      </c>
      <c r="K58" s="81" t="s">
        <v>25678</v>
      </c>
      <c r="L58" s="81" t="s">
        <v>25607</v>
      </c>
      <c r="M58" s="81" t="s">
        <v>28583</v>
      </c>
      <c r="N58" s="81">
        <v>368.05</v>
      </c>
      <c r="Q58" s="80"/>
      <c r="R58" s="146"/>
      <c r="S58" s="103" t="str">
        <f t="shared" si="0"/>
        <v>94-016-14-</v>
      </c>
      <c r="V58" s="81">
        <v>5</v>
      </c>
    </row>
    <row r="59" spans="1:30" ht="15" customHeight="1" x14ac:dyDescent="0.2">
      <c r="A59" s="81" t="s">
        <v>28492</v>
      </c>
      <c r="B59" s="81" t="s">
        <v>28536</v>
      </c>
      <c r="C59" s="81" t="s">
        <v>49</v>
      </c>
      <c r="D59" s="81" t="s">
        <v>212</v>
      </c>
      <c r="E59" s="81" t="s">
        <v>28540</v>
      </c>
      <c r="F59" s="81" t="s">
        <v>91</v>
      </c>
      <c r="G59" s="81" t="s">
        <v>28540</v>
      </c>
      <c r="H59" s="81" t="s">
        <v>28541</v>
      </c>
      <c r="I59" s="81" t="s">
        <v>26</v>
      </c>
      <c r="J59" s="84" t="s">
        <v>28582</v>
      </c>
      <c r="K59" s="81" t="s">
        <v>25678</v>
      </c>
      <c r="L59" s="81" t="s">
        <v>25607</v>
      </c>
      <c r="M59" s="81" t="s">
        <v>28583</v>
      </c>
      <c r="N59" s="81">
        <v>368.05</v>
      </c>
      <c r="Q59" s="80"/>
      <c r="R59" s="146"/>
      <c r="S59" s="103" t="str">
        <f t="shared" si="0"/>
        <v>94-016-05-</v>
      </c>
      <c r="V59" s="81">
        <v>4</v>
      </c>
    </row>
    <row r="60" spans="1:30" ht="15" customHeight="1" x14ac:dyDescent="0.2">
      <c r="A60" s="81" t="s">
        <v>28493</v>
      </c>
      <c r="B60" s="81" t="s">
        <v>28536</v>
      </c>
      <c r="C60" s="81" t="s">
        <v>49</v>
      </c>
      <c r="D60" s="81" t="s">
        <v>212</v>
      </c>
      <c r="E60" s="81" t="s">
        <v>28540</v>
      </c>
      <c r="F60" s="81" t="s">
        <v>91</v>
      </c>
      <c r="G60" s="81" t="s">
        <v>28540</v>
      </c>
      <c r="H60" s="81" t="s">
        <v>28568</v>
      </c>
      <c r="I60" s="81" t="s">
        <v>25408</v>
      </c>
      <c r="J60" s="84" t="s">
        <v>28582</v>
      </c>
      <c r="K60" s="81" t="s">
        <v>25678</v>
      </c>
      <c r="L60" s="81" t="s">
        <v>25607</v>
      </c>
      <c r="M60" s="81" t="s">
        <v>28583</v>
      </c>
      <c r="N60" s="81">
        <v>368.05</v>
      </c>
      <c r="Q60" s="80"/>
      <c r="R60" s="146"/>
      <c r="S60" s="103" t="str">
        <f t="shared" si="0"/>
        <v>94-016-00-</v>
      </c>
      <c r="V60" s="81">
        <v>4</v>
      </c>
    </row>
    <row r="61" spans="1:30" ht="15" customHeight="1" x14ac:dyDescent="0.2">
      <c r="A61" s="81" t="s">
        <v>28494</v>
      </c>
      <c r="B61" s="81" t="s">
        <v>28536</v>
      </c>
      <c r="C61" s="81" t="s">
        <v>49</v>
      </c>
      <c r="D61" s="81" t="s">
        <v>212</v>
      </c>
      <c r="E61" s="81" t="s">
        <v>28540</v>
      </c>
      <c r="F61" s="81" t="s">
        <v>91</v>
      </c>
      <c r="G61" s="81" t="s">
        <v>28540</v>
      </c>
      <c r="H61" s="81" t="s">
        <v>28542</v>
      </c>
      <c r="I61" s="81" t="s">
        <v>25472</v>
      </c>
      <c r="J61" s="84" t="s">
        <v>28582</v>
      </c>
      <c r="K61" s="81" t="s">
        <v>25678</v>
      </c>
      <c r="L61" s="81" t="s">
        <v>25607</v>
      </c>
      <c r="M61" s="81" t="s">
        <v>28583</v>
      </c>
      <c r="N61" s="81">
        <v>368.05</v>
      </c>
      <c r="Q61" s="80"/>
      <c r="R61" s="146"/>
      <c r="S61" s="103" t="str">
        <f t="shared" si="0"/>
        <v>94-016-01-</v>
      </c>
      <c r="V61" s="81">
        <v>2</v>
      </c>
    </row>
    <row r="62" spans="1:30" ht="15" customHeight="1" x14ac:dyDescent="0.2">
      <c r="A62" s="81" t="s">
        <v>28495</v>
      </c>
      <c r="B62" s="81" t="s">
        <v>28536</v>
      </c>
      <c r="C62" s="81" t="s">
        <v>49</v>
      </c>
      <c r="D62" s="81" t="s">
        <v>212</v>
      </c>
      <c r="E62" s="81" t="s">
        <v>28540</v>
      </c>
      <c r="F62" s="81" t="s">
        <v>91</v>
      </c>
      <c r="G62" s="81" t="s">
        <v>28540</v>
      </c>
      <c r="H62" s="81" t="s">
        <v>28556</v>
      </c>
      <c r="I62" s="81" t="s">
        <v>96</v>
      </c>
      <c r="J62" s="84" t="s">
        <v>28582</v>
      </c>
      <c r="K62" s="81" t="s">
        <v>25678</v>
      </c>
      <c r="L62" s="81" t="s">
        <v>25607</v>
      </c>
      <c r="M62" s="81" t="s">
        <v>28583</v>
      </c>
      <c r="N62" s="81">
        <v>368.05</v>
      </c>
      <c r="Q62" s="80"/>
      <c r="R62" s="146"/>
      <c r="S62" s="103" t="str">
        <f t="shared" si="0"/>
        <v>94-016-12-</v>
      </c>
      <c r="V62" s="81">
        <v>5</v>
      </c>
    </row>
    <row r="63" spans="1:30" ht="15" customHeight="1" x14ac:dyDescent="0.2">
      <c r="A63" s="81" t="s">
        <v>28496</v>
      </c>
      <c r="B63" s="81" t="s">
        <v>28536</v>
      </c>
      <c r="C63" s="81" t="s">
        <v>49</v>
      </c>
      <c r="D63" s="81" t="s">
        <v>212</v>
      </c>
      <c r="E63" s="81" t="s">
        <v>28540</v>
      </c>
      <c r="F63" s="81" t="s">
        <v>91</v>
      </c>
      <c r="G63" s="81" t="s">
        <v>28540</v>
      </c>
      <c r="H63" s="81" t="s">
        <v>28543</v>
      </c>
      <c r="I63" s="81" t="s">
        <v>23</v>
      </c>
      <c r="J63" s="84" t="s">
        <v>28582</v>
      </c>
      <c r="K63" s="81" t="s">
        <v>25678</v>
      </c>
      <c r="L63" s="81" t="s">
        <v>25607</v>
      </c>
      <c r="M63" s="81" t="s">
        <v>28583</v>
      </c>
      <c r="N63" s="81">
        <v>368.05</v>
      </c>
      <c r="Q63" s="80"/>
      <c r="R63" s="146"/>
      <c r="S63" s="103" t="str">
        <f t="shared" si="0"/>
        <v>94-016-16-</v>
      </c>
      <c r="V63" s="81">
        <v>6</v>
      </c>
    </row>
    <row r="64" spans="1:30" ht="15" customHeight="1" x14ac:dyDescent="0.2">
      <c r="A64" s="81" t="s">
        <v>28497</v>
      </c>
      <c r="B64" s="81" t="s">
        <v>28536</v>
      </c>
      <c r="C64" s="81" t="s">
        <v>49</v>
      </c>
      <c r="D64" s="81" t="s">
        <v>212</v>
      </c>
      <c r="E64" s="81" t="s">
        <v>28540</v>
      </c>
      <c r="F64" s="81" t="s">
        <v>91</v>
      </c>
      <c r="G64" s="81" t="s">
        <v>28540</v>
      </c>
      <c r="H64" s="81" t="s">
        <v>28572</v>
      </c>
      <c r="I64" s="81" t="s">
        <v>58</v>
      </c>
      <c r="J64" s="84" t="s">
        <v>28582</v>
      </c>
      <c r="K64" s="81" t="s">
        <v>25678</v>
      </c>
      <c r="L64" s="81" t="s">
        <v>25607</v>
      </c>
      <c r="M64" s="81" t="s">
        <v>28583</v>
      </c>
      <c r="N64" s="81">
        <v>368.05</v>
      </c>
      <c r="Q64" s="80"/>
      <c r="R64" s="146"/>
      <c r="S64" s="103" t="str">
        <f t="shared" si="0"/>
        <v>94-016-03-</v>
      </c>
      <c r="V64" s="81">
        <v>5</v>
      </c>
    </row>
    <row r="65" spans="1:22" ht="15" customHeight="1" x14ac:dyDescent="0.2">
      <c r="A65" s="81" t="s">
        <v>28498</v>
      </c>
      <c r="B65" s="81" t="s">
        <v>28536</v>
      </c>
      <c r="C65" s="81" t="s">
        <v>49</v>
      </c>
      <c r="D65" s="81" t="s">
        <v>212</v>
      </c>
      <c r="E65" s="81" t="s">
        <v>28540</v>
      </c>
      <c r="F65" s="81" t="s">
        <v>91</v>
      </c>
      <c r="G65" s="81" t="s">
        <v>28540</v>
      </c>
      <c r="H65" s="81" t="s">
        <v>28431</v>
      </c>
      <c r="I65" s="81" t="s">
        <v>141</v>
      </c>
      <c r="J65" s="84" t="s">
        <v>28582</v>
      </c>
      <c r="K65" s="81" t="s">
        <v>25678</v>
      </c>
      <c r="L65" s="81" t="s">
        <v>25607</v>
      </c>
      <c r="M65" s="81" t="s">
        <v>28583</v>
      </c>
      <c r="N65" s="81">
        <v>368.05</v>
      </c>
      <c r="Q65" s="80"/>
      <c r="R65" s="146"/>
      <c r="S65" s="103" t="str">
        <f t="shared" si="0"/>
        <v>94-016-18-</v>
      </c>
      <c r="V65" s="81">
        <v>4</v>
      </c>
    </row>
    <row r="66" spans="1:22" ht="15" customHeight="1" x14ac:dyDescent="0.2">
      <c r="A66" s="81" t="s">
        <v>28499</v>
      </c>
      <c r="B66" s="81" t="s">
        <v>28536</v>
      </c>
      <c r="C66" s="81" t="s">
        <v>49</v>
      </c>
      <c r="D66" s="81" t="s">
        <v>212</v>
      </c>
      <c r="E66" s="81" t="s">
        <v>28540</v>
      </c>
      <c r="F66" s="81" t="s">
        <v>91</v>
      </c>
      <c r="G66" s="81" t="s">
        <v>28540</v>
      </c>
      <c r="H66" s="81" t="s">
        <v>28544</v>
      </c>
      <c r="I66" s="81" t="s">
        <v>27</v>
      </c>
      <c r="J66" s="84" t="s">
        <v>28582</v>
      </c>
      <c r="K66" s="81" t="s">
        <v>25678</v>
      </c>
      <c r="L66" s="81" t="s">
        <v>25607</v>
      </c>
      <c r="M66" s="81" t="s">
        <v>28583</v>
      </c>
      <c r="N66" s="81">
        <v>368.05</v>
      </c>
      <c r="Q66" s="80"/>
      <c r="R66" s="146"/>
      <c r="S66" s="103" t="str">
        <f t="shared" si="0"/>
        <v>94-016-06-</v>
      </c>
      <c r="V66" s="81">
        <v>4</v>
      </c>
    </row>
    <row r="67" spans="1:22" ht="15" customHeight="1" x14ac:dyDescent="0.2">
      <c r="A67" s="81" t="s">
        <v>28500</v>
      </c>
      <c r="B67" s="81" t="s">
        <v>28536</v>
      </c>
      <c r="C67" s="81" t="s">
        <v>49</v>
      </c>
      <c r="D67" s="81" t="s">
        <v>212</v>
      </c>
      <c r="E67" s="81" t="s">
        <v>28540</v>
      </c>
      <c r="F67" s="81" t="s">
        <v>91</v>
      </c>
      <c r="G67" s="81" t="s">
        <v>28540</v>
      </c>
      <c r="H67" s="81" t="s">
        <v>28545</v>
      </c>
      <c r="I67" s="81" t="s">
        <v>100</v>
      </c>
      <c r="J67" s="84" t="s">
        <v>28582</v>
      </c>
      <c r="K67" s="81" t="s">
        <v>25678</v>
      </c>
      <c r="L67" s="81" t="s">
        <v>25607</v>
      </c>
      <c r="M67" s="81" t="s">
        <v>28583</v>
      </c>
      <c r="N67" s="81">
        <v>368.05</v>
      </c>
      <c r="Q67" s="80"/>
      <c r="R67" s="146"/>
      <c r="S67" s="103" t="str">
        <f t="shared" ref="S67:S87" si="1">A67&amp;"-"&amp;T67</f>
        <v>94-016-17-</v>
      </c>
      <c r="V67" s="81">
        <v>3</v>
      </c>
    </row>
    <row r="68" spans="1:22" ht="15" customHeight="1" x14ac:dyDescent="0.2">
      <c r="A68" s="81" t="s">
        <v>28501</v>
      </c>
      <c r="B68" s="81" t="s">
        <v>28537</v>
      </c>
      <c r="C68" s="81" t="s">
        <v>49</v>
      </c>
      <c r="D68" s="81" t="s">
        <v>212</v>
      </c>
      <c r="E68" s="81" t="s">
        <v>28540</v>
      </c>
      <c r="F68" s="81" t="s">
        <v>91</v>
      </c>
      <c r="G68" s="81" t="s">
        <v>28540</v>
      </c>
      <c r="H68" s="81" t="s">
        <v>28573</v>
      </c>
      <c r="I68" s="81" t="s">
        <v>123</v>
      </c>
      <c r="J68" s="84" t="s">
        <v>28582</v>
      </c>
      <c r="K68" s="81" t="s">
        <v>25678</v>
      </c>
      <c r="L68" s="81" t="s">
        <v>25607</v>
      </c>
      <c r="M68" s="81" t="s">
        <v>28583</v>
      </c>
      <c r="N68" s="81">
        <v>381.65000000000003</v>
      </c>
      <c r="Q68" s="80"/>
      <c r="R68" s="146"/>
      <c r="S68" s="103" t="str">
        <f t="shared" si="1"/>
        <v>94-017-13-</v>
      </c>
      <c r="V68" s="81">
        <v>6</v>
      </c>
    </row>
    <row r="69" spans="1:22" ht="15" customHeight="1" x14ac:dyDescent="0.2">
      <c r="A69" s="81" t="s">
        <v>28502</v>
      </c>
      <c r="B69" s="81" t="s">
        <v>28537</v>
      </c>
      <c r="C69" s="81" t="s">
        <v>49</v>
      </c>
      <c r="D69" s="81" t="s">
        <v>212</v>
      </c>
      <c r="E69" s="81" t="s">
        <v>28540</v>
      </c>
      <c r="F69" s="81" t="s">
        <v>91</v>
      </c>
      <c r="G69" s="81" t="s">
        <v>28540</v>
      </c>
      <c r="H69" s="81" t="s">
        <v>28567</v>
      </c>
      <c r="I69" s="81" t="s">
        <v>22</v>
      </c>
      <c r="J69" s="84" t="s">
        <v>28582</v>
      </c>
      <c r="K69" s="81" t="s">
        <v>25678</v>
      </c>
      <c r="L69" s="81" t="s">
        <v>25607</v>
      </c>
      <c r="M69" s="81" t="s">
        <v>28583</v>
      </c>
      <c r="N69" s="81">
        <v>381.65</v>
      </c>
      <c r="Q69" s="80"/>
      <c r="R69" s="146"/>
      <c r="S69" s="103" t="str">
        <f t="shared" si="1"/>
        <v>94-017-14-</v>
      </c>
      <c r="V69" s="81">
        <v>8</v>
      </c>
    </row>
    <row r="70" spans="1:22" ht="15" customHeight="1" x14ac:dyDescent="0.2">
      <c r="A70" s="81" t="s">
        <v>28503</v>
      </c>
      <c r="B70" s="81" t="s">
        <v>28537</v>
      </c>
      <c r="C70" s="81" t="s">
        <v>49</v>
      </c>
      <c r="D70" s="81" t="s">
        <v>212</v>
      </c>
      <c r="E70" s="81" t="s">
        <v>28540</v>
      </c>
      <c r="F70" s="81" t="s">
        <v>91</v>
      </c>
      <c r="G70" s="81" t="s">
        <v>28540</v>
      </c>
      <c r="H70" s="81" t="s">
        <v>28574</v>
      </c>
      <c r="I70" s="81" t="s">
        <v>43</v>
      </c>
      <c r="J70" s="84" t="s">
        <v>28582</v>
      </c>
      <c r="K70" s="81" t="s">
        <v>25678</v>
      </c>
      <c r="L70" s="81" t="s">
        <v>25607</v>
      </c>
      <c r="M70" s="81" t="s">
        <v>28583</v>
      </c>
      <c r="N70" s="81">
        <v>381.65000000000003</v>
      </c>
      <c r="Q70" s="80"/>
      <c r="R70" s="146"/>
      <c r="S70" s="103" t="str">
        <f t="shared" si="1"/>
        <v>94-017-15-</v>
      </c>
      <c r="V70" s="81">
        <v>6</v>
      </c>
    </row>
    <row r="71" spans="1:22" ht="15" customHeight="1" x14ac:dyDescent="0.2">
      <c r="A71" s="81" t="s">
        <v>28504</v>
      </c>
      <c r="B71" s="81" t="s">
        <v>28537</v>
      </c>
      <c r="C71" s="81" t="s">
        <v>49</v>
      </c>
      <c r="D71" s="81" t="s">
        <v>212</v>
      </c>
      <c r="E71" s="81" t="s">
        <v>28540</v>
      </c>
      <c r="F71" s="81" t="s">
        <v>91</v>
      </c>
      <c r="G71" s="81" t="s">
        <v>28540</v>
      </c>
      <c r="H71" s="81" t="s">
        <v>28575</v>
      </c>
      <c r="I71" s="81" t="s">
        <v>147</v>
      </c>
      <c r="J71" s="84" t="s">
        <v>28582</v>
      </c>
      <c r="K71" s="81" t="s">
        <v>25678</v>
      </c>
      <c r="L71" s="81" t="s">
        <v>25607</v>
      </c>
      <c r="M71" s="81" t="s">
        <v>28583</v>
      </c>
      <c r="N71" s="81">
        <v>381.65000000000003</v>
      </c>
      <c r="Q71" s="80"/>
      <c r="R71" s="146"/>
      <c r="S71" s="103" t="str">
        <f t="shared" si="1"/>
        <v>94-017-19-</v>
      </c>
      <c r="V71" s="81">
        <v>6</v>
      </c>
    </row>
    <row r="72" spans="1:22" ht="15" customHeight="1" x14ac:dyDescent="0.2">
      <c r="A72" s="81" t="s">
        <v>28505</v>
      </c>
      <c r="B72" s="81" t="s">
        <v>28537</v>
      </c>
      <c r="C72" s="81" t="s">
        <v>49</v>
      </c>
      <c r="D72" s="81" t="s">
        <v>212</v>
      </c>
      <c r="E72" s="81" t="s">
        <v>28540</v>
      </c>
      <c r="F72" s="81" t="s">
        <v>91</v>
      </c>
      <c r="G72" s="81" t="s">
        <v>28540</v>
      </c>
      <c r="H72" s="81" t="s">
        <v>28541</v>
      </c>
      <c r="I72" s="81" t="s">
        <v>26</v>
      </c>
      <c r="J72" s="84" t="s">
        <v>28582</v>
      </c>
      <c r="K72" s="81" t="s">
        <v>25678</v>
      </c>
      <c r="L72" s="81" t="s">
        <v>25607</v>
      </c>
      <c r="M72" s="81" t="s">
        <v>28583</v>
      </c>
      <c r="N72" s="81">
        <v>381.65</v>
      </c>
      <c r="Q72" s="80"/>
      <c r="R72" s="146"/>
      <c r="S72" s="103" t="str">
        <f t="shared" si="1"/>
        <v>94-017-05-</v>
      </c>
      <c r="V72" s="81">
        <v>4</v>
      </c>
    </row>
    <row r="73" spans="1:22" ht="15" customHeight="1" x14ac:dyDescent="0.2">
      <c r="A73" s="81" t="s">
        <v>28506</v>
      </c>
      <c r="B73" s="81" t="s">
        <v>28537</v>
      </c>
      <c r="C73" s="81" t="s">
        <v>49</v>
      </c>
      <c r="D73" s="81" t="s">
        <v>212</v>
      </c>
      <c r="E73" s="81" t="s">
        <v>28540</v>
      </c>
      <c r="F73" s="81" t="s">
        <v>91</v>
      </c>
      <c r="G73" s="81" t="s">
        <v>28540</v>
      </c>
      <c r="H73" s="81" t="s">
        <v>28568</v>
      </c>
      <c r="I73" s="81" t="s">
        <v>25408</v>
      </c>
      <c r="J73" s="84" t="s">
        <v>28582</v>
      </c>
      <c r="K73" s="81" t="s">
        <v>25678</v>
      </c>
      <c r="L73" s="81" t="s">
        <v>25607</v>
      </c>
      <c r="M73" s="81" t="s">
        <v>28583</v>
      </c>
      <c r="N73" s="81">
        <v>381.65000000000003</v>
      </c>
      <c r="Q73" s="80"/>
      <c r="R73" s="146"/>
      <c r="S73" s="103" t="str">
        <f t="shared" si="1"/>
        <v>94-017-00-</v>
      </c>
      <c r="V73" s="81">
        <v>6</v>
      </c>
    </row>
    <row r="74" spans="1:22" ht="15" customHeight="1" x14ac:dyDescent="0.2">
      <c r="A74" s="81" t="s">
        <v>28507</v>
      </c>
      <c r="B74" s="81" t="s">
        <v>28537</v>
      </c>
      <c r="C74" s="81" t="s">
        <v>49</v>
      </c>
      <c r="D74" s="81" t="s">
        <v>212</v>
      </c>
      <c r="E74" s="81" t="s">
        <v>28540</v>
      </c>
      <c r="F74" s="81" t="s">
        <v>91</v>
      </c>
      <c r="G74" s="81" t="s">
        <v>28540</v>
      </c>
      <c r="H74" s="81" t="s">
        <v>28542</v>
      </c>
      <c r="I74" s="81" t="s">
        <v>25472</v>
      </c>
      <c r="J74" s="84" t="s">
        <v>28582</v>
      </c>
      <c r="K74" s="81" t="s">
        <v>25678</v>
      </c>
      <c r="L74" s="81" t="s">
        <v>25607</v>
      </c>
      <c r="M74" s="81" t="s">
        <v>28583</v>
      </c>
      <c r="N74" s="81">
        <v>381.65000000000003</v>
      </c>
      <c r="Q74" s="80"/>
      <c r="R74" s="146"/>
      <c r="S74" s="103" t="str">
        <f t="shared" si="1"/>
        <v>94-017-01-</v>
      </c>
      <c r="V74" s="81">
        <v>12</v>
      </c>
    </row>
    <row r="75" spans="1:22" ht="15" customHeight="1" x14ac:dyDescent="0.2">
      <c r="A75" s="81" t="s">
        <v>28508</v>
      </c>
      <c r="B75" s="81" t="s">
        <v>28537</v>
      </c>
      <c r="C75" s="81" t="s">
        <v>49</v>
      </c>
      <c r="D75" s="81" t="s">
        <v>212</v>
      </c>
      <c r="E75" s="81" t="s">
        <v>28540</v>
      </c>
      <c r="F75" s="81" t="s">
        <v>91</v>
      </c>
      <c r="G75" s="81" t="s">
        <v>28540</v>
      </c>
      <c r="H75" s="81" t="s">
        <v>28556</v>
      </c>
      <c r="I75" s="81" t="s">
        <v>96</v>
      </c>
      <c r="J75" s="84" t="s">
        <v>28582</v>
      </c>
      <c r="K75" s="81" t="s">
        <v>25678</v>
      </c>
      <c r="L75" s="81" t="s">
        <v>25607</v>
      </c>
      <c r="M75" s="81" t="s">
        <v>28583</v>
      </c>
      <c r="N75" s="81">
        <v>381.65</v>
      </c>
      <c r="Q75" s="80"/>
      <c r="R75" s="146"/>
      <c r="S75" s="103" t="str">
        <f t="shared" si="1"/>
        <v>94-017-12-</v>
      </c>
      <c r="V75" s="81">
        <v>8</v>
      </c>
    </row>
    <row r="76" spans="1:22" ht="15" customHeight="1" x14ac:dyDescent="0.2">
      <c r="A76" s="81" t="s">
        <v>28509</v>
      </c>
      <c r="B76" s="81" t="s">
        <v>28537</v>
      </c>
      <c r="C76" s="81" t="s">
        <v>49</v>
      </c>
      <c r="D76" s="81" t="s">
        <v>212</v>
      </c>
      <c r="E76" s="81" t="s">
        <v>28540</v>
      </c>
      <c r="F76" s="81" t="s">
        <v>91</v>
      </c>
      <c r="G76" s="81" t="s">
        <v>28540</v>
      </c>
      <c r="H76" s="81" t="s">
        <v>28543</v>
      </c>
      <c r="I76" s="81" t="s">
        <v>23</v>
      </c>
      <c r="J76" s="84" t="s">
        <v>28582</v>
      </c>
      <c r="K76" s="81" t="s">
        <v>25678</v>
      </c>
      <c r="L76" s="81" t="s">
        <v>25607</v>
      </c>
      <c r="M76" s="81" t="s">
        <v>28583</v>
      </c>
      <c r="N76" s="81">
        <v>381.65</v>
      </c>
      <c r="Q76" s="80"/>
      <c r="R76" s="146"/>
      <c r="S76" s="103" t="str">
        <f t="shared" si="1"/>
        <v>94-017-16-</v>
      </c>
      <c r="V76" s="81">
        <v>8</v>
      </c>
    </row>
    <row r="77" spans="1:22" ht="15" customHeight="1" x14ac:dyDescent="0.2">
      <c r="A77" s="81" t="s">
        <v>28510</v>
      </c>
      <c r="B77" s="81" t="s">
        <v>28537</v>
      </c>
      <c r="C77" s="81" t="s">
        <v>49</v>
      </c>
      <c r="D77" s="81" t="s">
        <v>212</v>
      </c>
      <c r="E77" s="81" t="s">
        <v>28540</v>
      </c>
      <c r="F77" s="81" t="s">
        <v>91</v>
      </c>
      <c r="G77" s="81" t="s">
        <v>28540</v>
      </c>
      <c r="H77" s="81" t="s">
        <v>28572</v>
      </c>
      <c r="I77" s="81" t="s">
        <v>58</v>
      </c>
      <c r="J77" s="84" t="s">
        <v>28582</v>
      </c>
      <c r="K77" s="81" t="s">
        <v>25678</v>
      </c>
      <c r="L77" s="81" t="s">
        <v>25607</v>
      </c>
      <c r="M77" s="81" t="s">
        <v>28583</v>
      </c>
      <c r="N77" s="81">
        <v>381.65</v>
      </c>
      <c r="Q77" s="80"/>
      <c r="R77" s="146"/>
      <c r="S77" s="103" t="str">
        <f t="shared" si="1"/>
        <v>94-017-03-</v>
      </c>
      <c r="V77" s="81">
        <v>8</v>
      </c>
    </row>
    <row r="78" spans="1:22" ht="15" customHeight="1" x14ac:dyDescent="0.2">
      <c r="A78" s="81" t="s">
        <v>28511</v>
      </c>
      <c r="B78" s="81" t="s">
        <v>28537</v>
      </c>
      <c r="C78" s="81" t="s">
        <v>49</v>
      </c>
      <c r="D78" s="81" t="s">
        <v>212</v>
      </c>
      <c r="E78" s="81" t="s">
        <v>28540</v>
      </c>
      <c r="F78" s="81" t="s">
        <v>91</v>
      </c>
      <c r="G78" s="81" t="s">
        <v>28540</v>
      </c>
      <c r="H78" s="81" t="s">
        <v>28431</v>
      </c>
      <c r="I78" s="81" t="s">
        <v>141</v>
      </c>
      <c r="J78" s="84" t="s">
        <v>28582</v>
      </c>
      <c r="K78" s="81" t="s">
        <v>25678</v>
      </c>
      <c r="L78" s="81" t="s">
        <v>25607</v>
      </c>
      <c r="M78" s="81" t="s">
        <v>28583</v>
      </c>
      <c r="N78" s="81">
        <v>381.65</v>
      </c>
      <c r="Q78" s="80"/>
      <c r="R78" s="146"/>
      <c r="S78" s="103" t="str">
        <f t="shared" si="1"/>
        <v>94-017-18-</v>
      </c>
      <c r="V78" s="81">
        <v>4</v>
      </c>
    </row>
    <row r="79" spans="1:22" ht="15" customHeight="1" x14ac:dyDescent="0.2">
      <c r="A79" s="81" t="s">
        <v>28512</v>
      </c>
      <c r="B79" s="81" t="s">
        <v>28537</v>
      </c>
      <c r="C79" s="81" t="s">
        <v>49</v>
      </c>
      <c r="D79" s="81" t="s">
        <v>212</v>
      </c>
      <c r="E79" s="81" t="s">
        <v>28540</v>
      </c>
      <c r="F79" s="81" t="s">
        <v>91</v>
      </c>
      <c r="G79" s="81" t="s">
        <v>28540</v>
      </c>
      <c r="H79" s="81" t="s">
        <v>28544</v>
      </c>
      <c r="I79" s="81" t="s">
        <v>27</v>
      </c>
      <c r="J79" s="84" t="s">
        <v>28582</v>
      </c>
      <c r="K79" s="81" t="s">
        <v>25678</v>
      </c>
      <c r="L79" s="81" t="s">
        <v>25607</v>
      </c>
      <c r="M79" s="81" t="s">
        <v>28583</v>
      </c>
      <c r="N79" s="81">
        <v>381.65</v>
      </c>
      <c r="Q79" s="80"/>
      <c r="R79" s="146"/>
      <c r="S79" s="103" t="str">
        <f t="shared" si="1"/>
        <v>94-017-06-</v>
      </c>
      <c r="V79" s="81">
        <v>4</v>
      </c>
    </row>
    <row r="80" spans="1:22" ht="15" customHeight="1" x14ac:dyDescent="0.2">
      <c r="A80" s="81" t="s">
        <v>28513</v>
      </c>
      <c r="B80" s="81" t="s">
        <v>28537</v>
      </c>
      <c r="C80" s="81" t="s">
        <v>49</v>
      </c>
      <c r="D80" s="81" t="s">
        <v>212</v>
      </c>
      <c r="E80" s="81" t="s">
        <v>28540</v>
      </c>
      <c r="F80" s="81" t="s">
        <v>91</v>
      </c>
      <c r="G80" s="81" t="s">
        <v>28540</v>
      </c>
      <c r="H80" s="81" t="s">
        <v>28576</v>
      </c>
      <c r="I80" s="81" t="s">
        <v>29</v>
      </c>
      <c r="J80" s="84" t="s">
        <v>28582</v>
      </c>
      <c r="K80" s="81" t="s">
        <v>25678</v>
      </c>
      <c r="L80" s="81" t="s">
        <v>25607</v>
      </c>
      <c r="M80" s="81" t="s">
        <v>28583</v>
      </c>
      <c r="N80" s="81">
        <v>381.65</v>
      </c>
      <c r="Q80" s="80"/>
      <c r="R80" s="146"/>
      <c r="S80" s="103" t="str">
        <f t="shared" si="1"/>
        <v>94-017-02-</v>
      </c>
      <c r="V80" s="81">
        <v>4</v>
      </c>
    </row>
    <row r="81" spans="1:22" ht="15" customHeight="1" x14ac:dyDescent="0.2">
      <c r="A81" s="81" t="s">
        <v>28514</v>
      </c>
      <c r="B81" s="81" t="s">
        <v>28537</v>
      </c>
      <c r="C81" s="81" t="s">
        <v>49</v>
      </c>
      <c r="D81" s="81" t="s">
        <v>212</v>
      </c>
      <c r="E81" s="81" t="s">
        <v>28540</v>
      </c>
      <c r="F81" s="81" t="s">
        <v>91</v>
      </c>
      <c r="G81" s="81" t="s">
        <v>28540</v>
      </c>
      <c r="H81" s="81" t="s">
        <v>28559</v>
      </c>
      <c r="I81" s="81" t="s">
        <v>54</v>
      </c>
      <c r="J81" s="84" t="s">
        <v>28582</v>
      </c>
      <c r="K81" s="81" t="s">
        <v>25678</v>
      </c>
      <c r="L81" s="81" t="s">
        <v>25607</v>
      </c>
      <c r="M81" s="81" t="s">
        <v>28583</v>
      </c>
      <c r="N81" s="81">
        <v>381.65</v>
      </c>
      <c r="Q81" s="80"/>
      <c r="R81" s="146"/>
      <c r="S81" s="103" t="str">
        <f t="shared" si="1"/>
        <v>94-017-11-</v>
      </c>
      <c r="V81" s="81">
        <v>4</v>
      </c>
    </row>
    <row r="82" spans="1:22" ht="15" customHeight="1" x14ac:dyDescent="0.2">
      <c r="A82" s="81" t="s">
        <v>28515</v>
      </c>
      <c r="B82" s="81" t="s">
        <v>28538</v>
      </c>
      <c r="C82" s="81" t="s">
        <v>49</v>
      </c>
      <c r="D82" s="81" t="s">
        <v>25580</v>
      </c>
      <c r="E82" s="81" t="s">
        <v>28540</v>
      </c>
      <c r="F82" s="81" t="s">
        <v>91</v>
      </c>
      <c r="G82" s="81" t="s">
        <v>28540</v>
      </c>
      <c r="H82" s="81" t="s">
        <v>28546</v>
      </c>
      <c r="I82" s="81" t="s">
        <v>1</v>
      </c>
      <c r="J82" s="84" t="s">
        <v>28582</v>
      </c>
      <c r="K82" s="81" t="s">
        <v>25678</v>
      </c>
      <c r="L82" s="81" t="s">
        <v>25607</v>
      </c>
      <c r="M82" s="81" t="s">
        <v>28583</v>
      </c>
      <c r="N82" s="81">
        <v>408</v>
      </c>
      <c r="Q82" s="80"/>
      <c r="R82" s="146"/>
      <c r="S82" s="103" t="str">
        <f t="shared" si="1"/>
        <v>94-018-09-</v>
      </c>
      <c r="V82" s="81">
        <v>6</v>
      </c>
    </row>
    <row r="83" spans="1:22" ht="15" customHeight="1" x14ac:dyDescent="0.2">
      <c r="A83" s="81" t="s">
        <v>28516</v>
      </c>
      <c r="B83" s="81" t="s">
        <v>28538</v>
      </c>
      <c r="C83" s="81" t="s">
        <v>49</v>
      </c>
      <c r="D83" s="81" t="s">
        <v>25580</v>
      </c>
      <c r="E83" s="81" t="s">
        <v>28540</v>
      </c>
      <c r="F83" s="81" t="s">
        <v>91</v>
      </c>
      <c r="G83" s="81" t="s">
        <v>28540</v>
      </c>
      <c r="H83" s="81" t="s">
        <v>28541</v>
      </c>
      <c r="I83" s="81" t="s">
        <v>26</v>
      </c>
      <c r="J83" s="84" t="s">
        <v>28582</v>
      </c>
      <c r="K83" s="81" t="s">
        <v>25678</v>
      </c>
      <c r="L83" s="81" t="s">
        <v>25607</v>
      </c>
      <c r="M83" s="81" t="s">
        <v>28583</v>
      </c>
      <c r="N83" s="81">
        <v>408</v>
      </c>
      <c r="Q83" s="80"/>
      <c r="R83" s="146"/>
      <c r="S83" s="103" t="str">
        <f t="shared" si="1"/>
        <v>94-018-05-</v>
      </c>
      <c r="V83" s="81">
        <v>6</v>
      </c>
    </row>
    <row r="84" spans="1:22" ht="15" customHeight="1" x14ac:dyDescent="0.2">
      <c r="A84" s="81" t="s">
        <v>28517</v>
      </c>
      <c r="B84" s="81" t="s">
        <v>28538</v>
      </c>
      <c r="C84" s="81" t="s">
        <v>49</v>
      </c>
      <c r="D84" s="81" t="s">
        <v>25580</v>
      </c>
      <c r="E84" s="81" t="s">
        <v>28540</v>
      </c>
      <c r="F84" s="81" t="s">
        <v>91</v>
      </c>
      <c r="G84" s="81" t="s">
        <v>28540</v>
      </c>
      <c r="H84" s="81" t="s">
        <v>28542</v>
      </c>
      <c r="I84" s="81" t="s">
        <v>25472</v>
      </c>
      <c r="J84" s="84" t="s">
        <v>28582</v>
      </c>
      <c r="K84" s="81" t="s">
        <v>25678</v>
      </c>
      <c r="L84" s="81" t="s">
        <v>25607</v>
      </c>
      <c r="M84" s="81" t="s">
        <v>28583</v>
      </c>
      <c r="N84" s="81">
        <v>408</v>
      </c>
      <c r="Q84" s="80"/>
      <c r="R84" s="146"/>
      <c r="S84" s="103" t="str">
        <f t="shared" si="1"/>
        <v>94-018-01-</v>
      </c>
      <c r="V84" s="81">
        <v>4</v>
      </c>
    </row>
    <row r="85" spans="1:22" ht="15" customHeight="1" x14ac:dyDescent="0.2">
      <c r="A85" s="81" t="s">
        <v>28518</v>
      </c>
      <c r="B85" s="81" t="s">
        <v>28538</v>
      </c>
      <c r="C85" s="81" t="s">
        <v>49</v>
      </c>
      <c r="D85" s="81" t="s">
        <v>25580</v>
      </c>
      <c r="E85" s="81" t="s">
        <v>28540</v>
      </c>
      <c r="F85" s="81" t="s">
        <v>91</v>
      </c>
      <c r="G85" s="81" t="s">
        <v>28540</v>
      </c>
      <c r="H85" s="81" t="s">
        <v>28543</v>
      </c>
      <c r="I85" s="81" t="s">
        <v>23</v>
      </c>
      <c r="J85" s="84" t="s">
        <v>28582</v>
      </c>
      <c r="K85" s="81" t="s">
        <v>25678</v>
      </c>
      <c r="L85" s="81" t="s">
        <v>25607</v>
      </c>
      <c r="M85" s="81" t="s">
        <v>28583</v>
      </c>
      <c r="N85" s="81">
        <v>408</v>
      </c>
      <c r="Q85" s="80"/>
      <c r="R85" s="146"/>
      <c r="S85" s="103" t="str">
        <f t="shared" si="1"/>
        <v>94-018-16-</v>
      </c>
      <c r="V85" s="81">
        <v>3</v>
      </c>
    </row>
    <row r="86" spans="1:22" ht="15" customHeight="1" x14ac:dyDescent="0.2">
      <c r="A86" s="81" t="s">
        <v>28519</v>
      </c>
      <c r="B86" s="81" t="s">
        <v>28538</v>
      </c>
      <c r="C86" s="81" t="s">
        <v>49</v>
      </c>
      <c r="D86" s="81" t="s">
        <v>25580</v>
      </c>
      <c r="E86" s="81" t="s">
        <v>28540</v>
      </c>
      <c r="F86" s="81" t="s">
        <v>91</v>
      </c>
      <c r="G86" s="81" t="s">
        <v>28540</v>
      </c>
      <c r="H86" s="81" t="s">
        <v>28431</v>
      </c>
      <c r="I86" s="81" t="s">
        <v>141</v>
      </c>
      <c r="J86" s="84" t="s">
        <v>28582</v>
      </c>
      <c r="K86" s="81" t="s">
        <v>25678</v>
      </c>
      <c r="L86" s="81" t="s">
        <v>25607</v>
      </c>
      <c r="M86" s="81" t="s">
        <v>28583</v>
      </c>
      <c r="N86" s="81">
        <v>408</v>
      </c>
      <c r="Q86" s="80"/>
      <c r="R86" s="146"/>
      <c r="S86" s="103" t="str">
        <f t="shared" si="1"/>
        <v>94-018-18-</v>
      </c>
      <c r="V86" s="81">
        <v>2</v>
      </c>
    </row>
    <row r="87" spans="1:22" ht="15" customHeight="1" x14ac:dyDescent="0.2">
      <c r="A87" s="81" t="s">
        <v>28520</v>
      </c>
      <c r="B87" s="81" t="s">
        <v>28538</v>
      </c>
      <c r="C87" s="81" t="s">
        <v>49</v>
      </c>
      <c r="D87" s="81" t="s">
        <v>25580</v>
      </c>
      <c r="E87" s="81" t="s">
        <v>28540</v>
      </c>
      <c r="F87" s="81" t="s">
        <v>91</v>
      </c>
      <c r="G87" s="81" t="s">
        <v>28540</v>
      </c>
      <c r="H87" s="81" t="s">
        <v>28544</v>
      </c>
      <c r="I87" s="81" t="s">
        <v>27</v>
      </c>
      <c r="J87" s="84" t="s">
        <v>28582</v>
      </c>
      <c r="K87" s="81" t="s">
        <v>25678</v>
      </c>
      <c r="L87" s="81" t="s">
        <v>25607</v>
      </c>
      <c r="M87" s="81" t="s">
        <v>28583</v>
      </c>
      <c r="N87" s="81">
        <v>408</v>
      </c>
      <c r="Q87" s="80"/>
      <c r="R87" s="146"/>
      <c r="S87" s="103" t="str">
        <f t="shared" si="1"/>
        <v>94-018-06-</v>
      </c>
      <c r="V87" s="81">
        <v>2</v>
      </c>
    </row>
    <row r="88" spans="1:22" ht="15" customHeight="1" x14ac:dyDescent="0.2">
      <c r="Q88" s="80"/>
      <c r="R88" s="146"/>
    </row>
    <row r="89" spans="1:22" ht="15" customHeight="1" x14ac:dyDescent="0.2">
      <c r="Q89" s="80"/>
      <c r="R89" s="146"/>
    </row>
    <row r="90" spans="1:22" ht="15" customHeight="1" x14ac:dyDescent="0.2">
      <c r="Q90" s="80"/>
      <c r="R90" s="146"/>
    </row>
    <row r="91" spans="1:22" ht="15" customHeight="1" x14ac:dyDescent="0.2">
      <c r="Q91" s="80"/>
      <c r="R91" s="146"/>
    </row>
    <row r="92" spans="1:22" ht="15" customHeight="1" x14ac:dyDescent="0.2">
      <c r="Q92" s="80"/>
      <c r="R92" s="146"/>
    </row>
    <row r="93" spans="1:22" ht="15" customHeight="1" x14ac:dyDescent="0.2">
      <c r="Q93" s="80"/>
      <c r="R93" s="146"/>
    </row>
    <row r="94" spans="1:22" ht="15" customHeight="1" x14ac:dyDescent="0.2">
      <c r="Q94" s="80"/>
      <c r="R94" s="146"/>
    </row>
    <row r="95" spans="1:22" ht="15" customHeight="1" x14ac:dyDescent="0.2">
      <c r="Q95" s="80"/>
      <c r="R95" s="146"/>
    </row>
    <row r="96" spans="1:22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25683</v>
      </c>
      <c r="F2" t="s">
        <v>25607</v>
      </c>
      <c r="G2" s="1" t="s">
        <v>25588</v>
      </c>
      <c r="H2">
        <v>62</v>
      </c>
      <c r="I2" t="s">
        <v>215</v>
      </c>
      <c r="J2" s="1" t="s">
        <v>91</v>
      </c>
      <c r="K2" t="s">
        <v>27402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25607</v>
      </c>
      <c r="G3" t="s">
        <v>27542</v>
      </c>
      <c r="H3">
        <v>32</v>
      </c>
      <c r="I3" t="s">
        <v>28</v>
      </c>
      <c r="J3" s="1" t="s">
        <v>91</v>
      </c>
      <c r="K3" t="s">
        <v>27403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27414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25607</v>
      </c>
      <c r="G4" t="s">
        <v>27542</v>
      </c>
      <c r="H4">
        <v>32</v>
      </c>
      <c r="I4" t="s">
        <v>28</v>
      </c>
      <c r="J4" s="1" t="s">
        <v>91</v>
      </c>
      <c r="K4" t="s">
        <v>27403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25607</v>
      </c>
      <c r="G5" t="s">
        <v>27542</v>
      </c>
      <c r="H5">
        <v>32</v>
      </c>
      <c r="I5" t="s">
        <v>28</v>
      </c>
      <c r="J5" s="1" t="s">
        <v>91</v>
      </c>
      <c r="K5" t="s">
        <v>27403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25607</v>
      </c>
      <c r="G6" t="s">
        <v>27542</v>
      </c>
      <c r="H6">
        <v>32</v>
      </c>
      <c r="I6" t="s">
        <v>28</v>
      </c>
      <c r="J6" s="1" t="s">
        <v>91</v>
      </c>
      <c r="K6" s="1" t="s">
        <v>27403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25607</v>
      </c>
      <c r="G7" s="1" t="s">
        <v>25602</v>
      </c>
      <c r="H7">
        <v>1</v>
      </c>
      <c r="I7" s="1" t="s">
        <v>1</v>
      </c>
      <c r="J7" s="1" t="s">
        <v>91</v>
      </c>
      <c r="K7" t="s">
        <v>27404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25607</v>
      </c>
      <c r="G8" s="1" t="s">
        <v>25602</v>
      </c>
      <c r="H8" s="1">
        <v>1</v>
      </c>
      <c r="I8" t="s">
        <v>1</v>
      </c>
      <c r="J8" s="1" t="s">
        <v>91</v>
      </c>
      <c r="K8" t="s">
        <v>27404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25607</v>
      </c>
      <c r="G9" s="1" t="s">
        <v>25602</v>
      </c>
      <c r="H9">
        <v>1</v>
      </c>
      <c r="I9" t="s">
        <v>1</v>
      </c>
      <c r="J9" s="1" t="s">
        <v>91</v>
      </c>
      <c r="K9" t="s">
        <v>27404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25607</v>
      </c>
      <c r="G10" s="1" t="s">
        <v>25602</v>
      </c>
      <c r="H10">
        <v>1</v>
      </c>
      <c r="I10" s="54" t="s">
        <v>1</v>
      </c>
      <c r="J10" s="1" t="s">
        <v>91</v>
      </c>
      <c r="K10" t="s">
        <v>27404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27420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25607</v>
      </c>
      <c r="G11" s="1" t="s">
        <v>25602</v>
      </c>
      <c r="H11">
        <v>6</v>
      </c>
      <c r="I11" t="s">
        <v>22</v>
      </c>
      <c r="J11" s="1" t="s">
        <v>91</v>
      </c>
      <c r="K11" t="s">
        <v>27404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25607</v>
      </c>
      <c r="G12" s="1" t="s">
        <v>25602</v>
      </c>
      <c r="H12">
        <v>6</v>
      </c>
      <c r="I12" t="s">
        <v>22</v>
      </c>
      <c r="J12" s="1" t="s">
        <v>91</v>
      </c>
      <c r="K12" t="s">
        <v>27404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25607</v>
      </c>
      <c r="G13" s="1" t="s">
        <v>25602</v>
      </c>
      <c r="H13">
        <v>6</v>
      </c>
      <c r="I13" t="s">
        <v>22</v>
      </c>
      <c r="J13" s="1" t="s">
        <v>91</v>
      </c>
      <c r="K13" t="s">
        <v>27404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25607</v>
      </c>
      <c r="G14" s="1" t="s">
        <v>25602</v>
      </c>
      <c r="H14">
        <v>21</v>
      </c>
      <c r="I14" t="s">
        <v>27</v>
      </c>
      <c r="J14" s="1" t="s">
        <v>91</v>
      </c>
      <c r="K14" t="s">
        <v>27404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25607</v>
      </c>
      <c r="G15" s="1" t="s">
        <v>25602</v>
      </c>
      <c r="H15">
        <v>21</v>
      </c>
      <c r="I15" t="s">
        <v>27</v>
      </c>
      <c r="J15" s="1" t="s">
        <v>91</v>
      </c>
      <c r="K15" t="s">
        <v>27404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25607</v>
      </c>
      <c r="G16" s="1" t="s">
        <v>25602</v>
      </c>
      <c r="H16">
        <v>21</v>
      </c>
      <c r="I16" t="s">
        <v>27</v>
      </c>
      <c r="J16" s="1" t="s">
        <v>91</v>
      </c>
      <c r="K16" t="s">
        <v>27404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25607</v>
      </c>
      <c r="G17" s="1" t="s">
        <v>25602</v>
      </c>
      <c r="H17">
        <v>21</v>
      </c>
      <c r="I17" t="s">
        <v>27</v>
      </c>
      <c r="J17" s="1" t="s">
        <v>91</v>
      </c>
      <c r="K17" t="s">
        <v>27404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25607</v>
      </c>
      <c r="G18" s="1" t="s">
        <v>25602</v>
      </c>
      <c r="H18">
        <v>32</v>
      </c>
      <c r="I18" t="s">
        <v>26</v>
      </c>
      <c r="J18" s="1" t="s">
        <v>91</v>
      </c>
      <c r="K18" t="s">
        <v>27404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25607</v>
      </c>
      <c r="G19" s="1" t="s">
        <v>25602</v>
      </c>
      <c r="H19">
        <v>32</v>
      </c>
      <c r="I19" t="s">
        <v>26</v>
      </c>
      <c r="J19" s="1" t="s">
        <v>91</v>
      </c>
      <c r="K19" t="s">
        <v>27404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25607</v>
      </c>
      <c r="G20" s="1" t="s">
        <v>25602</v>
      </c>
      <c r="H20">
        <v>32</v>
      </c>
      <c r="I20" t="s">
        <v>26</v>
      </c>
      <c r="J20" s="1" t="s">
        <v>91</v>
      </c>
      <c r="K20" t="s">
        <v>27404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27430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25607</v>
      </c>
      <c r="G21" s="1" t="s">
        <v>25602</v>
      </c>
      <c r="H21">
        <v>32</v>
      </c>
      <c r="I21" t="s">
        <v>26</v>
      </c>
      <c r="J21" s="1" t="s">
        <v>91</v>
      </c>
      <c r="K21" t="s">
        <v>27404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25607</v>
      </c>
      <c r="G22" t="s">
        <v>27543</v>
      </c>
      <c r="H22">
        <v>221</v>
      </c>
      <c r="I22" t="s">
        <v>27</v>
      </c>
      <c r="J22" s="1" t="s">
        <v>91</v>
      </c>
      <c r="K22" t="s">
        <v>27403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25607</v>
      </c>
      <c r="G23" t="s">
        <v>27543</v>
      </c>
      <c r="H23">
        <v>221</v>
      </c>
      <c r="I23" t="s">
        <v>27</v>
      </c>
      <c r="J23" s="1" t="s">
        <v>91</v>
      </c>
      <c r="K23" t="s">
        <v>27403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25607</v>
      </c>
      <c r="G24" t="s">
        <v>27543</v>
      </c>
      <c r="H24">
        <v>221</v>
      </c>
      <c r="I24" t="s">
        <v>27</v>
      </c>
      <c r="J24" s="1" t="s">
        <v>91</v>
      </c>
      <c r="K24" t="s">
        <v>27403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25607</v>
      </c>
      <c r="G25" t="s">
        <v>27543</v>
      </c>
      <c r="H25">
        <v>261</v>
      </c>
      <c r="I25" t="s">
        <v>25423</v>
      </c>
      <c r="J25" s="1" t="s">
        <v>91</v>
      </c>
      <c r="K25" t="s">
        <v>27403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25607</v>
      </c>
      <c r="G26" t="s">
        <v>25598</v>
      </c>
      <c r="H26">
        <v>331</v>
      </c>
      <c r="I26" t="s">
        <v>26</v>
      </c>
      <c r="J26" s="1" t="s">
        <v>91</v>
      </c>
      <c r="K26" t="s">
        <v>27405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25607</v>
      </c>
      <c r="G27" t="s">
        <v>25598</v>
      </c>
      <c r="H27">
        <v>331</v>
      </c>
      <c r="I27" t="s">
        <v>26</v>
      </c>
      <c r="J27" s="1" t="s">
        <v>91</v>
      </c>
      <c r="K27" t="s">
        <v>27405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25607</v>
      </c>
      <c r="G28" t="s">
        <v>25598</v>
      </c>
      <c r="H28">
        <v>331</v>
      </c>
      <c r="I28" t="s">
        <v>26</v>
      </c>
      <c r="J28" s="1" t="s">
        <v>91</v>
      </c>
      <c r="K28" t="s">
        <v>27405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25607</v>
      </c>
      <c r="G29" t="s">
        <v>25598</v>
      </c>
      <c r="H29">
        <v>331</v>
      </c>
      <c r="I29" t="s">
        <v>26</v>
      </c>
      <c r="J29" s="1" t="s">
        <v>91</v>
      </c>
      <c r="K29" t="s">
        <v>27405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25607</v>
      </c>
      <c r="G30" t="s">
        <v>25592</v>
      </c>
      <c r="H30">
        <v>333</v>
      </c>
      <c r="I30" t="s">
        <v>28</v>
      </c>
      <c r="J30" s="1" t="s">
        <v>91</v>
      </c>
      <c r="K30" t="s">
        <v>27403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27440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25607</v>
      </c>
      <c r="G31" t="s">
        <v>25592</v>
      </c>
      <c r="H31">
        <v>333</v>
      </c>
      <c r="I31" t="s">
        <v>28</v>
      </c>
      <c r="J31" s="1" t="s">
        <v>91</v>
      </c>
      <c r="K31" t="s">
        <v>27403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27441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25607</v>
      </c>
      <c r="G32" t="s">
        <v>25592</v>
      </c>
      <c r="H32">
        <v>333</v>
      </c>
      <c r="I32" t="s">
        <v>28</v>
      </c>
      <c r="J32" s="1" t="s">
        <v>91</v>
      </c>
      <c r="K32" t="s">
        <v>27403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27442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25607</v>
      </c>
      <c r="G33" t="s">
        <v>25592</v>
      </c>
      <c r="H33">
        <v>333</v>
      </c>
      <c r="I33" t="s">
        <v>28</v>
      </c>
      <c r="J33" s="1" t="s">
        <v>91</v>
      </c>
      <c r="K33" t="s">
        <v>27403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27443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25607</v>
      </c>
      <c r="G34" t="s">
        <v>25592</v>
      </c>
      <c r="H34">
        <v>333</v>
      </c>
      <c r="I34" t="s">
        <v>28</v>
      </c>
      <c r="J34" s="1" t="s">
        <v>91</v>
      </c>
      <c r="K34" t="s">
        <v>27403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27444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25607</v>
      </c>
      <c r="G35" t="s">
        <v>25592</v>
      </c>
      <c r="H35">
        <v>351</v>
      </c>
      <c r="I35" s="1" t="s">
        <v>35</v>
      </c>
      <c r="J35" s="1" t="s">
        <v>91</v>
      </c>
      <c r="K35" t="s">
        <v>27403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25607</v>
      </c>
      <c r="G36" t="s">
        <v>25592</v>
      </c>
      <c r="H36">
        <v>351</v>
      </c>
      <c r="I36" s="1" t="s">
        <v>35</v>
      </c>
      <c r="J36" s="1" t="s">
        <v>91</v>
      </c>
      <c r="K36" t="s">
        <v>27403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25607</v>
      </c>
      <c r="G37" t="s">
        <v>25592</v>
      </c>
      <c r="H37">
        <v>351</v>
      </c>
      <c r="I37" s="1" t="s">
        <v>35</v>
      </c>
      <c r="J37" s="1" t="s">
        <v>91</v>
      </c>
      <c r="K37" t="s">
        <v>27403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25607</v>
      </c>
      <c r="G38" t="s">
        <v>25592</v>
      </c>
      <c r="H38">
        <v>351</v>
      </c>
      <c r="I38" s="1" t="s">
        <v>35</v>
      </c>
      <c r="J38" s="1" t="s">
        <v>91</v>
      </c>
      <c r="K38" t="s">
        <v>27403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25607</v>
      </c>
      <c r="G39" t="s">
        <v>25592</v>
      </c>
      <c r="H39">
        <v>351</v>
      </c>
      <c r="I39" s="1" t="s">
        <v>35</v>
      </c>
      <c r="J39" s="1" t="s">
        <v>91</v>
      </c>
      <c r="K39" t="s">
        <v>27403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25687</v>
      </c>
      <c r="F40" t="s">
        <v>25607</v>
      </c>
      <c r="G40" t="s">
        <v>27544</v>
      </c>
      <c r="H40">
        <v>6</v>
      </c>
      <c r="I40" s="1" t="s">
        <v>22</v>
      </c>
      <c r="J40" s="1" t="s">
        <v>91</v>
      </c>
      <c r="K40" t="s">
        <v>27406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25687</v>
      </c>
      <c r="F41" t="s">
        <v>25607</v>
      </c>
      <c r="G41" t="s">
        <v>27545</v>
      </c>
      <c r="H41">
        <v>63</v>
      </c>
      <c r="I41" s="1" t="s">
        <v>25423</v>
      </c>
      <c r="J41" s="1" t="s">
        <v>91</v>
      </c>
      <c r="K41" t="s">
        <v>27406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27450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25687</v>
      </c>
      <c r="F42" t="s">
        <v>25607</v>
      </c>
      <c r="G42" t="s">
        <v>27546</v>
      </c>
      <c r="H42">
        <v>3</v>
      </c>
      <c r="I42" s="1" t="s">
        <v>28</v>
      </c>
      <c r="J42" s="1" t="s">
        <v>91</v>
      </c>
      <c r="K42" t="s">
        <v>27407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25687</v>
      </c>
      <c r="F43" t="s">
        <v>25607</v>
      </c>
      <c r="G43" t="s">
        <v>27546</v>
      </c>
      <c r="H43">
        <v>5</v>
      </c>
      <c r="I43" s="1" t="s">
        <v>58</v>
      </c>
      <c r="J43" s="1" t="s">
        <v>91</v>
      </c>
      <c r="K43" t="s">
        <v>27407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25607</v>
      </c>
      <c r="G44" t="s">
        <v>25590</v>
      </c>
      <c r="H44">
        <v>321</v>
      </c>
      <c r="I44" s="1" t="s">
        <v>130</v>
      </c>
      <c r="J44" s="1" t="s">
        <v>91</v>
      </c>
      <c r="K44" t="s">
        <v>27405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25607</v>
      </c>
      <c r="G45" t="s">
        <v>25590</v>
      </c>
      <c r="H45">
        <v>321</v>
      </c>
      <c r="I45" s="1" t="s">
        <v>130</v>
      </c>
      <c r="J45" s="1" t="s">
        <v>91</v>
      </c>
      <c r="K45" t="s">
        <v>27405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25607</v>
      </c>
      <c r="G46" t="s">
        <v>25590</v>
      </c>
      <c r="H46">
        <v>321</v>
      </c>
      <c r="I46" s="1" t="s">
        <v>130</v>
      </c>
      <c r="J46" s="1" t="s">
        <v>91</v>
      </c>
      <c r="K46" t="s">
        <v>27405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25607</v>
      </c>
      <c r="G47" t="s">
        <v>25590</v>
      </c>
      <c r="H47">
        <v>331</v>
      </c>
      <c r="I47" s="1" t="s">
        <v>26</v>
      </c>
      <c r="J47" s="1" t="s">
        <v>91</v>
      </c>
      <c r="K47" t="s">
        <v>27405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25607</v>
      </c>
      <c r="G48" t="s">
        <v>25590</v>
      </c>
      <c r="H48">
        <v>331</v>
      </c>
      <c r="I48" t="s">
        <v>26</v>
      </c>
      <c r="J48" s="1" t="s">
        <v>91</v>
      </c>
      <c r="K48" s="1" t="s">
        <v>27405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25607</v>
      </c>
      <c r="G49" t="s">
        <v>25590</v>
      </c>
      <c r="H49">
        <v>331</v>
      </c>
      <c r="I49" t="s">
        <v>26</v>
      </c>
      <c r="J49" s="1" t="s">
        <v>91</v>
      </c>
      <c r="K49" t="s">
        <v>27405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25607</v>
      </c>
      <c r="G50" t="s">
        <v>25590</v>
      </c>
      <c r="H50">
        <v>331</v>
      </c>
      <c r="I50" t="s">
        <v>26</v>
      </c>
      <c r="J50" s="1" t="s">
        <v>91</v>
      </c>
      <c r="K50" t="s">
        <v>27405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25607</v>
      </c>
      <c r="G51" t="s">
        <v>25590</v>
      </c>
      <c r="H51">
        <v>331</v>
      </c>
      <c r="I51" t="s">
        <v>26</v>
      </c>
      <c r="J51" s="1" t="s">
        <v>91</v>
      </c>
      <c r="K51" t="s">
        <v>27405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25607</v>
      </c>
      <c r="G52" t="s">
        <v>25590</v>
      </c>
      <c r="H52">
        <v>331</v>
      </c>
      <c r="I52" t="s">
        <v>26</v>
      </c>
      <c r="J52" s="1" t="s">
        <v>91</v>
      </c>
      <c r="K52" t="s">
        <v>27405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25607</v>
      </c>
      <c r="G53" t="s">
        <v>25590</v>
      </c>
      <c r="H53">
        <v>331</v>
      </c>
      <c r="I53" t="s">
        <v>26</v>
      </c>
      <c r="J53" s="1" t="s">
        <v>91</v>
      </c>
      <c r="K53" t="s">
        <v>27405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27460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25607</v>
      </c>
      <c r="G54" t="s">
        <v>25590</v>
      </c>
      <c r="H54">
        <v>331</v>
      </c>
      <c r="I54" t="s">
        <v>26</v>
      </c>
      <c r="J54" s="1" t="s">
        <v>91</v>
      </c>
      <c r="K54" t="s">
        <v>27405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25607</v>
      </c>
      <c r="G55" t="s">
        <v>27547</v>
      </c>
      <c r="H55">
        <v>261</v>
      </c>
      <c r="I55" t="s">
        <v>25480</v>
      </c>
      <c r="J55" s="1" t="s">
        <v>91</v>
      </c>
      <c r="K55" t="s">
        <v>27403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25607</v>
      </c>
      <c r="G56" t="s">
        <v>27547</v>
      </c>
      <c r="H56">
        <v>261</v>
      </c>
      <c r="I56" t="s">
        <v>25480</v>
      </c>
      <c r="J56" s="1" t="s">
        <v>91</v>
      </c>
      <c r="K56" t="s">
        <v>27403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25607</v>
      </c>
      <c r="G57" t="s">
        <v>27547</v>
      </c>
      <c r="H57">
        <v>261</v>
      </c>
      <c r="I57" t="s">
        <v>25480</v>
      </c>
      <c r="J57" s="1" t="s">
        <v>91</v>
      </c>
      <c r="K57" t="s">
        <v>27403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25607</v>
      </c>
      <c r="G58" t="s">
        <v>27547</v>
      </c>
      <c r="H58">
        <v>261</v>
      </c>
      <c r="I58" t="s">
        <v>25480</v>
      </c>
      <c r="J58" s="1" t="s">
        <v>91</v>
      </c>
      <c r="K58" t="s">
        <v>27403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25607</v>
      </c>
      <c r="G59" t="s">
        <v>25591</v>
      </c>
      <c r="H59">
        <v>321</v>
      </c>
      <c r="I59" t="s">
        <v>23</v>
      </c>
      <c r="J59" s="1" t="s">
        <v>91</v>
      </c>
      <c r="K59" t="s">
        <v>27405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25607</v>
      </c>
      <c r="G60" t="s">
        <v>25591</v>
      </c>
      <c r="H60">
        <v>321</v>
      </c>
      <c r="I60" t="s">
        <v>23</v>
      </c>
      <c r="J60" s="1" t="s">
        <v>91</v>
      </c>
      <c r="K60" t="s">
        <v>27405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25607</v>
      </c>
      <c r="G61" t="s">
        <v>25591</v>
      </c>
      <c r="H61">
        <v>321</v>
      </c>
      <c r="I61" t="s">
        <v>23</v>
      </c>
      <c r="J61" s="1" t="s">
        <v>91</v>
      </c>
      <c r="K61" s="1" t="s">
        <v>27405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25607</v>
      </c>
      <c r="G62" t="s">
        <v>25591</v>
      </c>
      <c r="H62">
        <v>321</v>
      </c>
      <c r="I62" t="s">
        <v>23</v>
      </c>
      <c r="J62" s="1" t="s">
        <v>91</v>
      </c>
      <c r="K62" t="s">
        <v>27405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25607</v>
      </c>
      <c r="G63" t="s">
        <v>25591</v>
      </c>
      <c r="H63">
        <v>321</v>
      </c>
      <c r="I63" t="s">
        <v>23</v>
      </c>
      <c r="J63" s="1" t="s">
        <v>91</v>
      </c>
      <c r="K63" t="s">
        <v>27405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25607</v>
      </c>
      <c r="G64" t="s">
        <v>25591</v>
      </c>
      <c r="H64">
        <v>321</v>
      </c>
      <c r="I64" s="1" t="s">
        <v>23</v>
      </c>
      <c r="J64" s="1" t="s">
        <v>91</v>
      </c>
      <c r="K64" t="s">
        <v>27405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25607</v>
      </c>
      <c r="G65" t="s">
        <v>25591</v>
      </c>
      <c r="H65">
        <v>321</v>
      </c>
      <c r="I65" t="s">
        <v>23</v>
      </c>
      <c r="J65" s="1" t="s">
        <v>91</v>
      </c>
      <c r="K65" t="s">
        <v>27405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25607</v>
      </c>
      <c r="G66" t="s">
        <v>25591</v>
      </c>
      <c r="H66">
        <v>321</v>
      </c>
      <c r="I66" t="s">
        <v>23</v>
      </c>
      <c r="J66" s="1" t="s">
        <v>91</v>
      </c>
      <c r="K66" t="s">
        <v>27405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25607</v>
      </c>
      <c r="G67" t="s">
        <v>25591</v>
      </c>
      <c r="H67">
        <v>331</v>
      </c>
      <c r="I67" s="1" t="s">
        <v>26</v>
      </c>
      <c r="J67" s="1" t="s">
        <v>91</v>
      </c>
      <c r="K67" t="s">
        <v>27405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27470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25607</v>
      </c>
      <c r="G68" t="s">
        <v>25591</v>
      </c>
      <c r="H68">
        <v>331</v>
      </c>
      <c r="I68" s="1" t="s">
        <v>26</v>
      </c>
      <c r="J68" s="1" t="s">
        <v>91</v>
      </c>
      <c r="K68" t="s">
        <v>27405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25607</v>
      </c>
      <c r="G69" t="s">
        <v>25591</v>
      </c>
      <c r="H69">
        <v>331</v>
      </c>
      <c r="I69" s="1" t="s">
        <v>26</v>
      </c>
      <c r="J69" s="1" t="s">
        <v>91</v>
      </c>
      <c r="K69" t="s">
        <v>27405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25607</v>
      </c>
      <c r="G70" t="s">
        <v>25591</v>
      </c>
      <c r="H70">
        <v>331</v>
      </c>
      <c r="I70" s="1" t="s">
        <v>26</v>
      </c>
      <c r="J70" s="1" t="s">
        <v>91</v>
      </c>
      <c r="K70" t="s">
        <v>27405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25607</v>
      </c>
      <c r="G71" t="s">
        <v>25591</v>
      </c>
      <c r="H71">
        <v>371</v>
      </c>
      <c r="I71" t="s">
        <v>22</v>
      </c>
      <c r="J71" s="1" t="s">
        <v>91</v>
      </c>
      <c r="K71" t="s">
        <v>27405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25607</v>
      </c>
      <c r="G72" t="s">
        <v>25591</v>
      </c>
      <c r="H72">
        <v>371</v>
      </c>
      <c r="I72" t="s">
        <v>22</v>
      </c>
      <c r="J72" s="1" t="s">
        <v>91</v>
      </c>
      <c r="K72" t="s">
        <v>27405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25607</v>
      </c>
      <c r="G73" t="s">
        <v>25591</v>
      </c>
      <c r="H73">
        <v>371</v>
      </c>
      <c r="I73" t="s">
        <v>22</v>
      </c>
      <c r="J73" s="1" t="s">
        <v>91</v>
      </c>
      <c r="K73" t="s">
        <v>27405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25607</v>
      </c>
      <c r="G74" t="s">
        <v>25591</v>
      </c>
      <c r="H74">
        <v>371</v>
      </c>
      <c r="I74" t="s">
        <v>22</v>
      </c>
      <c r="J74" s="1" t="s">
        <v>91</v>
      </c>
      <c r="K74" t="s">
        <v>27405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25607</v>
      </c>
      <c r="G75" t="s">
        <v>25593</v>
      </c>
      <c r="H75">
        <v>1</v>
      </c>
      <c r="I75" t="s">
        <v>1</v>
      </c>
      <c r="J75" s="1" t="s">
        <v>91</v>
      </c>
      <c r="K75" s="1" t="s">
        <v>27404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25607</v>
      </c>
      <c r="G76" t="s">
        <v>25593</v>
      </c>
      <c r="H76">
        <v>1</v>
      </c>
      <c r="I76" t="s">
        <v>1</v>
      </c>
      <c r="J76" s="1" t="s">
        <v>91</v>
      </c>
      <c r="K76" t="s">
        <v>27404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25607</v>
      </c>
      <c r="G77" t="s">
        <v>25593</v>
      </c>
      <c r="H77">
        <v>1</v>
      </c>
      <c r="I77" t="s">
        <v>1</v>
      </c>
      <c r="J77" s="1" t="s">
        <v>91</v>
      </c>
      <c r="K77" t="s">
        <v>27404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27480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25607</v>
      </c>
      <c r="G78" t="s">
        <v>25593</v>
      </c>
      <c r="H78">
        <v>1</v>
      </c>
      <c r="I78" s="1" t="s">
        <v>1</v>
      </c>
      <c r="J78" s="1" t="s">
        <v>91</v>
      </c>
      <c r="K78" t="s">
        <v>27404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25607</v>
      </c>
      <c r="G79" t="s">
        <v>25593</v>
      </c>
      <c r="H79">
        <v>1</v>
      </c>
      <c r="I79" t="s">
        <v>1</v>
      </c>
      <c r="J79" s="1" t="s">
        <v>91</v>
      </c>
      <c r="K79" s="1" t="s">
        <v>27404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25607</v>
      </c>
      <c r="G80" t="s">
        <v>25593</v>
      </c>
      <c r="H80">
        <v>21</v>
      </c>
      <c r="I80" s="1" t="s">
        <v>27</v>
      </c>
      <c r="J80" s="1" t="s">
        <v>91</v>
      </c>
      <c r="K80" t="s">
        <v>27404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25607</v>
      </c>
      <c r="G81" t="s">
        <v>25593</v>
      </c>
      <c r="H81">
        <v>21</v>
      </c>
      <c r="I81" s="1" t="s">
        <v>27</v>
      </c>
      <c r="J81" s="1" t="s">
        <v>91</v>
      </c>
      <c r="K81" t="s">
        <v>27404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25607</v>
      </c>
      <c r="G82" t="s">
        <v>25593</v>
      </c>
      <c r="H82">
        <v>21</v>
      </c>
      <c r="I82" s="1" t="s">
        <v>27</v>
      </c>
      <c r="J82" s="1" t="s">
        <v>91</v>
      </c>
      <c r="K82" t="s">
        <v>27404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25607</v>
      </c>
      <c r="G83" t="s">
        <v>25593</v>
      </c>
      <c r="H83">
        <v>21</v>
      </c>
      <c r="I83" s="1" t="s">
        <v>27</v>
      </c>
      <c r="J83" s="1" t="s">
        <v>91</v>
      </c>
      <c r="K83" t="s">
        <v>27404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25607</v>
      </c>
      <c r="G84" t="s">
        <v>25593</v>
      </c>
      <c r="H84">
        <v>21</v>
      </c>
      <c r="I84" s="1" t="s">
        <v>27</v>
      </c>
      <c r="J84" s="1" t="s">
        <v>91</v>
      </c>
      <c r="K84" t="s">
        <v>27404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25607</v>
      </c>
      <c r="G85" t="s">
        <v>25593</v>
      </c>
      <c r="H85" s="1">
        <v>32</v>
      </c>
      <c r="I85" s="1" t="s">
        <v>26</v>
      </c>
      <c r="J85" s="1" t="s">
        <v>91</v>
      </c>
      <c r="K85" t="s">
        <v>27404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25607</v>
      </c>
      <c r="G86" t="s">
        <v>25593</v>
      </c>
      <c r="H86">
        <v>32</v>
      </c>
      <c r="I86" t="s">
        <v>26</v>
      </c>
      <c r="J86" s="1" t="s">
        <v>91</v>
      </c>
      <c r="K86" t="s">
        <v>27404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25607</v>
      </c>
      <c r="G87" t="s">
        <v>25593</v>
      </c>
      <c r="H87">
        <v>32</v>
      </c>
      <c r="I87" t="s">
        <v>26</v>
      </c>
      <c r="J87" s="1" t="s">
        <v>91</v>
      </c>
      <c r="K87" t="s">
        <v>27404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27490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25607</v>
      </c>
      <c r="G88" t="s">
        <v>25593</v>
      </c>
      <c r="H88">
        <v>32</v>
      </c>
      <c r="I88" t="s">
        <v>26</v>
      </c>
      <c r="J88" s="1" t="s">
        <v>91</v>
      </c>
      <c r="K88" t="s">
        <v>27404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25607</v>
      </c>
      <c r="G89" t="s">
        <v>25593</v>
      </c>
      <c r="H89">
        <v>32</v>
      </c>
      <c r="I89" t="s">
        <v>26</v>
      </c>
      <c r="J89" s="1" t="s">
        <v>91</v>
      </c>
      <c r="K89" t="s">
        <v>27404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25607</v>
      </c>
      <c r="G90" t="s">
        <v>25593</v>
      </c>
      <c r="H90">
        <v>32</v>
      </c>
      <c r="I90" t="s">
        <v>26</v>
      </c>
      <c r="J90" s="1" t="s">
        <v>91</v>
      </c>
      <c r="K90" t="s">
        <v>27404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25607</v>
      </c>
      <c r="G91" t="s">
        <v>25593</v>
      </c>
      <c r="H91">
        <v>32</v>
      </c>
      <c r="I91" t="s">
        <v>26</v>
      </c>
      <c r="J91" s="1" t="s">
        <v>91</v>
      </c>
      <c r="K91" t="s">
        <v>27404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25607</v>
      </c>
      <c r="G92" t="s">
        <v>25594</v>
      </c>
      <c r="H92">
        <v>32</v>
      </c>
      <c r="I92" t="s">
        <v>26</v>
      </c>
      <c r="J92" s="1" t="s">
        <v>91</v>
      </c>
      <c r="K92" t="s">
        <v>27408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25607</v>
      </c>
      <c r="G93" t="s">
        <v>25594</v>
      </c>
      <c r="H93">
        <v>32</v>
      </c>
      <c r="I93" t="s">
        <v>26</v>
      </c>
      <c r="J93" s="1" t="s">
        <v>91</v>
      </c>
      <c r="K93" t="s">
        <v>27408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25607</v>
      </c>
      <c r="G94" t="s">
        <v>25594</v>
      </c>
      <c r="H94">
        <v>32</v>
      </c>
      <c r="I94" t="s">
        <v>26</v>
      </c>
      <c r="J94" s="1" t="s">
        <v>91</v>
      </c>
      <c r="K94" t="s">
        <v>27408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25607</v>
      </c>
      <c r="G95" t="s">
        <v>25594</v>
      </c>
      <c r="H95">
        <v>32</v>
      </c>
      <c r="I95" t="s">
        <v>26</v>
      </c>
      <c r="J95" s="1" t="s">
        <v>91</v>
      </c>
      <c r="K95" t="s">
        <v>27408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25607</v>
      </c>
      <c r="G96" t="s">
        <v>25594</v>
      </c>
      <c r="H96">
        <v>32</v>
      </c>
      <c r="I96" t="s">
        <v>26</v>
      </c>
      <c r="J96" s="1" t="s">
        <v>91</v>
      </c>
      <c r="K96" t="s">
        <v>27408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25607</v>
      </c>
      <c r="G97" t="s">
        <v>25599</v>
      </c>
      <c r="H97">
        <v>32</v>
      </c>
      <c r="I97" s="1" t="s">
        <v>28</v>
      </c>
      <c r="J97" s="1" t="s">
        <v>91</v>
      </c>
      <c r="K97" t="s">
        <v>27403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27500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25607</v>
      </c>
      <c r="G98" t="s">
        <v>25599</v>
      </c>
      <c r="H98">
        <v>32</v>
      </c>
      <c r="I98" s="1" t="s">
        <v>28</v>
      </c>
      <c r="J98" s="1" t="s">
        <v>91</v>
      </c>
      <c r="K98" t="s">
        <v>27403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27501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25607</v>
      </c>
      <c r="G99" t="s">
        <v>25599</v>
      </c>
      <c r="H99">
        <v>32</v>
      </c>
      <c r="I99" s="1" t="s">
        <v>28</v>
      </c>
      <c r="J99" s="1" t="s">
        <v>91</v>
      </c>
      <c r="K99" t="s">
        <v>27403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27502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25607</v>
      </c>
      <c r="G100" t="s">
        <v>25599</v>
      </c>
      <c r="H100">
        <v>32</v>
      </c>
      <c r="I100" s="1" t="s">
        <v>28</v>
      </c>
      <c r="J100" s="1" t="s">
        <v>91</v>
      </c>
      <c r="K100" t="s">
        <v>27403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27503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25607</v>
      </c>
      <c r="G101" t="s">
        <v>25600</v>
      </c>
      <c r="H101">
        <v>61</v>
      </c>
      <c r="I101" t="s">
        <v>22</v>
      </c>
      <c r="J101" s="1" t="s">
        <v>91</v>
      </c>
      <c r="K101" t="s">
        <v>27409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25607</v>
      </c>
      <c r="G102" t="s">
        <v>27548</v>
      </c>
      <c r="H102">
        <v>333</v>
      </c>
      <c r="I102" t="s">
        <v>26</v>
      </c>
      <c r="J102" s="1" t="s">
        <v>91</v>
      </c>
      <c r="K102" t="s">
        <v>27410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25607</v>
      </c>
      <c r="G103" t="s">
        <v>27548</v>
      </c>
      <c r="H103">
        <v>333</v>
      </c>
      <c r="I103" t="s">
        <v>26</v>
      </c>
      <c r="J103" s="1" t="s">
        <v>91</v>
      </c>
      <c r="K103" t="s">
        <v>27410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25607</v>
      </c>
      <c r="G104" t="s">
        <v>27548</v>
      </c>
      <c r="H104">
        <v>333</v>
      </c>
      <c r="I104" t="s">
        <v>26</v>
      </c>
      <c r="J104" s="1" t="s">
        <v>91</v>
      </c>
      <c r="K104" t="s">
        <v>27410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25607</v>
      </c>
      <c r="G105" t="s">
        <v>27548</v>
      </c>
      <c r="H105">
        <v>361</v>
      </c>
      <c r="I105" t="s">
        <v>215</v>
      </c>
      <c r="J105" s="1" t="s">
        <v>91</v>
      </c>
      <c r="K105" t="s">
        <v>27410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25607</v>
      </c>
      <c r="G106" t="s">
        <v>27548</v>
      </c>
      <c r="H106">
        <v>361</v>
      </c>
      <c r="I106" t="s">
        <v>215</v>
      </c>
      <c r="J106" s="1" t="s">
        <v>91</v>
      </c>
      <c r="K106" t="s">
        <v>27410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25607</v>
      </c>
      <c r="G107" t="s">
        <v>25595</v>
      </c>
      <c r="H107">
        <v>333</v>
      </c>
      <c r="I107" t="s">
        <v>25472</v>
      </c>
      <c r="J107" s="1" t="s">
        <v>91</v>
      </c>
      <c r="K107" t="s">
        <v>27403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27540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25607</v>
      </c>
      <c r="G108" t="s">
        <v>27549</v>
      </c>
      <c r="H108">
        <v>337</v>
      </c>
      <c r="I108" t="s">
        <v>28</v>
      </c>
      <c r="J108" s="1" t="s">
        <v>91</v>
      </c>
      <c r="K108" t="s">
        <v>27411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25607</v>
      </c>
      <c r="G109" t="s">
        <v>27549</v>
      </c>
      <c r="H109">
        <v>337</v>
      </c>
      <c r="I109" t="s">
        <v>28</v>
      </c>
      <c r="J109" s="1" t="s">
        <v>91</v>
      </c>
      <c r="K109" t="s">
        <v>27411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25607</v>
      </c>
      <c r="G110" t="s">
        <v>27549</v>
      </c>
      <c r="H110">
        <v>337</v>
      </c>
      <c r="I110" t="s">
        <v>28</v>
      </c>
      <c r="J110" s="1" t="s">
        <v>91</v>
      </c>
      <c r="K110" t="s">
        <v>27411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25607</v>
      </c>
      <c r="G111" t="s">
        <v>27549</v>
      </c>
      <c r="H111">
        <v>337</v>
      </c>
      <c r="I111" t="s">
        <v>28</v>
      </c>
      <c r="J111" s="1" t="s">
        <v>91</v>
      </c>
      <c r="K111" t="s">
        <v>27411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25607</v>
      </c>
      <c r="G112" t="s">
        <v>27549</v>
      </c>
      <c r="H112">
        <v>337</v>
      </c>
      <c r="I112" t="s">
        <v>28</v>
      </c>
      <c r="J112" s="1" t="s">
        <v>91</v>
      </c>
      <c r="K112" t="s">
        <v>27411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25607</v>
      </c>
      <c r="G113" t="s">
        <v>27549</v>
      </c>
      <c r="H113">
        <v>337</v>
      </c>
      <c r="I113" t="s">
        <v>28</v>
      </c>
      <c r="J113" s="1" t="s">
        <v>91</v>
      </c>
      <c r="K113" t="s">
        <v>27411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25607</v>
      </c>
      <c r="G114" t="s">
        <v>27549</v>
      </c>
      <c r="H114">
        <v>337</v>
      </c>
      <c r="I114" t="s">
        <v>28</v>
      </c>
      <c r="J114" s="1" t="s">
        <v>91</v>
      </c>
      <c r="K114" t="s">
        <v>27411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25607</v>
      </c>
      <c r="G115" t="s">
        <v>27549</v>
      </c>
      <c r="H115">
        <v>337</v>
      </c>
      <c r="I115" t="s">
        <v>28</v>
      </c>
      <c r="J115" s="1" t="s">
        <v>91</v>
      </c>
      <c r="K115" t="s">
        <v>27411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25607</v>
      </c>
      <c r="G116" t="s">
        <v>27550</v>
      </c>
      <c r="H116">
        <v>333</v>
      </c>
      <c r="I116" t="s">
        <v>28</v>
      </c>
      <c r="J116" s="1" t="s">
        <v>91</v>
      </c>
      <c r="K116" t="s">
        <v>26816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27510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25607</v>
      </c>
      <c r="G117" t="s">
        <v>27550</v>
      </c>
      <c r="H117">
        <v>333</v>
      </c>
      <c r="I117" t="s">
        <v>28</v>
      </c>
      <c r="J117" s="1" t="s">
        <v>91</v>
      </c>
      <c r="K117" t="s">
        <v>26816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27511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25607</v>
      </c>
      <c r="G118" t="s">
        <v>27550</v>
      </c>
      <c r="H118">
        <v>333</v>
      </c>
      <c r="I118" t="s">
        <v>28</v>
      </c>
      <c r="J118" s="1" t="s">
        <v>91</v>
      </c>
      <c r="K118" t="s">
        <v>26816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27512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25607</v>
      </c>
      <c r="G119" t="s">
        <v>25596</v>
      </c>
      <c r="H119">
        <v>433</v>
      </c>
      <c r="I119" t="s">
        <v>26</v>
      </c>
      <c r="J119" s="1" t="s">
        <v>91</v>
      </c>
      <c r="K119" t="s">
        <v>27403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25607</v>
      </c>
      <c r="G120" t="s">
        <v>25596</v>
      </c>
      <c r="H120">
        <v>433</v>
      </c>
      <c r="I120" t="s">
        <v>26</v>
      </c>
      <c r="J120" s="1" t="s">
        <v>91</v>
      </c>
      <c r="K120" t="s">
        <v>27403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25607</v>
      </c>
      <c r="G121" t="s">
        <v>25596</v>
      </c>
      <c r="H121">
        <v>433</v>
      </c>
      <c r="I121" t="s">
        <v>26</v>
      </c>
      <c r="J121" s="1" t="s">
        <v>91</v>
      </c>
      <c r="K121" t="s">
        <v>27403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25607</v>
      </c>
      <c r="G122" t="s">
        <v>25596</v>
      </c>
      <c r="H122">
        <v>433</v>
      </c>
      <c r="I122" t="s">
        <v>26</v>
      </c>
      <c r="J122" s="1" t="s">
        <v>91</v>
      </c>
      <c r="K122" t="s">
        <v>27403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25683</v>
      </c>
      <c r="F123" t="s">
        <v>25607</v>
      </c>
      <c r="G123" t="s">
        <v>27551</v>
      </c>
      <c r="H123">
        <v>6</v>
      </c>
      <c r="I123" t="s">
        <v>22</v>
      </c>
      <c r="J123" s="1" t="s">
        <v>91</v>
      </c>
      <c r="K123" t="s">
        <v>27402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25683</v>
      </c>
      <c r="F124" t="s">
        <v>25607</v>
      </c>
      <c r="G124" t="s">
        <v>27551</v>
      </c>
      <c r="H124">
        <v>6</v>
      </c>
      <c r="I124" t="s">
        <v>22</v>
      </c>
      <c r="J124" s="1" t="s">
        <v>91</v>
      </c>
      <c r="K124" t="s">
        <v>27402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25683</v>
      </c>
      <c r="F125" t="s">
        <v>25607</v>
      </c>
      <c r="G125" t="s">
        <v>27551</v>
      </c>
      <c r="H125">
        <v>6</v>
      </c>
      <c r="I125" t="s">
        <v>22</v>
      </c>
      <c r="J125" s="1" t="s">
        <v>91</v>
      </c>
      <c r="K125" t="s">
        <v>27402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25683</v>
      </c>
      <c r="F126" t="s">
        <v>25607</v>
      </c>
      <c r="G126" t="s">
        <v>27551</v>
      </c>
      <c r="H126">
        <v>6</v>
      </c>
      <c r="I126" s="1" t="s">
        <v>22</v>
      </c>
      <c r="J126" s="1" t="s">
        <v>91</v>
      </c>
      <c r="K126" t="s">
        <v>27402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25607</v>
      </c>
      <c r="G127" t="s">
        <v>27552</v>
      </c>
      <c r="H127">
        <v>37</v>
      </c>
      <c r="I127" s="1" t="s">
        <v>28</v>
      </c>
      <c r="J127" s="1" t="s">
        <v>91</v>
      </c>
      <c r="K127" t="s">
        <v>27403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27517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25683</v>
      </c>
      <c r="F128" t="s">
        <v>25607</v>
      </c>
      <c r="G128" t="s">
        <v>25597</v>
      </c>
      <c r="H128">
        <v>1</v>
      </c>
      <c r="I128" t="s">
        <v>1</v>
      </c>
      <c r="J128" s="1" t="s">
        <v>91</v>
      </c>
      <c r="K128" t="s">
        <v>27402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25683</v>
      </c>
      <c r="F129" t="s">
        <v>25607</v>
      </c>
      <c r="G129" t="s">
        <v>25597</v>
      </c>
      <c r="H129">
        <v>62</v>
      </c>
      <c r="I129" t="s">
        <v>215</v>
      </c>
      <c r="J129" s="1" t="s">
        <v>91</v>
      </c>
      <c r="K129" t="s">
        <v>27402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25682</v>
      </c>
      <c r="F130" t="s">
        <v>25607</v>
      </c>
      <c r="G130" t="s">
        <v>27553</v>
      </c>
      <c r="H130">
        <v>22</v>
      </c>
      <c r="I130" s="1" t="s">
        <v>25494</v>
      </c>
      <c r="J130" s="1" t="s">
        <v>26651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27520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25607</v>
      </c>
      <c r="G131" s="1" t="s">
        <v>27554</v>
      </c>
      <c r="H131">
        <v>2</v>
      </c>
      <c r="I131" s="1" t="s">
        <v>27</v>
      </c>
      <c r="J131" s="1" t="s">
        <v>26651</v>
      </c>
      <c r="K131" t="s">
        <v>26472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25607</v>
      </c>
      <c r="G132" t="s">
        <v>27554</v>
      </c>
      <c r="H132">
        <v>3</v>
      </c>
      <c r="I132" s="1" t="s">
        <v>28</v>
      </c>
      <c r="J132" s="1" t="s">
        <v>26651</v>
      </c>
      <c r="K132" t="s">
        <v>26472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25607</v>
      </c>
      <c r="G133" t="s">
        <v>27554</v>
      </c>
      <c r="H133">
        <v>4</v>
      </c>
      <c r="I133" s="1" t="s">
        <v>54</v>
      </c>
      <c r="J133" s="1" t="s">
        <v>26651</v>
      </c>
      <c r="K133" t="s">
        <v>26472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25607</v>
      </c>
      <c r="G134" t="s">
        <v>27554</v>
      </c>
      <c r="H134">
        <v>6</v>
      </c>
      <c r="I134" s="1" t="s">
        <v>22</v>
      </c>
      <c r="J134" s="1" t="s">
        <v>26651</v>
      </c>
      <c r="K134" t="s">
        <v>26472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25607</v>
      </c>
      <c r="G135" t="s">
        <v>27555</v>
      </c>
      <c r="H135">
        <v>68</v>
      </c>
      <c r="I135" s="1" t="s">
        <v>215</v>
      </c>
      <c r="J135" s="1" t="s">
        <v>91</v>
      </c>
      <c r="K135" t="s">
        <v>27401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25687</v>
      </c>
      <c r="F136" t="s">
        <v>25607</v>
      </c>
      <c r="G136" t="s">
        <v>27556</v>
      </c>
      <c r="H136">
        <v>1</v>
      </c>
      <c r="I136" t="s">
        <v>1</v>
      </c>
      <c r="J136" s="1" t="s">
        <v>26651</v>
      </c>
      <c r="K136" t="s">
        <v>27406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25687</v>
      </c>
      <c r="F137" t="s">
        <v>25607</v>
      </c>
      <c r="G137" t="s">
        <v>27556</v>
      </c>
      <c r="H137">
        <v>1</v>
      </c>
      <c r="I137" t="s">
        <v>1</v>
      </c>
      <c r="J137" s="1" t="s">
        <v>26651</v>
      </c>
      <c r="K137" t="s">
        <v>27406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25607</v>
      </c>
      <c r="G138" t="s">
        <v>27557</v>
      </c>
      <c r="H138">
        <v>351</v>
      </c>
      <c r="I138" s="1" t="s">
        <v>54</v>
      </c>
      <c r="J138" s="1" t="s">
        <v>26651</v>
      </c>
      <c r="K138" t="s">
        <v>26816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25607</v>
      </c>
      <c r="G139" t="s">
        <v>27557</v>
      </c>
      <c r="H139">
        <v>351</v>
      </c>
      <c r="I139" t="s">
        <v>54</v>
      </c>
      <c r="J139" s="1" t="s">
        <v>26651</v>
      </c>
      <c r="K139" t="s">
        <v>26816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25607</v>
      </c>
      <c r="G140" t="s">
        <v>27557</v>
      </c>
      <c r="H140">
        <v>351</v>
      </c>
      <c r="I140" t="s">
        <v>54</v>
      </c>
      <c r="J140" s="1" t="s">
        <v>26651</v>
      </c>
      <c r="K140" t="s">
        <v>26816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25607</v>
      </c>
      <c r="G141" t="s">
        <v>27558</v>
      </c>
      <c r="H141">
        <v>218</v>
      </c>
      <c r="I141" s="1" t="s">
        <v>210</v>
      </c>
      <c r="J141" s="1" t="s">
        <v>26651</v>
      </c>
      <c r="K141" t="s">
        <v>27403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25607</v>
      </c>
      <c r="G142" t="s">
        <v>27558</v>
      </c>
      <c r="H142">
        <v>218</v>
      </c>
      <c r="I142" s="1" t="s">
        <v>210</v>
      </c>
      <c r="J142" s="1" t="s">
        <v>26651</v>
      </c>
      <c r="K142" t="s">
        <v>27403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25607</v>
      </c>
      <c r="G143" t="s">
        <v>27558</v>
      </c>
      <c r="H143">
        <v>218</v>
      </c>
      <c r="I143" s="1" t="s">
        <v>210</v>
      </c>
      <c r="J143" s="1" t="s">
        <v>26651</v>
      </c>
      <c r="K143" t="s">
        <v>27403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25687</v>
      </c>
      <c r="F144" t="s">
        <v>25607</v>
      </c>
      <c r="G144" t="s">
        <v>27559</v>
      </c>
      <c r="H144">
        <v>3</v>
      </c>
      <c r="I144" s="1" t="s">
        <v>28</v>
      </c>
      <c r="J144" s="1" t="s">
        <v>26651</v>
      </c>
      <c r="K144" t="s">
        <v>26814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25687</v>
      </c>
      <c r="F145" t="s">
        <v>25607</v>
      </c>
      <c r="G145" t="s">
        <v>27559</v>
      </c>
      <c r="H145">
        <v>3</v>
      </c>
      <c r="I145" s="1" t="s">
        <v>28</v>
      </c>
      <c r="J145" s="1" t="s">
        <v>26651</v>
      </c>
      <c r="K145" t="s">
        <v>26814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25687</v>
      </c>
      <c r="F146" t="s">
        <v>25607</v>
      </c>
      <c r="G146" t="s">
        <v>27559</v>
      </c>
      <c r="H146">
        <v>3</v>
      </c>
      <c r="I146" s="1" t="s">
        <v>28</v>
      </c>
      <c r="J146" s="1" t="s">
        <v>26651</v>
      </c>
      <c r="K146" t="s">
        <v>26814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25687</v>
      </c>
      <c r="F147" t="s">
        <v>25607</v>
      </c>
      <c r="G147" t="s">
        <v>27560</v>
      </c>
      <c r="H147">
        <v>16</v>
      </c>
      <c r="I147" s="1" t="s">
        <v>28</v>
      </c>
      <c r="J147" s="1" t="s">
        <v>26651</v>
      </c>
      <c r="K147" t="s">
        <v>27412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25687</v>
      </c>
      <c r="F148" t="s">
        <v>25607</v>
      </c>
      <c r="G148" t="s">
        <v>27560</v>
      </c>
      <c r="H148">
        <v>16</v>
      </c>
      <c r="I148" t="s">
        <v>28</v>
      </c>
      <c r="J148" s="1" t="s">
        <v>26651</v>
      </c>
      <c r="K148" t="s">
        <v>27412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25687</v>
      </c>
      <c r="F149" t="s">
        <v>25607</v>
      </c>
      <c r="G149" t="s">
        <v>27560</v>
      </c>
      <c r="H149">
        <v>16</v>
      </c>
      <c r="I149" t="s">
        <v>28</v>
      </c>
      <c r="J149" s="1" t="s">
        <v>26651</v>
      </c>
      <c r="K149" t="s">
        <v>27412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25686</v>
      </c>
      <c r="F150" t="s">
        <v>25607</v>
      </c>
      <c r="G150" t="s">
        <v>25589</v>
      </c>
      <c r="H150">
        <v>42</v>
      </c>
      <c r="I150" t="s">
        <v>35</v>
      </c>
      <c r="J150" s="1" t="s">
        <v>91</v>
      </c>
      <c r="K150" t="s">
        <v>27413</v>
      </c>
      <c r="L150" s="36">
        <v>57</v>
      </c>
      <c r="M150" t="s">
        <v>26665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25686</v>
      </c>
      <c r="F151" t="s">
        <v>25607</v>
      </c>
      <c r="G151" t="s">
        <v>25589</v>
      </c>
      <c r="H151">
        <v>42</v>
      </c>
      <c r="I151" t="s">
        <v>35</v>
      </c>
      <c r="J151" s="1" t="s">
        <v>91</v>
      </c>
      <c r="K151" t="s">
        <v>27413</v>
      </c>
      <c r="L151" s="36">
        <v>59</v>
      </c>
      <c r="M151" t="s">
        <v>26665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25686</v>
      </c>
      <c r="F152" t="s">
        <v>25607</v>
      </c>
      <c r="G152" t="s">
        <v>25589</v>
      </c>
      <c r="H152">
        <v>42</v>
      </c>
      <c r="I152" t="s">
        <v>35</v>
      </c>
      <c r="J152" s="1" t="s">
        <v>91</v>
      </c>
      <c r="K152" t="s">
        <v>27413</v>
      </c>
      <c r="L152" s="36">
        <v>61</v>
      </c>
      <c r="M152" t="s">
        <v>26665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25686</v>
      </c>
      <c r="F153" t="s">
        <v>25607</v>
      </c>
      <c r="G153" t="s">
        <v>25589</v>
      </c>
      <c r="H153">
        <v>66</v>
      </c>
      <c r="I153" t="s">
        <v>26</v>
      </c>
      <c r="J153" s="1" t="s">
        <v>91</v>
      </c>
      <c r="K153" t="s">
        <v>27413</v>
      </c>
      <c r="L153" s="36">
        <v>57</v>
      </c>
      <c r="M153" t="s">
        <v>26665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27530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25686</v>
      </c>
      <c r="F154" t="s">
        <v>25607</v>
      </c>
      <c r="G154" t="s">
        <v>25589</v>
      </c>
      <c r="H154">
        <v>66</v>
      </c>
      <c r="I154" t="s">
        <v>26</v>
      </c>
      <c r="J154" s="1" t="s">
        <v>91</v>
      </c>
      <c r="K154" t="s">
        <v>27413</v>
      </c>
      <c r="L154" s="36">
        <v>59</v>
      </c>
      <c r="M154" t="s">
        <v>26665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25686</v>
      </c>
      <c r="F155" t="s">
        <v>25607</v>
      </c>
      <c r="G155" t="s">
        <v>25589</v>
      </c>
      <c r="H155">
        <v>66</v>
      </c>
      <c r="I155" t="s">
        <v>26</v>
      </c>
      <c r="J155" s="1" t="s">
        <v>91</v>
      </c>
      <c r="K155" t="s">
        <v>27413</v>
      </c>
      <c r="L155" s="36">
        <v>61</v>
      </c>
      <c r="M155" t="s">
        <v>26665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25686</v>
      </c>
      <c r="F156" t="s">
        <v>25607</v>
      </c>
      <c r="G156" t="s">
        <v>25603</v>
      </c>
      <c r="H156">
        <v>1</v>
      </c>
      <c r="I156" t="s">
        <v>1</v>
      </c>
      <c r="J156" s="1" t="s">
        <v>91</v>
      </c>
      <c r="K156" t="s">
        <v>27403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25686</v>
      </c>
      <c r="F157" t="s">
        <v>25607</v>
      </c>
      <c r="G157" t="s">
        <v>25603</v>
      </c>
      <c r="H157">
        <v>1</v>
      </c>
      <c r="I157" t="s">
        <v>1</v>
      </c>
      <c r="J157" s="1" t="s">
        <v>91</v>
      </c>
      <c r="K157" t="s">
        <v>27403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25686</v>
      </c>
      <c r="F158" t="s">
        <v>25607</v>
      </c>
      <c r="G158" t="s">
        <v>25603</v>
      </c>
      <c r="H158">
        <v>1</v>
      </c>
      <c r="I158" t="s">
        <v>1</v>
      </c>
      <c r="J158" s="1" t="s">
        <v>91</v>
      </c>
      <c r="K158" t="s">
        <v>27403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25686</v>
      </c>
      <c r="F159" t="s">
        <v>25607</v>
      </c>
      <c r="G159" t="s">
        <v>25603</v>
      </c>
      <c r="H159">
        <v>67</v>
      </c>
      <c r="I159" s="1" t="s">
        <v>22</v>
      </c>
      <c r="J159" s="1" t="s">
        <v>91</v>
      </c>
      <c r="K159" t="s">
        <v>27403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25686</v>
      </c>
      <c r="F160" t="s">
        <v>25607</v>
      </c>
      <c r="G160" t="s">
        <v>25603</v>
      </c>
      <c r="H160">
        <v>67</v>
      </c>
      <c r="I160" s="1" t="s">
        <v>22</v>
      </c>
      <c r="J160" s="1" t="s">
        <v>91</v>
      </c>
      <c r="K160" t="s">
        <v>27403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25686</v>
      </c>
      <c r="F161" t="s">
        <v>25607</v>
      </c>
      <c r="G161" t="s">
        <v>25603</v>
      </c>
      <c r="H161">
        <v>67</v>
      </c>
      <c r="I161" s="1" t="s">
        <v>22</v>
      </c>
      <c r="J161" s="1" t="s">
        <v>91</v>
      </c>
      <c r="K161" t="s">
        <v>27403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25686</v>
      </c>
      <c r="F162" t="s">
        <v>25607</v>
      </c>
      <c r="G162" t="s">
        <v>25603</v>
      </c>
      <c r="H162">
        <v>67</v>
      </c>
      <c r="I162" s="1" t="s">
        <v>22</v>
      </c>
      <c r="J162" s="1" t="s">
        <v>91</v>
      </c>
      <c r="K162" s="1" t="s">
        <v>27403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25686</v>
      </c>
      <c r="F163" t="s">
        <v>25607</v>
      </c>
      <c r="G163" t="s">
        <v>27561</v>
      </c>
      <c r="H163">
        <v>66</v>
      </c>
      <c r="I163" s="1" t="s">
        <v>215</v>
      </c>
      <c r="J163" s="1" t="s">
        <v>91</v>
      </c>
      <c r="K163" t="s">
        <v>27403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25686</v>
      </c>
      <c r="F164" t="s">
        <v>25607</v>
      </c>
      <c r="G164" t="s">
        <v>27561</v>
      </c>
      <c r="H164">
        <v>66</v>
      </c>
      <c r="I164" t="s">
        <v>215</v>
      </c>
      <c r="J164" s="1" t="s">
        <v>91</v>
      </c>
      <c r="K164" t="s">
        <v>27403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25686</v>
      </c>
      <c r="F165" t="s">
        <v>25607</v>
      </c>
      <c r="G165" t="s">
        <v>27561</v>
      </c>
      <c r="H165">
        <v>66</v>
      </c>
      <c r="I165" t="s">
        <v>215</v>
      </c>
      <c r="J165" s="1" t="s">
        <v>91</v>
      </c>
      <c r="K165" t="s">
        <v>27403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25686</v>
      </c>
      <c r="F166" t="s">
        <v>25607</v>
      </c>
      <c r="G166" t="s">
        <v>27561</v>
      </c>
      <c r="H166">
        <v>66</v>
      </c>
      <c r="I166" t="s">
        <v>215</v>
      </c>
      <c r="J166" s="1" t="s">
        <v>91</v>
      </c>
      <c r="K166" t="s">
        <v>27403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25683</v>
      </c>
      <c r="F167" t="s">
        <v>25607</v>
      </c>
      <c r="G167" t="s">
        <v>25601</v>
      </c>
      <c r="H167">
        <v>1</v>
      </c>
      <c r="I167" t="s">
        <v>1</v>
      </c>
      <c r="J167" s="1" t="s">
        <v>26651</v>
      </c>
      <c r="K167" t="s">
        <v>26815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25683</v>
      </c>
      <c r="F168" t="s">
        <v>25607</v>
      </c>
      <c r="G168" t="s">
        <v>25601</v>
      </c>
      <c r="H168">
        <v>1</v>
      </c>
      <c r="I168" t="s">
        <v>1</v>
      </c>
      <c r="J168" s="1" t="s">
        <v>26651</v>
      </c>
      <c r="K168" t="s">
        <v>26815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25683</v>
      </c>
      <c r="F169" t="s">
        <v>25607</v>
      </c>
      <c r="G169" t="s">
        <v>25601</v>
      </c>
      <c r="H169">
        <v>1</v>
      </c>
      <c r="I169" t="s">
        <v>1</v>
      </c>
      <c r="J169" s="1" t="s">
        <v>26651</v>
      </c>
      <c r="K169" t="s">
        <v>26815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25683</v>
      </c>
      <c r="F170" t="s">
        <v>25607</v>
      </c>
      <c r="G170" t="s">
        <v>25601</v>
      </c>
      <c r="H170">
        <v>6</v>
      </c>
      <c r="I170" t="s">
        <v>22</v>
      </c>
      <c r="J170" s="1" t="s">
        <v>26651</v>
      </c>
      <c r="K170" t="s">
        <v>26815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25683</v>
      </c>
      <c r="F171" t="s">
        <v>25607</v>
      </c>
      <c r="G171" t="s">
        <v>25601</v>
      </c>
      <c r="H171">
        <v>6</v>
      </c>
      <c r="I171" t="s">
        <v>22</v>
      </c>
      <c r="J171" s="1" t="s">
        <v>26651</v>
      </c>
      <c r="K171" t="s">
        <v>26815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25683</v>
      </c>
      <c r="F172" t="s">
        <v>25607</v>
      </c>
      <c r="G172" t="s">
        <v>25601</v>
      </c>
      <c r="H172">
        <v>6</v>
      </c>
      <c r="I172" t="s">
        <v>22</v>
      </c>
      <c r="J172" s="1" t="s">
        <v>26651</v>
      </c>
      <c r="K172" t="s">
        <v>26815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91"/>
  <sheetViews>
    <sheetView topLeftCell="C1" workbookViewId="0">
      <pane ySplit="1" topLeftCell="A2" activePane="bottomLeft" state="frozen"/>
      <selection activeCell="C1" sqref="C1"/>
      <selection pane="bottomLeft" activeCell="L7" sqref="L7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28415</v>
      </c>
      <c r="P1" t="s">
        <v>28416</v>
      </c>
      <c r="Q1" t="s">
        <v>2</v>
      </c>
      <c r="R1" t="s">
        <v>28433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28435</v>
      </c>
      <c r="B2" s="102" t="s">
        <v>28521</v>
      </c>
      <c r="C2" s="102" t="s">
        <v>46</v>
      </c>
      <c r="D2" s="102" t="s">
        <v>28539</v>
      </c>
      <c r="E2" s="102" t="s">
        <v>28540</v>
      </c>
      <c r="F2" s="102" t="s">
        <v>91</v>
      </c>
      <c r="G2" s="102" t="s">
        <v>28540</v>
      </c>
      <c r="H2" s="102" t="s">
        <v>28541</v>
      </c>
      <c r="I2" s="102" t="s">
        <v>26</v>
      </c>
      <c r="J2" s="102" t="s">
        <v>28577</v>
      </c>
      <c r="K2" s="102" t="s">
        <v>25678</v>
      </c>
      <c r="L2" s="102" t="s">
        <v>25607</v>
      </c>
      <c r="M2" s="102" t="s">
        <v>26672</v>
      </c>
      <c r="N2" s="102">
        <v>772.22</v>
      </c>
      <c r="S2" t="str">
        <f>A2&amp;"-"&amp;T2</f>
        <v>94-001-05-00</v>
      </c>
      <c r="T2" s="129" t="s">
        <v>25308</v>
      </c>
      <c r="U2" s="112">
        <v>3</v>
      </c>
    </row>
    <row r="3" spans="1:21" x14ac:dyDescent="0.2">
      <c r="A3" s="102" t="s">
        <v>28436</v>
      </c>
      <c r="B3" s="102" t="s">
        <v>28521</v>
      </c>
      <c r="C3" s="102" t="s">
        <v>46</v>
      </c>
      <c r="D3" s="102" t="s">
        <v>28539</v>
      </c>
      <c r="E3" s="102" t="s">
        <v>28540</v>
      </c>
      <c r="F3" s="102" t="s">
        <v>91</v>
      </c>
      <c r="G3" s="102" t="s">
        <v>28540</v>
      </c>
      <c r="H3" s="102" t="s">
        <v>28542</v>
      </c>
      <c r="I3" s="102" t="s">
        <v>25472</v>
      </c>
      <c r="J3" s="102" t="s">
        <v>28577</v>
      </c>
      <c r="K3" s="102" t="s">
        <v>25678</v>
      </c>
      <c r="L3" s="102" t="s">
        <v>25607</v>
      </c>
      <c r="M3" s="102" t="s">
        <v>26672</v>
      </c>
      <c r="N3" s="102">
        <v>772.22</v>
      </c>
      <c r="S3" t="str">
        <f t="shared" ref="S3:S5" si="0">A3&amp;"-"&amp;T3</f>
        <v>94-001-01-00</v>
      </c>
      <c r="T3" s="129" t="s">
        <v>25308</v>
      </c>
      <c r="U3" s="112">
        <v>6</v>
      </c>
    </row>
    <row r="4" spans="1:21" x14ac:dyDescent="0.2">
      <c r="A4" s="102" t="s">
        <v>28437</v>
      </c>
      <c r="B4" s="102" t="s">
        <v>28522</v>
      </c>
      <c r="C4" s="102" t="s">
        <v>46</v>
      </c>
      <c r="D4" s="102" t="s">
        <v>28539</v>
      </c>
      <c r="E4" s="102" t="s">
        <v>28540</v>
      </c>
      <c r="F4" s="102" t="s">
        <v>91</v>
      </c>
      <c r="G4" s="102" t="s">
        <v>28540</v>
      </c>
      <c r="H4" s="102" t="s">
        <v>28541</v>
      </c>
      <c r="I4" s="102" t="s">
        <v>26</v>
      </c>
      <c r="J4" s="102" t="s">
        <v>26433</v>
      </c>
      <c r="K4" s="102" t="s">
        <v>25678</v>
      </c>
      <c r="L4" s="102" t="s">
        <v>25607</v>
      </c>
      <c r="M4" s="102" t="s">
        <v>26672</v>
      </c>
      <c r="N4" s="102">
        <v>716.67</v>
      </c>
      <c r="S4" t="str">
        <f t="shared" si="0"/>
        <v>94-002-05-00</v>
      </c>
      <c r="T4" s="129" t="s">
        <v>25308</v>
      </c>
      <c r="U4" s="112">
        <v>8</v>
      </c>
    </row>
    <row r="5" spans="1:21" x14ac:dyDescent="0.2">
      <c r="A5" s="102" t="s">
        <v>28438</v>
      </c>
      <c r="B5" s="102" t="s">
        <v>28522</v>
      </c>
      <c r="C5" s="102" t="s">
        <v>46</v>
      </c>
      <c r="D5" s="102" t="s">
        <v>28539</v>
      </c>
      <c r="E5" s="102" t="s">
        <v>28540</v>
      </c>
      <c r="F5" s="102" t="s">
        <v>91</v>
      </c>
      <c r="G5" s="102" t="s">
        <v>28540</v>
      </c>
      <c r="H5" s="102" t="s">
        <v>28543</v>
      </c>
      <c r="I5" s="102" t="s">
        <v>23</v>
      </c>
      <c r="J5" s="102" t="s">
        <v>26433</v>
      </c>
      <c r="K5" s="102" t="s">
        <v>25678</v>
      </c>
      <c r="L5" s="102" t="s">
        <v>25607</v>
      </c>
      <c r="M5" s="102" t="s">
        <v>26672</v>
      </c>
      <c r="N5" s="102">
        <v>716.67</v>
      </c>
      <c r="S5" t="str">
        <f t="shared" si="0"/>
        <v>94-002-16-00</v>
      </c>
      <c r="T5" s="129" t="s">
        <v>25308</v>
      </c>
      <c r="U5" s="112">
        <v>4</v>
      </c>
    </row>
    <row r="6" spans="1:21" x14ac:dyDescent="0.2">
      <c r="A6" s="102" t="s">
        <v>28439</v>
      </c>
      <c r="B6" s="102" t="s">
        <v>28522</v>
      </c>
      <c r="C6" s="102" t="s">
        <v>46</v>
      </c>
      <c r="D6" s="102" t="s">
        <v>28539</v>
      </c>
      <c r="E6" s="102" t="s">
        <v>28540</v>
      </c>
      <c r="F6" s="102" t="s">
        <v>91</v>
      </c>
      <c r="G6" s="102" t="s">
        <v>28540</v>
      </c>
      <c r="H6" s="102" t="s">
        <v>28431</v>
      </c>
      <c r="I6" s="102" t="s">
        <v>141</v>
      </c>
      <c r="J6" s="102" t="s">
        <v>26433</v>
      </c>
      <c r="K6" s="102" t="s">
        <v>25678</v>
      </c>
      <c r="L6" s="102" t="s">
        <v>25607</v>
      </c>
      <c r="M6" s="102" t="s">
        <v>26672</v>
      </c>
      <c r="N6" s="102">
        <v>716.67</v>
      </c>
      <c r="S6" t="str">
        <f t="shared" ref="S6:S8" si="1">A6&amp;"-"&amp;T6</f>
        <v>94-002-18-00</v>
      </c>
      <c r="T6" s="129" t="s">
        <v>25308</v>
      </c>
      <c r="U6" s="112">
        <v>4</v>
      </c>
    </row>
    <row r="7" spans="1:21" x14ac:dyDescent="0.2">
      <c r="A7" s="102" t="s">
        <v>28440</v>
      </c>
      <c r="B7" s="102" t="s">
        <v>28522</v>
      </c>
      <c r="C7" s="102" t="s">
        <v>46</v>
      </c>
      <c r="D7" s="102" t="s">
        <v>28539</v>
      </c>
      <c r="E7" s="102" t="s">
        <v>28540</v>
      </c>
      <c r="F7" s="102" t="s">
        <v>91</v>
      </c>
      <c r="G7" s="102" t="s">
        <v>28540</v>
      </c>
      <c r="H7" s="102" t="s">
        <v>28544</v>
      </c>
      <c r="I7" s="102" t="s">
        <v>27</v>
      </c>
      <c r="J7" s="102" t="s">
        <v>26433</v>
      </c>
      <c r="K7" s="102" t="s">
        <v>25678</v>
      </c>
      <c r="L7" s="102" t="s">
        <v>25607</v>
      </c>
      <c r="M7" s="102" t="s">
        <v>26672</v>
      </c>
      <c r="N7" s="102">
        <v>716.67</v>
      </c>
      <c r="S7" t="str">
        <f t="shared" si="1"/>
        <v>94-002-06-00</v>
      </c>
      <c r="T7" s="129" t="s">
        <v>25308</v>
      </c>
      <c r="U7" s="112">
        <v>3</v>
      </c>
    </row>
    <row r="8" spans="1:21" x14ac:dyDescent="0.2">
      <c r="A8" s="102" t="s">
        <v>28441</v>
      </c>
      <c r="B8" s="102" t="s">
        <v>28522</v>
      </c>
      <c r="C8" s="102" t="s">
        <v>46</v>
      </c>
      <c r="D8" s="102" t="s">
        <v>28539</v>
      </c>
      <c r="E8" s="102" t="s">
        <v>28540</v>
      </c>
      <c r="F8" s="102" t="s">
        <v>91</v>
      </c>
      <c r="G8" s="102" t="s">
        <v>28540</v>
      </c>
      <c r="H8" s="102" t="s">
        <v>28545</v>
      </c>
      <c r="I8" s="102" t="s">
        <v>100</v>
      </c>
      <c r="J8" s="102" t="s">
        <v>213</v>
      </c>
      <c r="K8" s="102" t="s">
        <v>25678</v>
      </c>
      <c r="L8" s="102" t="s">
        <v>25607</v>
      </c>
      <c r="M8" s="102" t="s">
        <v>26672</v>
      </c>
      <c r="N8" s="102">
        <v>716.67</v>
      </c>
      <c r="S8" t="str">
        <f t="shared" si="1"/>
        <v>94-002-17-00</v>
      </c>
      <c r="T8" s="129" t="s">
        <v>25308</v>
      </c>
      <c r="U8" s="112">
        <v>3</v>
      </c>
    </row>
    <row r="9" spans="1:21" x14ac:dyDescent="0.2">
      <c r="A9" s="102" t="s">
        <v>28442</v>
      </c>
      <c r="B9" s="102" t="s">
        <v>28523</v>
      </c>
      <c r="C9" s="102" t="s">
        <v>46</v>
      </c>
      <c r="D9" s="102" t="s">
        <v>28539</v>
      </c>
      <c r="E9" s="102" t="s">
        <v>28540</v>
      </c>
      <c r="F9" s="102" t="s">
        <v>91</v>
      </c>
      <c r="G9" s="102" t="s">
        <v>28540</v>
      </c>
      <c r="H9" s="102" t="s">
        <v>28546</v>
      </c>
      <c r="I9" s="102" t="s">
        <v>1</v>
      </c>
      <c r="J9" s="102" t="s">
        <v>26132</v>
      </c>
      <c r="K9" s="102" t="s">
        <v>25678</v>
      </c>
      <c r="L9" s="102" t="s">
        <v>25607</v>
      </c>
      <c r="M9" s="102" t="s">
        <v>26672</v>
      </c>
      <c r="N9" s="102">
        <v>605.55999999999995</v>
      </c>
      <c r="S9" t="str">
        <f t="shared" ref="S9:S10" si="2">A9&amp;"-"&amp;T9</f>
        <v>94-003-09-00</v>
      </c>
      <c r="T9" s="129" t="s">
        <v>25308</v>
      </c>
      <c r="U9" s="112">
        <v>4</v>
      </c>
    </row>
    <row r="10" spans="1:21" x14ac:dyDescent="0.2">
      <c r="A10" s="102" t="s">
        <v>28443</v>
      </c>
      <c r="B10" s="102" t="s">
        <v>28523</v>
      </c>
      <c r="C10" s="102" t="s">
        <v>46</v>
      </c>
      <c r="D10" s="102" t="s">
        <v>28539</v>
      </c>
      <c r="E10" s="102" t="s">
        <v>28540</v>
      </c>
      <c r="F10" s="102" t="s">
        <v>91</v>
      </c>
      <c r="G10" s="102" t="s">
        <v>28540</v>
      </c>
      <c r="H10" s="102" t="s">
        <v>28543</v>
      </c>
      <c r="I10" s="102" t="s">
        <v>23</v>
      </c>
      <c r="J10" s="102" t="s">
        <v>26132</v>
      </c>
      <c r="K10" s="102" t="s">
        <v>25678</v>
      </c>
      <c r="L10" s="102" t="s">
        <v>25607</v>
      </c>
      <c r="M10" s="102" t="s">
        <v>26672</v>
      </c>
      <c r="N10" s="102">
        <v>605.55999999999995</v>
      </c>
      <c r="S10" t="str">
        <f t="shared" si="2"/>
        <v>94-003-16-00</v>
      </c>
      <c r="T10" s="129" t="s">
        <v>25308</v>
      </c>
      <c r="U10" s="112">
        <v>3</v>
      </c>
    </row>
    <row r="11" spans="1:21" x14ac:dyDescent="0.2">
      <c r="A11" s="102" t="s">
        <v>28444</v>
      </c>
      <c r="B11" s="102" t="s">
        <v>28523</v>
      </c>
      <c r="C11" s="102" t="s">
        <v>46</v>
      </c>
      <c r="D11" s="102" t="s">
        <v>28539</v>
      </c>
      <c r="E11" s="102" t="s">
        <v>28540</v>
      </c>
      <c r="F11" s="102" t="s">
        <v>91</v>
      </c>
      <c r="G11" s="102" t="s">
        <v>28540</v>
      </c>
      <c r="H11" s="102" t="s">
        <v>28431</v>
      </c>
      <c r="I11" s="102" t="s">
        <v>141</v>
      </c>
      <c r="J11" s="102" t="s">
        <v>26132</v>
      </c>
      <c r="K11" s="102" t="s">
        <v>25678</v>
      </c>
      <c r="L11" s="102" t="s">
        <v>25607</v>
      </c>
      <c r="M11" s="102" t="s">
        <v>26672</v>
      </c>
      <c r="N11" s="102">
        <v>605.55999999999995</v>
      </c>
      <c r="S11" t="str">
        <f t="shared" ref="S11:S13" si="3">A11&amp;"-"&amp;T11</f>
        <v>94-003-18-00</v>
      </c>
      <c r="T11" s="129" t="s">
        <v>25308</v>
      </c>
      <c r="U11" s="112">
        <v>2</v>
      </c>
    </row>
    <row r="12" spans="1:21" x14ac:dyDescent="0.2">
      <c r="A12" s="102" t="s">
        <v>28445</v>
      </c>
      <c r="B12" s="102" t="s">
        <v>28523</v>
      </c>
      <c r="C12" s="102" t="s">
        <v>46</v>
      </c>
      <c r="D12" s="102" t="s">
        <v>28539</v>
      </c>
      <c r="E12" s="102" t="s">
        <v>28540</v>
      </c>
      <c r="F12" s="102" t="s">
        <v>91</v>
      </c>
      <c r="G12" s="102" t="s">
        <v>28540</v>
      </c>
      <c r="H12" s="102" t="s">
        <v>28544</v>
      </c>
      <c r="I12" s="102" t="s">
        <v>27</v>
      </c>
      <c r="J12" s="102" t="s">
        <v>26132</v>
      </c>
      <c r="K12" s="102" t="s">
        <v>25678</v>
      </c>
      <c r="L12" s="102" t="s">
        <v>25607</v>
      </c>
      <c r="M12" s="102" t="s">
        <v>26672</v>
      </c>
      <c r="N12" s="102">
        <v>605.55999999999995</v>
      </c>
      <c r="S12" t="str">
        <f t="shared" si="3"/>
        <v>94-003-06-00</v>
      </c>
      <c r="T12" s="129" t="s">
        <v>25308</v>
      </c>
      <c r="U12" s="112">
        <v>2</v>
      </c>
    </row>
    <row r="13" spans="1:21" x14ac:dyDescent="0.2">
      <c r="A13" s="102" t="s">
        <v>28446</v>
      </c>
      <c r="B13" s="102" t="s">
        <v>28524</v>
      </c>
      <c r="C13" s="102" t="s">
        <v>46</v>
      </c>
      <c r="D13" s="102" t="s">
        <v>28539</v>
      </c>
      <c r="E13" s="102" t="s">
        <v>28540</v>
      </c>
      <c r="F13" s="102" t="s">
        <v>91</v>
      </c>
      <c r="G13" s="102" t="s">
        <v>28540</v>
      </c>
      <c r="H13" s="102" t="s">
        <v>28546</v>
      </c>
      <c r="I13" s="102" t="s">
        <v>1</v>
      </c>
      <c r="J13" s="102" t="s">
        <v>11</v>
      </c>
      <c r="K13" s="102" t="s">
        <v>25687</v>
      </c>
      <c r="L13" s="102" t="s">
        <v>25607</v>
      </c>
      <c r="M13" s="102" t="s">
        <v>26672</v>
      </c>
      <c r="N13" s="102">
        <v>661.11</v>
      </c>
      <c r="S13" t="str">
        <f t="shared" si="3"/>
        <v>94-004-09-00</v>
      </c>
      <c r="T13" s="129" t="s">
        <v>25308</v>
      </c>
      <c r="U13" s="112">
        <v>12</v>
      </c>
    </row>
    <row r="14" spans="1:21" x14ac:dyDescent="0.2">
      <c r="A14" s="102" t="s">
        <v>28447</v>
      </c>
      <c r="B14" s="102" t="s">
        <v>28524</v>
      </c>
      <c r="C14" s="102" t="s">
        <v>46</v>
      </c>
      <c r="D14" s="102" t="s">
        <v>28539</v>
      </c>
      <c r="E14" s="102" t="s">
        <v>28540</v>
      </c>
      <c r="F14" s="102" t="s">
        <v>91</v>
      </c>
      <c r="G14" s="102" t="s">
        <v>28540</v>
      </c>
      <c r="H14" s="102" t="s">
        <v>28541</v>
      </c>
      <c r="I14" s="102" t="s">
        <v>26</v>
      </c>
      <c r="J14" s="102" t="s">
        <v>11</v>
      </c>
      <c r="K14" s="102" t="s">
        <v>25687</v>
      </c>
      <c r="L14" s="102" t="s">
        <v>25607</v>
      </c>
      <c r="M14" s="102" t="s">
        <v>26672</v>
      </c>
      <c r="N14" s="102">
        <v>661.11</v>
      </c>
      <c r="S14" t="str">
        <f t="shared" ref="S14:S16" si="4">A14&amp;"-"&amp;T14</f>
        <v>94-004-05-00</v>
      </c>
      <c r="T14" s="129" t="s">
        <v>25308</v>
      </c>
      <c r="U14" s="112">
        <v>8</v>
      </c>
    </row>
    <row r="15" spans="1:21" x14ac:dyDescent="0.2">
      <c r="A15" s="102" t="s">
        <v>28448</v>
      </c>
      <c r="B15" s="102" t="s">
        <v>28524</v>
      </c>
      <c r="C15" s="102" t="s">
        <v>46</v>
      </c>
      <c r="D15" s="102" t="s">
        <v>28539</v>
      </c>
      <c r="E15" s="102" t="s">
        <v>28540</v>
      </c>
      <c r="F15" s="102" t="s">
        <v>91</v>
      </c>
      <c r="G15" s="102" t="s">
        <v>28540</v>
      </c>
      <c r="H15" s="102" t="s">
        <v>28547</v>
      </c>
      <c r="I15" s="102" t="s">
        <v>28</v>
      </c>
      <c r="J15" s="102" t="s">
        <v>11</v>
      </c>
      <c r="K15" s="102" t="s">
        <v>25687</v>
      </c>
      <c r="L15" s="102" t="s">
        <v>25607</v>
      </c>
      <c r="M15" s="102" t="s">
        <v>26672</v>
      </c>
      <c r="N15" s="102">
        <v>661.11</v>
      </c>
      <c r="S15" t="str">
        <f t="shared" si="4"/>
        <v>94-004-08-00</v>
      </c>
      <c r="T15" s="129" t="s">
        <v>25308</v>
      </c>
      <c r="U15" s="112">
        <v>6</v>
      </c>
    </row>
    <row r="16" spans="1:21" x14ac:dyDescent="0.2">
      <c r="A16" s="102" t="s">
        <v>28449</v>
      </c>
      <c r="B16" s="102" t="s">
        <v>28524</v>
      </c>
      <c r="C16" s="102" t="s">
        <v>46</v>
      </c>
      <c r="D16" s="102" t="s">
        <v>28539</v>
      </c>
      <c r="E16" s="102" t="s">
        <v>28540</v>
      </c>
      <c r="F16" s="102" t="s">
        <v>91</v>
      </c>
      <c r="G16" s="102" t="s">
        <v>28540</v>
      </c>
      <c r="H16" s="102" t="s">
        <v>28543</v>
      </c>
      <c r="I16" s="102" t="s">
        <v>23</v>
      </c>
      <c r="J16" s="102" t="s">
        <v>11</v>
      </c>
      <c r="K16" s="102" t="s">
        <v>25687</v>
      </c>
      <c r="L16" s="102" t="s">
        <v>25607</v>
      </c>
      <c r="M16" s="102" t="s">
        <v>26672</v>
      </c>
      <c r="N16" s="102">
        <v>661.11</v>
      </c>
      <c r="S16" t="str">
        <f t="shared" si="4"/>
        <v>94-004-16-00</v>
      </c>
      <c r="T16" s="129" t="s">
        <v>25308</v>
      </c>
      <c r="U16" s="112">
        <v>8</v>
      </c>
    </row>
    <row r="17" spans="1:21" x14ac:dyDescent="0.2">
      <c r="A17" s="102" t="s">
        <v>28450</v>
      </c>
      <c r="B17" s="102" t="s">
        <v>28524</v>
      </c>
      <c r="C17" s="102" t="s">
        <v>46</v>
      </c>
      <c r="D17" s="102" t="s">
        <v>28539</v>
      </c>
      <c r="E17" s="102" t="s">
        <v>28540</v>
      </c>
      <c r="F17" s="102" t="s">
        <v>91</v>
      </c>
      <c r="G17" s="102" t="s">
        <v>28540</v>
      </c>
      <c r="H17" s="102" t="s">
        <v>28431</v>
      </c>
      <c r="I17" s="102" t="s">
        <v>141</v>
      </c>
      <c r="J17" s="102" t="s">
        <v>11</v>
      </c>
      <c r="K17" s="102" t="s">
        <v>25687</v>
      </c>
      <c r="L17" s="102" t="s">
        <v>25607</v>
      </c>
      <c r="M17" s="102" t="s">
        <v>26672</v>
      </c>
      <c r="N17" s="102">
        <v>661.11</v>
      </c>
      <c r="S17" t="str">
        <f t="shared" ref="S17:S18" si="5">A17&amp;"-"&amp;T17</f>
        <v>94-004-18-00</v>
      </c>
      <c r="T17" s="129" t="s">
        <v>25308</v>
      </c>
      <c r="U17" s="112">
        <v>4</v>
      </c>
    </row>
    <row r="18" spans="1:21" x14ac:dyDescent="0.2">
      <c r="A18" s="102" t="s">
        <v>28451</v>
      </c>
      <c r="B18" s="102" t="s">
        <v>28524</v>
      </c>
      <c r="C18" s="102" t="s">
        <v>46</v>
      </c>
      <c r="D18" s="102" t="s">
        <v>28539</v>
      </c>
      <c r="E18" s="102" t="s">
        <v>28540</v>
      </c>
      <c r="F18" s="102" t="s">
        <v>91</v>
      </c>
      <c r="G18" s="102" t="s">
        <v>28540</v>
      </c>
      <c r="H18" s="102" t="s">
        <v>28545</v>
      </c>
      <c r="I18" s="102" t="s">
        <v>100</v>
      </c>
      <c r="J18" s="102" t="s">
        <v>11</v>
      </c>
      <c r="K18" s="102" t="s">
        <v>25687</v>
      </c>
      <c r="L18" s="102" t="s">
        <v>25607</v>
      </c>
      <c r="M18" s="102" t="s">
        <v>26672</v>
      </c>
      <c r="N18" s="102">
        <v>661.11</v>
      </c>
      <c r="S18" t="str">
        <f t="shared" si="5"/>
        <v>94-004-17-00</v>
      </c>
      <c r="T18" s="129" t="s">
        <v>25308</v>
      </c>
      <c r="U18" s="112">
        <v>2</v>
      </c>
    </row>
    <row r="19" spans="1:21" x14ac:dyDescent="0.2">
      <c r="A19" s="102" t="s">
        <v>28452</v>
      </c>
      <c r="B19" s="102" t="s">
        <v>28525</v>
      </c>
      <c r="C19" s="102" t="s">
        <v>46</v>
      </c>
      <c r="D19" s="102" t="s">
        <v>28539</v>
      </c>
      <c r="E19" s="102" t="s">
        <v>28540</v>
      </c>
      <c r="F19" s="102" t="s">
        <v>91</v>
      </c>
      <c r="G19" s="102" t="s">
        <v>28540</v>
      </c>
      <c r="H19" s="102" t="s">
        <v>28548</v>
      </c>
      <c r="I19" s="102" t="s">
        <v>28244</v>
      </c>
      <c r="J19" s="102" t="s">
        <v>11</v>
      </c>
      <c r="K19" s="102" t="s">
        <v>25687</v>
      </c>
      <c r="L19" s="102" t="s">
        <v>25607</v>
      </c>
      <c r="M19" s="102" t="s">
        <v>26672</v>
      </c>
      <c r="N19" s="102">
        <v>661.11</v>
      </c>
      <c r="S19" t="str">
        <f t="shared" ref="S19:S21" si="6">A19&amp;"-"&amp;T19</f>
        <v>94-005-09-00</v>
      </c>
      <c r="T19" s="129" t="s">
        <v>25308</v>
      </c>
      <c r="U19" s="112">
        <v>4</v>
      </c>
    </row>
    <row r="20" spans="1:21" x14ac:dyDescent="0.2">
      <c r="A20" s="102" t="s">
        <v>28453</v>
      </c>
      <c r="B20" s="102" t="s">
        <v>28525</v>
      </c>
      <c r="C20" s="102" t="s">
        <v>46</v>
      </c>
      <c r="D20" s="102" t="s">
        <v>28539</v>
      </c>
      <c r="E20" s="102" t="s">
        <v>28540</v>
      </c>
      <c r="F20" s="102" t="s">
        <v>91</v>
      </c>
      <c r="G20" s="102" t="s">
        <v>28540</v>
      </c>
      <c r="H20" s="102" t="s">
        <v>28549</v>
      </c>
      <c r="I20" s="102" t="s">
        <v>137</v>
      </c>
      <c r="J20" s="102" t="s">
        <v>11</v>
      </c>
      <c r="K20" s="102" t="s">
        <v>25687</v>
      </c>
      <c r="L20" s="102" t="s">
        <v>25607</v>
      </c>
      <c r="M20" s="102" t="s">
        <v>26672</v>
      </c>
      <c r="N20" s="102">
        <v>661.11</v>
      </c>
      <c r="S20" t="str">
        <f t="shared" si="6"/>
        <v>94-005-72-00</v>
      </c>
      <c r="T20" s="129" t="s">
        <v>25308</v>
      </c>
      <c r="U20" s="112">
        <v>2</v>
      </c>
    </row>
    <row r="21" spans="1:21" x14ac:dyDescent="0.2">
      <c r="A21" s="102" t="s">
        <v>28454</v>
      </c>
      <c r="B21" s="102" t="s">
        <v>28525</v>
      </c>
      <c r="C21" s="102" t="s">
        <v>46</v>
      </c>
      <c r="D21" s="102" t="s">
        <v>28539</v>
      </c>
      <c r="E21" s="102" t="s">
        <v>28540</v>
      </c>
      <c r="F21" s="102" t="s">
        <v>91</v>
      </c>
      <c r="G21" s="102" t="s">
        <v>28540</v>
      </c>
      <c r="H21" s="102" t="s">
        <v>28550</v>
      </c>
      <c r="I21" s="102" t="s">
        <v>25537</v>
      </c>
      <c r="J21" s="102" t="s">
        <v>11</v>
      </c>
      <c r="K21" s="102" t="s">
        <v>25687</v>
      </c>
      <c r="L21" s="102" t="s">
        <v>25607</v>
      </c>
      <c r="M21" s="102" t="s">
        <v>26672</v>
      </c>
      <c r="N21" s="102">
        <v>661.11</v>
      </c>
      <c r="S21" t="str">
        <f t="shared" si="6"/>
        <v>94-005-10-00</v>
      </c>
      <c r="T21" s="129" t="s">
        <v>25308</v>
      </c>
      <c r="U21" s="112">
        <v>6</v>
      </c>
    </row>
    <row r="22" spans="1:21" x14ac:dyDescent="0.2">
      <c r="A22" s="102" t="s">
        <v>28455</v>
      </c>
      <c r="B22" s="102" t="s">
        <v>28525</v>
      </c>
      <c r="C22" s="102" t="s">
        <v>46</v>
      </c>
      <c r="D22" s="102" t="s">
        <v>28539</v>
      </c>
      <c r="E22" s="102" t="s">
        <v>28540</v>
      </c>
      <c r="F22" s="102" t="s">
        <v>91</v>
      </c>
      <c r="G22" s="102" t="s">
        <v>28540</v>
      </c>
      <c r="H22" s="102" t="s">
        <v>28551</v>
      </c>
      <c r="I22" s="147" t="s">
        <v>25538</v>
      </c>
      <c r="J22" s="102" t="s">
        <v>11</v>
      </c>
      <c r="K22" s="102" t="s">
        <v>25687</v>
      </c>
      <c r="L22" s="102" t="s">
        <v>25607</v>
      </c>
      <c r="M22" s="102" t="s">
        <v>26672</v>
      </c>
      <c r="N22" s="102">
        <v>661.11</v>
      </c>
      <c r="S22" t="str">
        <f t="shared" ref="S22:S24" si="7">A22&amp;"-"&amp;T22</f>
        <v>94-005-33-00</v>
      </c>
      <c r="T22" s="129" t="s">
        <v>25308</v>
      </c>
      <c r="U22" s="112">
        <v>4</v>
      </c>
    </row>
    <row r="23" spans="1:21" x14ac:dyDescent="0.2">
      <c r="A23" s="102" t="s">
        <v>28456</v>
      </c>
      <c r="B23" s="102" t="s">
        <v>28525</v>
      </c>
      <c r="C23" s="102" t="s">
        <v>46</v>
      </c>
      <c r="D23" s="102" t="s">
        <v>28539</v>
      </c>
      <c r="E23" s="102" t="s">
        <v>28540</v>
      </c>
      <c r="F23" s="102" t="s">
        <v>91</v>
      </c>
      <c r="G23" s="102" t="s">
        <v>28540</v>
      </c>
      <c r="H23" s="102" t="s">
        <v>28552</v>
      </c>
      <c r="I23" s="102" t="s">
        <v>28251</v>
      </c>
      <c r="J23" s="102" t="s">
        <v>11</v>
      </c>
      <c r="K23" s="102" t="s">
        <v>25687</v>
      </c>
      <c r="L23" s="102" t="s">
        <v>25607</v>
      </c>
      <c r="M23" s="102" t="s">
        <v>26672</v>
      </c>
      <c r="N23" s="102">
        <v>661.11</v>
      </c>
      <c r="S23" t="str">
        <f t="shared" si="7"/>
        <v>94-005-71-00</v>
      </c>
      <c r="T23" s="129" t="s">
        <v>25308</v>
      </c>
      <c r="U23" s="112">
        <v>4</v>
      </c>
    </row>
    <row r="24" spans="1:21" x14ac:dyDescent="0.2">
      <c r="A24" s="102" t="s">
        <v>28457</v>
      </c>
      <c r="B24" s="102" t="s">
        <v>28526</v>
      </c>
      <c r="C24" s="102" t="s">
        <v>46</v>
      </c>
      <c r="D24" s="102" t="s">
        <v>28539</v>
      </c>
      <c r="E24" s="102" t="s">
        <v>28540</v>
      </c>
      <c r="F24" s="102" t="s">
        <v>91</v>
      </c>
      <c r="G24" s="102" t="s">
        <v>28540</v>
      </c>
      <c r="H24" s="102" t="s">
        <v>28553</v>
      </c>
      <c r="I24" s="102" t="s">
        <v>104</v>
      </c>
      <c r="J24" s="102" t="s">
        <v>26231</v>
      </c>
      <c r="L24" s="102" t="s">
        <v>25607</v>
      </c>
      <c r="M24" s="102" t="s">
        <v>26672</v>
      </c>
      <c r="N24" s="102">
        <v>661.11</v>
      </c>
      <c r="S24" t="str">
        <f t="shared" si="7"/>
        <v>94-006-00-00</v>
      </c>
      <c r="T24" s="129" t="s">
        <v>25308</v>
      </c>
      <c r="U24" s="112">
        <v>6</v>
      </c>
    </row>
    <row r="25" spans="1:21" x14ac:dyDescent="0.2">
      <c r="A25" s="102" t="s">
        <v>28458</v>
      </c>
      <c r="B25" s="102" t="s">
        <v>28527</v>
      </c>
      <c r="C25" s="102" t="s">
        <v>46</v>
      </c>
      <c r="D25" s="102" t="s">
        <v>28539</v>
      </c>
      <c r="E25" s="102" t="s">
        <v>28540</v>
      </c>
      <c r="F25" s="102" t="s">
        <v>91</v>
      </c>
      <c r="G25" s="102" t="s">
        <v>28540</v>
      </c>
      <c r="H25" s="102" t="s">
        <v>28546</v>
      </c>
      <c r="I25" s="102" t="s">
        <v>1</v>
      </c>
      <c r="J25" s="102" t="s">
        <v>26433</v>
      </c>
      <c r="L25" s="102" t="s">
        <v>25607</v>
      </c>
      <c r="M25" s="102" t="s">
        <v>26672</v>
      </c>
      <c r="N25" s="102">
        <v>661.11</v>
      </c>
      <c r="S25" t="str">
        <f t="shared" ref="S25:S26" si="8">A25&amp;"-"&amp;T25</f>
        <v>94-007-09-00</v>
      </c>
      <c r="T25" s="129" t="s">
        <v>25308</v>
      </c>
      <c r="U25" s="112">
        <v>2</v>
      </c>
    </row>
    <row r="26" spans="1:21" x14ac:dyDescent="0.2">
      <c r="A26" s="102" t="s">
        <v>28459</v>
      </c>
      <c r="B26" s="102" t="s">
        <v>28527</v>
      </c>
      <c r="C26" s="102" t="s">
        <v>46</v>
      </c>
      <c r="D26" s="102" t="s">
        <v>28539</v>
      </c>
      <c r="E26" s="102" t="s">
        <v>28540</v>
      </c>
      <c r="F26" s="102" t="s">
        <v>91</v>
      </c>
      <c r="G26" s="102" t="s">
        <v>28540</v>
      </c>
      <c r="H26" s="102" t="s">
        <v>28541</v>
      </c>
      <c r="I26" s="102" t="s">
        <v>26</v>
      </c>
      <c r="J26" s="102" t="s">
        <v>26433</v>
      </c>
      <c r="L26" s="102" t="s">
        <v>25607</v>
      </c>
      <c r="M26" s="102" t="s">
        <v>26672</v>
      </c>
      <c r="N26" s="102">
        <v>661.11</v>
      </c>
      <c r="S26" t="str">
        <f t="shared" si="8"/>
        <v>94-007-05-00</v>
      </c>
      <c r="T26" s="129" t="s">
        <v>25308</v>
      </c>
      <c r="U26" s="112">
        <v>16</v>
      </c>
    </row>
    <row r="27" spans="1:21" x14ac:dyDescent="0.2">
      <c r="A27" s="102" t="s">
        <v>28460</v>
      </c>
      <c r="B27" s="102" t="s">
        <v>28527</v>
      </c>
      <c r="C27" s="102" t="s">
        <v>46</v>
      </c>
      <c r="D27" s="102" t="s">
        <v>28539</v>
      </c>
      <c r="E27" s="102" t="s">
        <v>28540</v>
      </c>
      <c r="F27" s="102" t="s">
        <v>91</v>
      </c>
      <c r="G27" s="102" t="s">
        <v>28540</v>
      </c>
      <c r="H27" s="102" t="s">
        <v>28554</v>
      </c>
      <c r="I27" s="102" t="s">
        <v>25472</v>
      </c>
      <c r="J27" s="102" t="s">
        <v>26433</v>
      </c>
      <c r="L27" s="102" t="s">
        <v>25607</v>
      </c>
      <c r="M27" s="102" t="s">
        <v>26672</v>
      </c>
      <c r="N27" s="102">
        <v>661.11</v>
      </c>
      <c r="S27" t="str">
        <f t="shared" ref="S27:S29" si="9">A27&amp;"-"&amp;T27</f>
        <v>94-007-01-00</v>
      </c>
      <c r="T27" s="129" t="s">
        <v>25308</v>
      </c>
      <c r="U27" s="112">
        <v>14</v>
      </c>
    </row>
    <row r="28" spans="1:21" x14ac:dyDescent="0.2">
      <c r="A28" s="102" t="s">
        <v>28461</v>
      </c>
      <c r="B28" s="102" t="s">
        <v>28527</v>
      </c>
      <c r="C28" s="102" t="s">
        <v>46</v>
      </c>
      <c r="D28" s="102" t="s">
        <v>28539</v>
      </c>
      <c r="E28" s="102" t="s">
        <v>28540</v>
      </c>
      <c r="F28" s="102" t="s">
        <v>91</v>
      </c>
      <c r="G28" s="102" t="s">
        <v>28540</v>
      </c>
      <c r="H28" s="102" t="s">
        <v>28555</v>
      </c>
      <c r="I28" s="102" t="s">
        <v>34</v>
      </c>
      <c r="J28" s="102" t="s">
        <v>26433</v>
      </c>
      <c r="L28" s="102" t="s">
        <v>25607</v>
      </c>
      <c r="M28" s="102" t="s">
        <v>26672</v>
      </c>
      <c r="N28" s="102">
        <v>661.11</v>
      </c>
      <c r="S28" t="str">
        <f t="shared" si="9"/>
        <v>94-007-19-00</v>
      </c>
      <c r="T28" s="129" t="s">
        <v>25308</v>
      </c>
      <c r="U28" s="112">
        <v>16</v>
      </c>
    </row>
    <row r="29" spans="1:21" x14ac:dyDescent="0.2">
      <c r="A29" s="102" t="s">
        <v>28462</v>
      </c>
      <c r="B29" s="102" t="s">
        <v>28527</v>
      </c>
      <c r="C29" s="102" t="s">
        <v>46</v>
      </c>
      <c r="D29" s="102" t="s">
        <v>28539</v>
      </c>
      <c r="E29" s="102" t="s">
        <v>28540</v>
      </c>
      <c r="F29" s="102" t="s">
        <v>91</v>
      </c>
      <c r="G29" s="102" t="s">
        <v>28540</v>
      </c>
      <c r="H29" s="102" t="s">
        <v>28556</v>
      </c>
      <c r="I29" s="102" t="s">
        <v>96</v>
      </c>
      <c r="J29" s="102" t="s">
        <v>26433</v>
      </c>
      <c r="L29" s="102" t="s">
        <v>25607</v>
      </c>
      <c r="M29" s="102" t="s">
        <v>26672</v>
      </c>
      <c r="N29" s="102">
        <v>661.11</v>
      </c>
      <c r="S29" t="str">
        <f t="shared" si="9"/>
        <v>94-007-12-00</v>
      </c>
      <c r="T29" s="129" t="s">
        <v>25308</v>
      </c>
      <c r="U29" s="112">
        <v>7</v>
      </c>
    </row>
    <row r="30" spans="1:21" x14ac:dyDescent="0.2">
      <c r="A30" s="102" t="s">
        <v>28463</v>
      </c>
      <c r="B30" s="102" t="s">
        <v>28527</v>
      </c>
      <c r="C30" s="102" t="s">
        <v>46</v>
      </c>
      <c r="D30" s="102" t="s">
        <v>28539</v>
      </c>
      <c r="E30" s="102" t="s">
        <v>28540</v>
      </c>
      <c r="F30" s="102" t="s">
        <v>91</v>
      </c>
      <c r="G30" s="102" t="s">
        <v>28540</v>
      </c>
      <c r="H30" s="102" t="s">
        <v>28543</v>
      </c>
      <c r="I30" s="102" t="s">
        <v>23</v>
      </c>
      <c r="J30" s="102" t="s">
        <v>26433</v>
      </c>
      <c r="L30" s="102" t="s">
        <v>25607</v>
      </c>
      <c r="M30" s="102" t="s">
        <v>26672</v>
      </c>
      <c r="N30" s="102">
        <v>661.11</v>
      </c>
      <c r="S30" t="str">
        <f t="shared" ref="S30:S32" si="10">A30&amp;"-"&amp;T30</f>
        <v>94-007-16-00</v>
      </c>
      <c r="T30" s="129" t="s">
        <v>25308</v>
      </c>
      <c r="U30" s="112">
        <v>10</v>
      </c>
    </row>
    <row r="31" spans="1:21" x14ac:dyDescent="0.2">
      <c r="A31" s="102" t="s">
        <v>28464</v>
      </c>
      <c r="B31" s="102" t="s">
        <v>28527</v>
      </c>
      <c r="C31" s="102" t="s">
        <v>46</v>
      </c>
      <c r="D31" s="102" t="s">
        <v>28539</v>
      </c>
      <c r="E31" s="102" t="s">
        <v>28540</v>
      </c>
      <c r="F31" s="102" t="s">
        <v>91</v>
      </c>
      <c r="G31" s="102" t="s">
        <v>28540</v>
      </c>
      <c r="H31" s="102" t="s">
        <v>28557</v>
      </c>
      <c r="I31" s="102" t="s">
        <v>123</v>
      </c>
      <c r="J31" s="102" t="s">
        <v>26433</v>
      </c>
      <c r="L31" s="102" t="s">
        <v>25607</v>
      </c>
      <c r="M31" s="102" t="s">
        <v>26672</v>
      </c>
      <c r="N31" s="102">
        <v>661.11</v>
      </c>
      <c r="S31" t="str">
        <f t="shared" si="10"/>
        <v>94-007-13-00</v>
      </c>
      <c r="T31" s="129" t="s">
        <v>25308</v>
      </c>
      <c r="U31" s="112">
        <v>4</v>
      </c>
    </row>
    <row r="32" spans="1:21" x14ac:dyDescent="0.2">
      <c r="A32" s="102" t="s">
        <v>28465</v>
      </c>
      <c r="B32" s="102" t="s">
        <v>28527</v>
      </c>
      <c r="C32" s="102" t="s">
        <v>46</v>
      </c>
      <c r="D32" s="102" t="s">
        <v>28539</v>
      </c>
      <c r="E32" s="102" t="s">
        <v>28540</v>
      </c>
      <c r="F32" s="102" t="s">
        <v>91</v>
      </c>
      <c r="G32" s="102" t="s">
        <v>28540</v>
      </c>
      <c r="H32" s="102" t="s">
        <v>28431</v>
      </c>
      <c r="I32" s="102" t="s">
        <v>141</v>
      </c>
      <c r="J32" s="102" t="s">
        <v>26433</v>
      </c>
      <c r="L32" s="102" t="s">
        <v>25607</v>
      </c>
      <c r="M32" s="102" t="s">
        <v>26672</v>
      </c>
      <c r="N32" s="102">
        <v>661.11</v>
      </c>
      <c r="S32" t="str">
        <f t="shared" si="10"/>
        <v>94-007-18-00</v>
      </c>
      <c r="T32" s="129" t="s">
        <v>25308</v>
      </c>
      <c r="U32" s="112">
        <v>4</v>
      </c>
    </row>
    <row r="33" spans="1:21" x14ac:dyDescent="0.2">
      <c r="A33" s="102" t="s">
        <v>28466</v>
      </c>
      <c r="B33" s="102" t="s">
        <v>28527</v>
      </c>
      <c r="C33" s="102" t="s">
        <v>46</v>
      </c>
      <c r="D33" s="102" t="s">
        <v>28539</v>
      </c>
      <c r="E33" s="102" t="s">
        <v>28540</v>
      </c>
      <c r="F33" s="102" t="s">
        <v>91</v>
      </c>
      <c r="G33" s="102" t="s">
        <v>28540</v>
      </c>
      <c r="H33" s="102" t="s">
        <v>28544</v>
      </c>
      <c r="I33" s="102" t="s">
        <v>27</v>
      </c>
      <c r="J33" s="102" t="s">
        <v>26433</v>
      </c>
      <c r="L33" s="102" t="s">
        <v>25607</v>
      </c>
      <c r="M33" s="102" t="s">
        <v>26672</v>
      </c>
      <c r="N33" s="102">
        <v>661.11</v>
      </c>
      <c r="S33" t="str">
        <f t="shared" ref="S33:S34" si="11">A33&amp;"-"&amp;T33</f>
        <v>94-007-06-00</v>
      </c>
      <c r="T33" s="129" t="s">
        <v>25308</v>
      </c>
      <c r="U33" s="112">
        <v>4</v>
      </c>
    </row>
    <row r="34" spans="1:21" x14ac:dyDescent="0.2">
      <c r="A34" s="102" t="s">
        <v>28467</v>
      </c>
      <c r="B34" s="102" t="s">
        <v>28527</v>
      </c>
      <c r="C34" s="102" t="s">
        <v>46</v>
      </c>
      <c r="D34" s="102" t="s">
        <v>28539</v>
      </c>
      <c r="E34" s="102" t="s">
        <v>28540</v>
      </c>
      <c r="F34" s="102" t="s">
        <v>91</v>
      </c>
      <c r="G34" s="102" t="s">
        <v>28540</v>
      </c>
      <c r="H34" s="102" t="s">
        <v>28558</v>
      </c>
      <c r="I34" s="102" t="s">
        <v>28</v>
      </c>
      <c r="J34" s="102" t="s">
        <v>26433</v>
      </c>
      <c r="L34" s="102" t="s">
        <v>25607</v>
      </c>
      <c r="M34" s="102" t="s">
        <v>26672</v>
      </c>
      <c r="N34" s="102">
        <v>661.11</v>
      </c>
      <c r="S34" t="str">
        <f t="shared" si="11"/>
        <v>94-007-08-00</v>
      </c>
      <c r="T34" s="129" t="s">
        <v>25308</v>
      </c>
      <c r="U34" s="112">
        <v>4</v>
      </c>
    </row>
    <row r="35" spans="1:21" x14ac:dyDescent="0.2">
      <c r="A35" s="102" t="s">
        <v>28468</v>
      </c>
      <c r="B35" s="102" t="s">
        <v>28527</v>
      </c>
      <c r="C35" s="102" t="s">
        <v>46</v>
      </c>
      <c r="D35" s="102" t="s">
        <v>28539</v>
      </c>
      <c r="E35" s="102" t="s">
        <v>28540</v>
      </c>
      <c r="F35" s="102" t="s">
        <v>91</v>
      </c>
      <c r="G35" s="102" t="s">
        <v>28540</v>
      </c>
      <c r="H35" s="102" t="s">
        <v>28559</v>
      </c>
      <c r="I35" s="102" t="s">
        <v>54</v>
      </c>
      <c r="J35" s="102" t="s">
        <v>26433</v>
      </c>
      <c r="L35" s="102" t="s">
        <v>25607</v>
      </c>
      <c r="M35" s="102" t="s">
        <v>26672</v>
      </c>
      <c r="N35" s="102">
        <v>661.11</v>
      </c>
      <c r="S35" t="str">
        <f t="shared" ref="S35:S37" si="12">A35&amp;"-"&amp;T35</f>
        <v>94-007-11-00</v>
      </c>
      <c r="T35" s="129" t="s">
        <v>25308</v>
      </c>
      <c r="U35" s="112">
        <v>4</v>
      </c>
    </row>
    <row r="36" spans="1:21" x14ac:dyDescent="0.2">
      <c r="A36" s="102" t="s">
        <v>28469</v>
      </c>
      <c r="B36" s="102" t="s">
        <v>28527</v>
      </c>
      <c r="C36" s="102" t="s">
        <v>46</v>
      </c>
      <c r="D36" s="102" t="s">
        <v>28539</v>
      </c>
      <c r="E36" s="102" t="s">
        <v>28540</v>
      </c>
      <c r="F36" s="102" t="s">
        <v>91</v>
      </c>
      <c r="G36" s="102" t="s">
        <v>28540</v>
      </c>
      <c r="H36" s="102" t="s">
        <v>28545</v>
      </c>
      <c r="I36" s="102" t="s">
        <v>100</v>
      </c>
      <c r="J36" s="102" t="s">
        <v>213</v>
      </c>
      <c r="K36" s="102" t="s">
        <v>25678</v>
      </c>
      <c r="L36" s="102" t="s">
        <v>25607</v>
      </c>
      <c r="M36" s="102" t="s">
        <v>26672</v>
      </c>
      <c r="N36" s="102">
        <v>661.11</v>
      </c>
      <c r="S36" t="str">
        <f t="shared" si="12"/>
        <v>94-007-17-00</v>
      </c>
      <c r="T36" s="129" t="s">
        <v>25308</v>
      </c>
      <c r="U36" s="112">
        <v>4</v>
      </c>
    </row>
    <row r="37" spans="1:21" x14ac:dyDescent="0.2">
      <c r="A37" s="102" t="s">
        <v>28470</v>
      </c>
      <c r="B37" s="102" t="s">
        <v>28528</v>
      </c>
      <c r="C37" s="102" t="s">
        <v>46</v>
      </c>
      <c r="D37" s="102" t="s">
        <v>28539</v>
      </c>
      <c r="E37" s="102" t="s">
        <v>28540</v>
      </c>
      <c r="F37" s="102" t="s">
        <v>91</v>
      </c>
      <c r="G37" s="102" t="s">
        <v>28540</v>
      </c>
      <c r="H37" s="102" t="s">
        <v>28560</v>
      </c>
      <c r="I37" s="102" t="s">
        <v>104</v>
      </c>
      <c r="J37" s="102" t="s">
        <v>28578</v>
      </c>
      <c r="K37" s="102" t="s">
        <v>25687</v>
      </c>
      <c r="L37" s="102" t="s">
        <v>25607</v>
      </c>
      <c r="M37" s="102" t="s">
        <v>26672</v>
      </c>
      <c r="N37" s="102">
        <v>716.67</v>
      </c>
      <c r="S37" t="str">
        <f t="shared" si="12"/>
        <v>94-008-00-00</v>
      </c>
      <c r="T37" s="129" t="s">
        <v>25308</v>
      </c>
      <c r="U37" s="112">
        <v>6</v>
      </c>
    </row>
    <row r="38" spans="1:21" x14ac:dyDescent="0.2">
      <c r="A38" s="102" t="s">
        <v>28471</v>
      </c>
      <c r="B38" s="102" t="s">
        <v>28529</v>
      </c>
      <c r="C38" s="102" t="s">
        <v>46</v>
      </c>
      <c r="D38" s="102" t="s">
        <v>28539</v>
      </c>
      <c r="E38" s="102" t="s">
        <v>28540</v>
      </c>
      <c r="F38" s="102" t="s">
        <v>91</v>
      </c>
      <c r="G38" s="102" t="s">
        <v>28540</v>
      </c>
      <c r="H38" s="102" t="s">
        <v>28549</v>
      </c>
      <c r="I38" s="102" t="s">
        <v>137</v>
      </c>
      <c r="J38" s="102" t="s">
        <v>26433</v>
      </c>
      <c r="K38" s="102" t="s">
        <v>25678</v>
      </c>
      <c r="L38" s="102" t="s">
        <v>25607</v>
      </c>
      <c r="M38" s="102" t="s">
        <v>26672</v>
      </c>
      <c r="N38" s="102">
        <v>661.11</v>
      </c>
      <c r="S38" t="str">
        <f t="shared" ref="S38:S40" si="13">A38&amp;"-"&amp;T38</f>
        <v>94-009-72-00</v>
      </c>
      <c r="T38" s="129" t="s">
        <v>25308</v>
      </c>
      <c r="U38" s="112">
        <v>4</v>
      </c>
    </row>
    <row r="39" spans="1:21" x14ac:dyDescent="0.2">
      <c r="A39" s="102" t="s">
        <v>28472</v>
      </c>
      <c r="B39" s="102" t="s">
        <v>28529</v>
      </c>
      <c r="C39" s="102" t="s">
        <v>46</v>
      </c>
      <c r="D39" s="102" t="s">
        <v>28539</v>
      </c>
      <c r="E39" s="102" t="s">
        <v>28540</v>
      </c>
      <c r="F39" s="102" t="s">
        <v>91</v>
      </c>
      <c r="G39" s="102" t="s">
        <v>28540</v>
      </c>
      <c r="H39" s="102" t="s">
        <v>28550</v>
      </c>
      <c r="I39" s="102" t="s">
        <v>25537</v>
      </c>
      <c r="J39" s="102" t="s">
        <v>26433</v>
      </c>
      <c r="K39" s="102" t="s">
        <v>25678</v>
      </c>
      <c r="L39" s="102" t="s">
        <v>25607</v>
      </c>
      <c r="M39" s="102" t="s">
        <v>26672</v>
      </c>
      <c r="N39" s="102">
        <v>661.11</v>
      </c>
      <c r="S39" t="str">
        <f t="shared" si="13"/>
        <v>94-009-10-00</v>
      </c>
      <c r="T39" s="129" t="s">
        <v>25308</v>
      </c>
      <c r="U39" s="112">
        <v>8</v>
      </c>
    </row>
    <row r="40" spans="1:21" x14ac:dyDescent="0.2">
      <c r="A40" s="102" t="s">
        <v>28473</v>
      </c>
      <c r="B40" s="102" t="s">
        <v>28529</v>
      </c>
      <c r="C40" s="102" t="s">
        <v>46</v>
      </c>
      <c r="D40" s="102" t="s">
        <v>28539</v>
      </c>
      <c r="E40" s="102" t="s">
        <v>28540</v>
      </c>
      <c r="F40" s="102" t="s">
        <v>91</v>
      </c>
      <c r="G40" s="102" t="s">
        <v>28540</v>
      </c>
      <c r="H40" s="102" t="s">
        <v>28561</v>
      </c>
      <c r="I40" s="102" t="s">
        <v>25486</v>
      </c>
      <c r="J40" s="102" t="s">
        <v>26433</v>
      </c>
      <c r="K40" s="102" t="s">
        <v>25678</v>
      </c>
      <c r="L40" s="102" t="s">
        <v>25607</v>
      </c>
      <c r="M40" s="102" t="s">
        <v>26672</v>
      </c>
      <c r="N40" s="102">
        <v>661.11</v>
      </c>
      <c r="S40" t="str">
        <f t="shared" si="13"/>
        <v>94-009-09-00</v>
      </c>
      <c r="T40" s="129" t="s">
        <v>25308</v>
      </c>
      <c r="U40" s="112">
        <v>6</v>
      </c>
    </row>
    <row r="41" spans="1:21" x14ac:dyDescent="0.2">
      <c r="A41" s="102" t="s">
        <v>28474</v>
      </c>
      <c r="B41" s="102" t="s">
        <v>28529</v>
      </c>
      <c r="C41" s="102" t="s">
        <v>46</v>
      </c>
      <c r="D41" s="102" t="s">
        <v>28539</v>
      </c>
      <c r="E41" s="102" t="s">
        <v>28540</v>
      </c>
      <c r="F41" s="102" t="s">
        <v>91</v>
      </c>
      <c r="G41" s="102" t="s">
        <v>28540</v>
      </c>
      <c r="H41" s="102" t="s">
        <v>28562</v>
      </c>
      <c r="I41" s="102" t="s">
        <v>25481</v>
      </c>
      <c r="J41" s="102" t="s">
        <v>26433</v>
      </c>
      <c r="K41" s="102" t="s">
        <v>25678</v>
      </c>
      <c r="L41" s="102" t="s">
        <v>25607</v>
      </c>
      <c r="M41" s="102" t="s">
        <v>26672</v>
      </c>
      <c r="N41" s="102">
        <v>661.11</v>
      </c>
      <c r="S41" t="str">
        <f t="shared" ref="S41:S42" si="14">A41&amp;"-"&amp;T41</f>
        <v>94-009-08-00</v>
      </c>
      <c r="T41" s="129" t="s">
        <v>25308</v>
      </c>
      <c r="U41" s="112">
        <v>4</v>
      </c>
    </row>
    <row r="42" spans="1:21" x14ac:dyDescent="0.2">
      <c r="A42" s="102" t="s">
        <v>28475</v>
      </c>
      <c r="B42" s="102" t="s">
        <v>28529</v>
      </c>
      <c r="C42" s="102" t="s">
        <v>46</v>
      </c>
      <c r="D42" s="102" t="s">
        <v>28539</v>
      </c>
      <c r="E42" s="102" t="s">
        <v>28540</v>
      </c>
      <c r="F42" s="102" t="s">
        <v>91</v>
      </c>
      <c r="G42" s="102" t="s">
        <v>28540</v>
      </c>
      <c r="H42" s="102" t="s">
        <v>28563</v>
      </c>
      <c r="I42" s="102" t="s">
        <v>28564</v>
      </c>
      <c r="J42" s="102" t="s">
        <v>26433</v>
      </c>
      <c r="K42" s="102" t="s">
        <v>25678</v>
      </c>
      <c r="L42" s="102" t="s">
        <v>25607</v>
      </c>
      <c r="M42" s="102" t="s">
        <v>26672</v>
      </c>
      <c r="N42" s="102">
        <v>661.11</v>
      </c>
      <c r="S42" t="str">
        <f t="shared" si="14"/>
        <v>94-009-11-00</v>
      </c>
      <c r="T42" s="129" t="s">
        <v>25308</v>
      </c>
      <c r="U42" s="112">
        <v>6</v>
      </c>
    </row>
    <row r="43" spans="1:21" x14ac:dyDescent="0.2">
      <c r="A43" s="102" t="s">
        <v>28476</v>
      </c>
      <c r="B43" s="102" t="s">
        <v>28529</v>
      </c>
      <c r="C43" s="102" t="s">
        <v>46</v>
      </c>
      <c r="D43" s="102" t="s">
        <v>28539</v>
      </c>
      <c r="E43" s="102" t="s">
        <v>28540</v>
      </c>
      <c r="F43" s="102" t="s">
        <v>91</v>
      </c>
      <c r="G43" s="102" t="s">
        <v>28540</v>
      </c>
      <c r="H43" s="102" t="s">
        <v>28552</v>
      </c>
      <c r="I43" s="102" t="s">
        <v>28251</v>
      </c>
      <c r="J43" s="102" t="s">
        <v>26433</v>
      </c>
      <c r="K43" s="102" t="s">
        <v>25678</v>
      </c>
      <c r="L43" s="102" t="s">
        <v>25607</v>
      </c>
      <c r="M43" s="102" t="s">
        <v>26672</v>
      </c>
      <c r="N43" s="102">
        <v>661.11</v>
      </c>
      <c r="S43" t="str">
        <f t="shared" ref="S43:S45" si="15">A43&amp;"-"&amp;T43</f>
        <v>94-009-71-00</v>
      </c>
      <c r="T43" s="129" t="s">
        <v>25308</v>
      </c>
      <c r="U43" s="112">
        <v>4</v>
      </c>
    </row>
    <row r="44" spans="1:21" x14ac:dyDescent="0.2">
      <c r="A44" s="102" t="s">
        <v>28477</v>
      </c>
      <c r="B44" s="102" t="s">
        <v>28529</v>
      </c>
      <c r="C44" s="102" t="s">
        <v>46</v>
      </c>
      <c r="D44" s="102" t="s">
        <v>28539</v>
      </c>
      <c r="E44" s="102" t="s">
        <v>28540</v>
      </c>
      <c r="F44" s="102" t="s">
        <v>91</v>
      </c>
      <c r="G44" s="102" t="s">
        <v>28540</v>
      </c>
      <c r="H44" s="102" t="s">
        <v>28565</v>
      </c>
      <c r="I44" s="102" t="s">
        <v>25492</v>
      </c>
      <c r="J44" s="102" t="s">
        <v>26433</v>
      </c>
      <c r="K44" s="102" t="s">
        <v>25678</v>
      </c>
      <c r="L44" s="102" t="s">
        <v>25607</v>
      </c>
      <c r="M44" s="102" t="s">
        <v>26672</v>
      </c>
      <c r="N44" s="102">
        <v>661.11</v>
      </c>
      <c r="S44" t="str">
        <f t="shared" si="15"/>
        <v>94-009-45-00</v>
      </c>
      <c r="T44" s="129" t="s">
        <v>25308</v>
      </c>
      <c r="U44" s="112">
        <v>4</v>
      </c>
    </row>
    <row r="45" spans="1:21" x14ac:dyDescent="0.2">
      <c r="A45" s="102" t="s">
        <v>28478</v>
      </c>
      <c r="B45" s="102" t="s">
        <v>28530</v>
      </c>
      <c r="C45" s="102" t="s">
        <v>46</v>
      </c>
      <c r="D45" s="102" t="s">
        <v>28539</v>
      </c>
      <c r="E45" s="102" t="s">
        <v>28540</v>
      </c>
      <c r="F45" s="102" t="s">
        <v>91</v>
      </c>
      <c r="G45" s="102" t="s">
        <v>28540</v>
      </c>
      <c r="H45" s="102" t="s">
        <v>28566</v>
      </c>
      <c r="I45" s="102" t="s">
        <v>28428</v>
      </c>
      <c r="J45" s="102" t="s">
        <v>26433</v>
      </c>
      <c r="K45" s="102" t="s">
        <v>25678</v>
      </c>
      <c r="L45" s="102" t="s">
        <v>25607</v>
      </c>
      <c r="M45" s="102" t="s">
        <v>26672</v>
      </c>
      <c r="N45" s="102">
        <v>661.11</v>
      </c>
      <c r="S45" t="str">
        <f t="shared" si="15"/>
        <v>94-010-00-00</v>
      </c>
      <c r="T45" s="129" t="s">
        <v>25308</v>
      </c>
      <c r="U45" s="112">
        <v>10</v>
      </c>
    </row>
    <row r="46" spans="1:21" x14ac:dyDescent="0.2">
      <c r="A46" s="102" t="s">
        <v>28479</v>
      </c>
      <c r="B46" s="102" t="s">
        <v>28531</v>
      </c>
      <c r="C46" s="102" t="s">
        <v>46</v>
      </c>
      <c r="D46" s="102" t="s">
        <v>47</v>
      </c>
      <c r="E46" s="102" t="s">
        <v>28540</v>
      </c>
      <c r="F46" s="102" t="s">
        <v>91</v>
      </c>
      <c r="G46" s="102" t="s">
        <v>28540</v>
      </c>
      <c r="H46" s="102" t="s">
        <v>28567</v>
      </c>
      <c r="I46" s="102" t="s">
        <v>22</v>
      </c>
      <c r="J46" s="102" t="s">
        <v>28579</v>
      </c>
      <c r="L46" s="102" t="s">
        <v>25607</v>
      </c>
      <c r="M46" s="102" t="s">
        <v>26672</v>
      </c>
      <c r="N46" s="102">
        <v>716.67</v>
      </c>
      <c r="S46" t="str">
        <f t="shared" ref="S46:S50" si="16">A46&amp;"-"&amp;T46</f>
        <v>94-011-14-56</v>
      </c>
      <c r="T46" s="129" t="s">
        <v>28271</v>
      </c>
      <c r="U46" s="112">
        <v>3</v>
      </c>
    </row>
    <row r="47" spans="1:21" x14ac:dyDescent="0.2">
      <c r="A47" s="102" t="s">
        <v>28479</v>
      </c>
      <c r="B47" s="102" t="s">
        <v>28531</v>
      </c>
      <c r="C47" s="102" t="s">
        <v>46</v>
      </c>
      <c r="D47" s="102" t="s">
        <v>47</v>
      </c>
      <c r="E47" s="102" t="s">
        <v>28540</v>
      </c>
      <c r="F47" s="102" t="s">
        <v>91</v>
      </c>
      <c r="G47" s="102" t="s">
        <v>28540</v>
      </c>
      <c r="H47" s="102" t="s">
        <v>28567</v>
      </c>
      <c r="I47" s="102" t="s">
        <v>22</v>
      </c>
      <c r="J47" s="102" t="s">
        <v>28579</v>
      </c>
      <c r="L47" s="102" t="s">
        <v>25607</v>
      </c>
      <c r="M47" s="102" t="s">
        <v>26672</v>
      </c>
      <c r="N47" s="102">
        <v>716.67</v>
      </c>
      <c r="S47" t="str">
        <f t="shared" si="16"/>
        <v>94-011-14-60</v>
      </c>
      <c r="T47" s="129" t="s">
        <v>28274</v>
      </c>
      <c r="U47" s="112">
        <v>3</v>
      </c>
    </row>
    <row r="48" spans="1:21" x14ac:dyDescent="0.2">
      <c r="A48" s="102" t="s">
        <v>28480</v>
      </c>
      <c r="B48" s="102" t="s">
        <v>28531</v>
      </c>
      <c r="C48" s="102" t="s">
        <v>46</v>
      </c>
      <c r="D48" s="102" t="s">
        <v>47</v>
      </c>
      <c r="E48" s="102" t="s">
        <v>28540</v>
      </c>
      <c r="F48" s="102" t="s">
        <v>91</v>
      </c>
      <c r="G48" s="102" t="s">
        <v>28540</v>
      </c>
      <c r="H48" s="102" t="s">
        <v>28568</v>
      </c>
      <c r="I48" s="102" t="s">
        <v>25408</v>
      </c>
      <c r="J48" s="102" t="s">
        <v>28579</v>
      </c>
      <c r="L48" s="102" t="s">
        <v>25607</v>
      </c>
      <c r="M48" s="102" t="s">
        <v>26672</v>
      </c>
      <c r="N48" s="102">
        <v>716.67</v>
      </c>
      <c r="S48" t="str">
        <f t="shared" si="16"/>
        <v>94-011-00-56</v>
      </c>
      <c r="T48" s="129" t="s">
        <v>28271</v>
      </c>
      <c r="U48" s="112">
        <v>2</v>
      </c>
    </row>
    <row r="49" spans="1:21" x14ac:dyDescent="0.2">
      <c r="A49" s="102" t="s">
        <v>28480</v>
      </c>
      <c r="B49" s="102" t="s">
        <v>28531</v>
      </c>
      <c r="C49" s="102" t="s">
        <v>46</v>
      </c>
      <c r="D49" s="102" t="s">
        <v>47</v>
      </c>
      <c r="E49" s="102" t="s">
        <v>28540</v>
      </c>
      <c r="F49" s="102" t="s">
        <v>91</v>
      </c>
      <c r="G49" s="102" t="s">
        <v>28540</v>
      </c>
      <c r="H49" s="102" t="s">
        <v>28568</v>
      </c>
      <c r="I49" s="102" t="s">
        <v>25408</v>
      </c>
      <c r="J49" s="102" t="s">
        <v>28579</v>
      </c>
      <c r="L49" s="102" t="s">
        <v>25607</v>
      </c>
      <c r="M49" s="102" t="s">
        <v>26672</v>
      </c>
      <c r="N49" s="102">
        <v>716.67</v>
      </c>
      <c r="S49" t="str">
        <f t="shared" si="16"/>
        <v>94-011-00-60</v>
      </c>
      <c r="T49" s="129" t="s">
        <v>28274</v>
      </c>
      <c r="U49" s="112">
        <v>2</v>
      </c>
    </row>
    <row r="50" spans="1:21" x14ac:dyDescent="0.2">
      <c r="A50" s="102" t="s">
        <v>28481</v>
      </c>
      <c r="B50" s="102" t="s">
        <v>28532</v>
      </c>
      <c r="C50" s="102" t="s">
        <v>46</v>
      </c>
      <c r="D50" s="102" t="s">
        <v>92</v>
      </c>
      <c r="E50" s="102" t="s">
        <v>28540</v>
      </c>
      <c r="F50" s="102" t="s">
        <v>91</v>
      </c>
      <c r="G50" s="102" t="s">
        <v>28540</v>
      </c>
      <c r="H50" s="102" t="s">
        <v>28431</v>
      </c>
      <c r="I50" s="102" t="s">
        <v>141</v>
      </c>
      <c r="J50" s="102" t="s">
        <v>59</v>
      </c>
      <c r="L50" s="102" t="s">
        <v>25607</v>
      </c>
      <c r="M50" s="102" t="s">
        <v>26672</v>
      </c>
      <c r="N50" s="102">
        <v>605.55999999999995</v>
      </c>
      <c r="S50" t="str">
        <f t="shared" si="16"/>
        <v>94-012-18-00</v>
      </c>
      <c r="T50" s="129" t="s">
        <v>25308</v>
      </c>
      <c r="U50" s="112">
        <v>2</v>
      </c>
    </row>
    <row r="51" spans="1:21" x14ac:dyDescent="0.2">
      <c r="A51" s="102" t="s">
        <v>28482</v>
      </c>
      <c r="B51" s="102" t="s">
        <v>28532</v>
      </c>
      <c r="C51" s="102" t="s">
        <v>46</v>
      </c>
      <c r="D51" s="102" t="s">
        <v>92</v>
      </c>
      <c r="E51" s="102" t="s">
        <v>28540</v>
      </c>
      <c r="F51" s="102" t="s">
        <v>91</v>
      </c>
      <c r="G51" s="102" t="s">
        <v>28540</v>
      </c>
      <c r="H51" s="102" t="s">
        <v>28544</v>
      </c>
      <c r="I51" s="102" t="s">
        <v>27</v>
      </c>
      <c r="J51" s="102" t="s">
        <v>59</v>
      </c>
      <c r="L51" s="102" t="s">
        <v>25607</v>
      </c>
      <c r="M51" s="102" t="s">
        <v>26672</v>
      </c>
      <c r="N51" s="102">
        <v>605.55999999999995</v>
      </c>
      <c r="S51" t="str">
        <f t="shared" ref="S51:S52" si="17">A51&amp;"-"&amp;T51</f>
        <v>94-012-06-00</v>
      </c>
      <c r="T51" s="129" t="s">
        <v>25308</v>
      </c>
      <c r="U51" s="112">
        <v>2</v>
      </c>
    </row>
    <row r="52" spans="1:21" x14ac:dyDescent="0.2">
      <c r="A52" s="102" t="s">
        <v>28483</v>
      </c>
      <c r="B52" s="102" t="s">
        <v>28533</v>
      </c>
      <c r="C52" s="102" t="s">
        <v>46</v>
      </c>
      <c r="D52" s="102" t="s">
        <v>92</v>
      </c>
      <c r="E52" s="102" t="s">
        <v>28540</v>
      </c>
      <c r="F52" s="102" t="s">
        <v>91</v>
      </c>
      <c r="G52" s="102" t="s">
        <v>28540</v>
      </c>
      <c r="H52" s="102" t="s">
        <v>28567</v>
      </c>
      <c r="I52" s="102" t="s">
        <v>22</v>
      </c>
      <c r="J52" s="102" t="s">
        <v>28580</v>
      </c>
      <c r="L52" s="102" t="s">
        <v>25607</v>
      </c>
      <c r="M52" s="102" t="s">
        <v>26672</v>
      </c>
      <c r="N52" s="102">
        <v>716.67</v>
      </c>
      <c r="S52" t="str">
        <f t="shared" si="17"/>
        <v>94-013-14-56</v>
      </c>
      <c r="T52" s="129" t="s">
        <v>28271</v>
      </c>
      <c r="U52" s="112">
        <v>3</v>
      </c>
    </row>
    <row r="53" spans="1:21" x14ac:dyDescent="0.2">
      <c r="A53" s="102" t="s">
        <v>28484</v>
      </c>
      <c r="B53" s="102" t="s">
        <v>28534</v>
      </c>
      <c r="C53" s="102" t="s">
        <v>46</v>
      </c>
      <c r="D53" s="102" t="s">
        <v>92</v>
      </c>
      <c r="E53" s="102" t="s">
        <v>28540</v>
      </c>
      <c r="F53" s="102" t="s">
        <v>91</v>
      </c>
      <c r="G53" s="102" t="s">
        <v>28540</v>
      </c>
      <c r="H53" s="102" t="s">
        <v>28541</v>
      </c>
      <c r="I53" s="102" t="s">
        <v>26</v>
      </c>
      <c r="J53" s="102" t="s">
        <v>28581</v>
      </c>
      <c r="L53" s="102" t="s">
        <v>25607</v>
      </c>
      <c r="M53" s="102" t="s">
        <v>26672</v>
      </c>
      <c r="N53" s="102">
        <v>716.67</v>
      </c>
      <c r="S53" t="str">
        <f t="shared" ref="S53:S57" si="18">A53&amp;"-"&amp;T53</f>
        <v>94-014-05-56</v>
      </c>
      <c r="T53" s="129" t="s">
        <v>28271</v>
      </c>
      <c r="U53" s="112">
        <v>6</v>
      </c>
    </row>
    <row r="54" spans="1:21" x14ac:dyDescent="0.2">
      <c r="A54" s="102" t="s">
        <v>28484</v>
      </c>
      <c r="B54" s="102" t="s">
        <v>28534</v>
      </c>
      <c r="C54" s="102" t="s">
        <v>46</v>
      </c>
      <c r="D54" s="102" t="s">
        <v>92</v>
      </c>
      <c r="E54" s="102" t="s">
        <v>28540</v>
      </c>
      <c r="F54" s="102" t="s">
        <v>91</v>
      </c>
      <c r="G54" s="102" t="s">
        <v>28540</v>
      </c>
      <c r="H54" s="102" t="s">
        <v>28541</v>
      </c>
      <c r="I54" s="102" t="s">
        <v>26</v>
      </c>
      <c r="J54" s="102" t="s">
        <v>28581</v>
      </c>
      <c r="L54" s="102" t="s">
        <v>25607</v>
      </c>
      <c r="M54" s="102" t="s">
        <v>26672</v>
      </c>
      <c r="N54" s="102">
        <v>716.67</v>
      </c>
      <c r="S54" t="str">
        <f t="shared" si="18"/>
        <v>94-014-05-60</v>
      </c>
      <c r="T54" s="129" t="s">
        <v>28274</v>
      </c>
      <c r="U54" s="112">
        <v>7</v>
      </c>
    </row>
    <row r="55" spans="1:21" x14ac:dyDescent="0.2">
      <c r="A55" s="102" t="s">
        <v>28485</v>
      </c>
      <c r="B55" s="102" t="s">
        <v>28534</v>
      </c>
      <c r="C55" s="102" t="s">
        <v>46</v>
      </c>
      <c r="D55" s="102" t="s">
        <v>92</v>
      </c>
      <c r="E55" s="102" t="s">
        <v>28540</v>
      </c>
      <c r="F55" s="102" t="s">
        <v>91</v>
      </c>
      <c r="G55" s="102" t="s">
        <v>28540</v>
      </c>
      <c r="H55" s="102" t="s">
        <v>28556</v>
      </c>
      <c r="I55" s="102" t="s">
        <v>96</v>
      </c>
      <c r="J55" s="102" t="s">
        <v>28581</v>
      </c>
      <c r="L55" s="102" t="s">
        <v>25607</v>
      </c>
      <c r="M55" s="102" t="s">
        <v>26672</v>
      </c>
      <c r="N55" s="102">
        <v>716.67</v>
      </c>
      <c r="S55" t="str">
        <f t="shared" si="18"/>
        <v>94-014-12-56</v>
      </c>
      <c r="T55" s="129" t="s">
        <v>28271</v>
      </c>
      <c r="U55" s="112">
        <v>5</v>
      </c>
    </row>
    <row r="56" spans="1:21" x14ac:dyDescent="0.2">
      <c r="A56" s="102" t="s">
        <v>28485</v>
      </c>
      <c r="B56" s="102" t="s">
        <v>28534</v>
      </c>
      <c r="C56" s="102" t="s">
        <v>46</v>
      </c>
      <c r="D56" s="102" t="s">
        <v>92</v>
      </c>
      <c r="E56" s="102" t="s">
        <v>28540</v>
      </c>
      <c r="F56" s="102" t="s">
        <v>91</v>
      </c>
      <c r="G56" s="102" t="s">
        <v>28540</v>
      </c>
      <c r="H56" s="102" t="s">
        <v>28556</v>
      </c>
      <c r="I56" s="102" t="s">
        <v>96</v>
      </c>
      <c r="J56" s="102" t="s">
        <v>28581</v>
      </c>
      <c r="L56" s="102" t="s">
        <v>25607</v>
      </c>
      <c r="M56" s="102" t="s">
        <v>26672</v>
      </c>
      <c r="N56" s="102">
        <v>716.67</v>
      </c>
      <c r="S56" t="str">
        <f t="shared" si="18"/>
        <v>94-014-12-60</v>
      </c>
      <c r="T56" s="129" t="s">
        <v>28274</v>
      </c>
      <c r="U56" s="112">
        <v>7</v>
      </c>
    </row>
    <row r="57" spans="1:21" x14ac:dyDescent="0.2">
      <c r="A57" s="102" t="s">
        <v>28486</v>
      </c>
      <c r="B57" s="102" t="s">
        <v>28534</v>
      </c>
      <c r="C57" s="102" t="s">
        <v>46</v>
      </c>
      <c r="D57" s="102" t="s">
        <v>92</v>
      </c>
      <c r="E57" s="102" t="s">
        <v>28540</v>
      </c>
      <c r="F57" s="102" t="s">
        <v>91</v>
      </c>
      <c r="G57" s="102" t="s">
        <v>28540</v>
      </c>
      <c r="H57" s="102" t="s">
        <v>28569</v>
      </c>
      <c r="I57" s="102" t="s">
        <v>25521</v>
      </c>
      <c r="J57" s="102" t="s">
        <v>28581</v>
      </c>
      <c r="L57" s="102" t="s">
        <v>25607</v>
      </c>
      <c r="M57" s="102" t="s">
        <v>26672</v>
      </c>
      <c r="N57" s="102">
        <v>716.67</v>
      </c>
      <c r="S57" t="str">
        <f t="shared" si="18"/>
        <v>94-014-41-56</v>
      </c>
      <c r="T57" s="129" t="s">
        <v>28271</v>
      </c>
      <c r="U57" s="112">
        <v>4</v>
      </c>
    </row>
    <row r="58" spans="1:21" x14ac:dyDescent="0.2">
      <c r="A58" s="102" t="s">
        <v>28487</v>
      </c>
      <c r="B58" s="102" t="s">
        <v>28535</v>
      </c>
      <c r="C58" s="102" t="s">
        <v>46</v>
      </c>
      <c r="D58" s="102" t="s">
        <v>92</v>
      </c>
      <c r="E58" s="102" t="s">
        <v>28540</v>
      </c>
      <c r="F58" s="102" t="s">
        <v>91</v>
      </c>
      <c r="G58" s="102" t="s">
        <v>28540</v>
      </c>
      <c r="H58" s="102" t="s">
        <v>28546</v>
      </c>
      <c r="I58" s="102" t="s">
        <v>1</v>
      </c>
      <c r="J58" s="102" t="s">
        <v>26231</v>
      </c>
      <c r="L58" s="102" t="s">
        <v>25607</v>
      </c>
      <c r="M58" s="102" t="s">
        <v>26672</v>
      </c>
      <c r="N58" s="102">
        <v>661.11</v>
      </c>
      <c r="S58" t="str">
        <f t="shared" ref="S58:S60" si="19">A58&amp;"-"&amp;T58</f>
        <v>94-015-09-00</v>
      </c>
      <c r="T58" s="129" t="s">
        <v>25308</v>
      </c>
      <c r="U58" s="112">
        <v>11</v>
      </c>
    </row>
    <row r="59" spans="1:21" x14ac:dyDescent="0.2">
      <c r="A59" s="102" t="s">
        <v>28488</v>
      </c>
      <c r="B59" s="102" t="s">
        <v>28535</v>
      </c>
      <c r="C59" s="102" t="s">
        <v>46</v>
      </c>
      <c r="D59" s="102" t="s">
        <v>92</v>
      </c>
      <c r="E59" s="102" t="s">
        <v>28540</v>
      </c>
      <c r="F59" s="102" t="s">
        <v>91</v>
      </c>
      <c r="G59" s="102" t="s">
        <v>28540</v>
      </c>
      <c r="H59" s="102" t="s">
        <v>28570</v>
      </c>
      <c r="I59" s="102" t="s">
        <v>54</v>
      </c>
      <c r="J59" s="102" t="s">
        <v>26231</v>
      </c>
      <c r="L59" s="102" t="s">
        <v>25607</v>
      </c>
      <c r="M59" s="102" t="s">
        <v>26672</v>
      </c>
      <c r="N59" s="102">
        <v>661.11</v>
      </c>
      <c r="S59" t="str">
        <f t="shared" si="19"/>
        <v>94-015-11-00</v>
      </c>
      <c r="T59" s="129" t="s">
        <v>25308</v>
      </c>
      <c r="U59" s="112">
        <v>2</v>
      </c>
    </row>
    <row r="60" spans="1:21" x14ac:dyDescent="0.2">
      <c r="A60" s="102" t="s">
        <v>28489</v>
      </c>
      <c r="B60" s="102" t="s">
        <v>28536</v>
      </c>
      <c r="C60" s="102" t="s">
        <v>49</v>
      </c>
      <c r="D60" s="102" t="s">
        <v>212</v>
      </c>
      <c r="E60" s="102" t="s">
        <v>28540</v>
      </c>
      <c r="F60" s="102" t="s">
        <v>91</v>
      </c>
      <c r="G60" s="102" t="s">
        <v>28540</v>
      </c>
      <c r="H60" s="102" t="s">
        <v>28571</v>
      </c>
      <c r="I60" s="102" t="s">
        <v>220</v>
      </c>
      <c r="J60" s="102" t="s">
        <v>28582</v>
      </c>
      <c r="K60" s="102" t="s">
        <v>25678</v>
      </c>
      <c r="L60" s="102" t="s">
        <v>25605</v>
      </c>
      <c r="M60" s="102" t="s">
        <v>26672</v>
      </c>
      <c r="N60" s="102">
        <v>368.05</v>
      </c>
      <c r="S60" t="str">
        <f t="shared" si="19"/>
        <v>94-016-34-00</v>
      </c>
      <c r="T60" s="129" t="s">
        <v>25308</v>
      </c>
      <c r="U60" s="112">
        <v>4</v>
      </c>
    </row>
    <row r="61" spans="1:21" x14ac:dyDescent="0.2">
      <c r="A61" s="102" t="s">
        <v>28490</v>
      </c>
      <c r="B61" s="102" t="s">
        <v>28536</v>
      </c>
      <c r="C61" s="102" t="s">
        <v>49</v>
      </c>
      <c r="D61" s="102" t="s">
        <v>212</v>
      </c>
      <c r="E61" s="102" t="s">
        <v>28540</v>
      </c>
      <c r="F61" s="102" t="s">
        <v>91</v>
      </c>
      <c r="G61" s="102" t="s">
        <v>28540</v>
      </c>
      <c r="H61" s="102" t="s">
        <v>28546</v>
      </c>
      <c r="I61" s="102" t="s">
        <v>1</v>
      </c>
      <c r="J61" s="102" t="s">
        <v>28582</v>
      </c>
      <c r="K61" s="102" t="s">
        <v>25678</v>
      </c>
      <c r="L61" s="102" t="s">
        <v>25607</v>
      </c>
      <c r="M61" s="102" t="s">
        <v>26672</v>
      </c>
      <c r="N61" s="102">
        <v>368.05</v>
      </c>
      <c r="S61" t="str">
        <f t="shared" ref="S61:S62" si="20">A61&amp;"-"&amp;T61</f>
        <v>94-016-09-00</v>
      </c>
      <c r="T61" s="129" t="s">
        <v>25308</v>
      </c>
      <c r="U61" s="112">
        <v>16</v>
      </c>
    </row>
    <row r="62" spans="1:21" x14ac:dyDescent="0.2">
      <c r="A62" s="102" t="s">
        <v>28491</v>
      </c>
      <c r="B62" s="102" t="s">
        <v>28536</v>
      </c>
      <c r="C62" s="102" t="s">
        <v>49</v>
      </c>
      <c r="D62" s="102" t="s">
        <v>212</v>
      </c>
      <c r="E62" s="102" t="s">
        <v>28540</v>
      </c>
      <c r="F62" s="102" t="s">
        <v>91</v>
      </c>
      <c r="G62" s="102" t="s">
        <v>28540</v>
      </c>
      <c r="H62" s="102" t="s">
        <v>28567</v>
      </c>
      <c r="I62" s="102" t="s">
        <v>22</v>
      </c>
      <c r="J62" s="102" t="s">
        <v>28582</v>
      </c>
      <c r="K62" s="102" t="s">
        <v>25678</v>
      </c>
      <c r="L62" s="102" t="s">
        <v>25607</v>
      </c>
      <c r="M62" s="102" t="s">
        <v>26672</v>
      </c>
      <c r="N62" s="102">
        <v>368.05</v>
      </c>
      <c r="S62" t="str">
        <f t="shared" si="20"/>
        <v>94-016-14-00</v>
      </c>
      <c r="T62" s="129" t="s">
        <v>25308</v>
      </c>
      <c r="U62" s="112">
        <v>5</v>
      </c>
    </row>
    <row r="63" spans="1:21" x14ac:dyDescent="0.2">
      <c r="A63" s="102" t="s">
        <v>28492</v>
      </c>
      <c r="B63" s="102" t="s">
        <v>28536</v>
      </c>
      <c r="C63" s="102" t="s">
        <v>49</v>
      </c>
      <c r="D63" s="102" t="s">
        <v>212</v>
      </c>
      <c r="E63" s="102" t="s">
        <v>28540</v>
      </c>
      <c r="F63" s="102" t="s">
        <v>91</v>
      </c>
      <c r="G63" s="102" t="s">
        <v>28540</v>
      </c>
      <c r="H63" s="102" t="s">
        <v>28541</v>
      </c>
      <c r="I63" s="102" t="s">
        <v>26</v>
      </c>
      <c r="J63" s="102" t="s">
        <v>28582</v>
      </c>
      <c r="K63" s="102" t="s">
        <v>25678</v>
      </c>
      <c r="L63" s="102" t="s">
        <v>25607</v>
      </c>
      <c r="M63" s="102" t="s">
        <v>26672</v>
      </c>
      <c r="N63" s="102">
        <v>368.05</v>
      </c>
      <c r="S63" t="str">
        <f t="shared" ref="S63:S65" si="21">A63&amp;"-"&amp;T63</f>
        <v>94-016-05-00</v>
      </c>
      <c r="T63" s="129" t="s">
        <v>25308</v>
      </c>
      <c r="U63" s="112">
        <v>4</v>
      </c>
    </row>
    <row r="64" spans="1:21" x14ac:dyDescent="0.2">
      <c r="A64" s="102" t="s">
        <v>28493</v>
      </c>
      <c r="B64" s="102" t="s">
        <v>28536</v>
      </c>
      <c r="C64" s="102" t="s">
        <v>49</v>
      </c>
      <c r="D64" s="102" t="s">
        <v>212</v>
      </c>
      <c r="E64" s="102" t="s">
        <v>28540</v>
      </c>
      <c r="F64" s="102" t="s">
        <v>91</v>
      </c>
      <c r="G64" s="102" t="s">
        <v>28540</v>
      </c>
      <c r="H64" s="102" t="s">
        <v>28568</v>
      </c>
      <c r="I64" s="102" t="s">
        <v>25408</v>
      </c>
      <c r="J64" s="102" t="s">
        <v>28582</v>
      </c>
      <c r="K64" s="102" t="s">
        <v>25678</v>
      </c>
      <c r="L64" s="102" t="s">
        <v>25607</v>
      </c>
      <c r="M64" s="102" t="s">
        <v>26672</v>
      </c>
      <c r="N64" s="102">
        <v>368.05</v>
      </c>
      <c r="S64" t="str">
        <f t="shared" si="21"/>
        <v>94-016-00-00</v>
      </c>
      <c r="T64" s="129" t="s">
        <v>25308</v>
      </c>
      <c r="U64" s="112">
        <v>4</v>
      </c>
    </row>
    <row r="65" spans="1:21" x14ac:dyDescent="0.2">
      <c r="A65" s="102" t="s">
        <v>28494</v>
      </c>
      <c r="B65" s="102" t="s">
        <v>28536</v>
      </c>
      <c r="C65" s="102" t="s">
        <v>49</v>
      </c>
      <c r="D65" s="102" t="s">
        <v>212</v>
      </c>
      <c r="E65" s="102" t="s">
        <v>28540</v>
      </c>
      <c r="F65" s="102" t="s">
        <v>91</v>
      </c>
      <c r="G65" s="102" t="s">
        <v>28540</v>
      </c>
      <c r="H65" s="102" t="s">
        <v>28542</v>
      </c>
      <c r="I65" s="102" t="s">
        <v>25472</v>
      </c>
      <c r="J65" s="102" t="s">
        <v>28582</v>
      </c>
      <c r="K65" s="102" t="s">
        <v>25678</v>
      </c>
      <c r="L65" s="102" t="s">
        <v>25607</v>
      </c>
      <c r="M65" s="102" t="s">
        <v>26672</v>
      </c>
      <c r="N65" s="102">
        <v>368.05</v>
      </c>
      <c r="S65" t="str">
        <f t="shared" si="21"/>
        <v>94-016-01-00</v>
      </c>
      <c r="T65" s="129" t="s">
        <v>25308</v>
      </c>
      <c r="U65" s="112">
        <v>2</v>
      </c>
    </row>
    <row r="66" spans="1:21" x14ac:dyDescent="0.2">
      <c r="A66" s="102" t="s">
        <v>28495</v>
      </c>
      <c r="B66" s="102" t="s">
        <v>28536</v>
      </c>
      <c r="C66" s="102" t="s">
        <v>49</v>
      </c>
      <c r="D66" s="102" t="s">
        <v>212</v>
      </c>
      <c r="E66" s="102" t="s">
        <v>28540</v>
      </c>
      <c r="F66" s="102" t="s">
        <v>91</v>
      </c>
      <c r="G66" s="102" t="s">
        <v>28540</v>
      </c>
      <c r="H66" s="102" t="s">
        <v>28556</v>
      </c>
      <c r="I66" s="102" t="s">
        <v>96</v>
      </c>
      <c r="J66" s="102" t="s">
        <v>28582</v>
      </c>
      <c r="K66" s="102" t="s">
        <v>25678</v>
      </c>
      <c r="L66" s="102" t="s">
        <v>25607</v>
      </c>
      <c r="M66" s="102" t="s">
        <v>26672</v>
      </c>
      <c r="N66" s="102">
        <v>368.05</v>
      </c>
      <c r="S66" t="str">
        <f t="shared" ref="S66:S68" si="22">A66&amp;"-"&amp;T66</f>
        <v>94-016-12-00</v>
      </c>
      <c r="T66" s="129" t="s">
        <v>25308</v>
      </c>
      <c r="U66" s="112">
        <v>5</v>
      </c>
    </row>
    <row r="67" spans="1:21" x14ac:dyDescent="0.2">
      <c r="A67" s="102" t="s">
        <v>28496</v>
      </c>
      <c r="B67" s="102" t="s">
        <v>28536</v>
      </c>
      <c r="C67" s="102" t="s">
        <v>49</v>
      </c>
      <c r="D67" s="102" t="s">
        <v>212</v>
      </c>
      <c r="E67" s="102" t="s">
        <v>28540</v>
      </c>
      <c r="F67" s="102" t="s">
        <v>91</v>
      </c>
      <c r="G67" s="102" t="s">
        <v>28540</v>
      </c>
      <c r="H67" s="102" t="s">
        <v>28543</v>
      </c>
      <c r="I67" s="102" t="s">
        <v>23</v>
      </c>
      <c r="J67" s="102" t="s">
        <v>28582</v>
      </c>
      <c r="K67" s="102" t="s">
        <v>25678</v>
      </c>
      <c r="L67" s="102" t="s">
        <v>25607</v>
      </c>
      <c r="M67" s="102" t="s">
        <v>26672</v>
      </c>
      <c r="N67" s="102">
        <v>368.05</v>
      </c>
      <c r="S67" t="str">
        <f t="shared" si="22"/>
        <v>94-016-16-00</v>
      </c>
      <c r="T67" s="129" t="s">
        <v>25308</v>
      </c>
      <c r="U67" s="112">
        <v>6</v>
      </c>
    </row>
    <row r="68" spans="1:21" x14ac:dyDescent="0.2">
      <c r="A68" s="102" t="s">
        <v>28497</v>
      </c>
      <c r="B68" s="102" t="s">
        <v>28536</v>
      </c>
      <c r="C68" s="102" t="s">
        <v>49</v>
      </c>
      <c r="D68" s="102" t="s">
        <v>212</v>
      </c>
      <c r="E68" s="102" t="s">
        <v>28540</v>
      </c>
      <c r="F68" s="102" t="s">
        <v>91</v>
      </c>
      <c r="G68" s="102" t="s">
        <v>28540</v>
      </c>
      <c r="H68" s="102" t="s">
        <v>28572</v>
      </c>
      <c r="I68" s="102" t="s">
        <v>58</v>
      </c>
      <c r="J68" s="102" t="s">
        <v>28582</v>
      </c>
      <c r="K68" s="102" t="s">
        <v>25678</v>
      </c>
      <c r="L68" s="102" t="s">
        <v>25607</v>
      </c>
      <c r="M68" s="102" t="s">
        <v>26672</v>
      </c>
      <c r="N68" s="102">
        <v>368.05</v>
      </c>
      <c r="S68" t="str">
        <f t="shared" si="22"/>
        <v>94-016-03-00</v>
      </c>
      <c r="T68" s="129" t="s">
        <v>25308</v>
      </c>
      <c r="U68" s="112">
        <v>5</v>
      </c>
    </row>
    <row r="69" spans="1:21" x14ac:dyDescent="0.2">
      <c r="A69" s="102" t="s">
        <v>28498</v>
      </c>
      <c r="B69" s="102" t="s">
        <v>28536</v>
      </c>
      <c r="C69" s="102" t="s">
        <v>49</v>
      </c>
      <c r="D69" s="102" t="s">
        <v>212</v>
      </c>
      <c r="E69" s="102" t="s">
        <v>28540</v>
      </c>
      <c r="F69" s="102" t="s">
        <v>91</v>
      </c>
      <c r="G69" s="102" t="s">
        <v>28540</v>
      </c>
      <c r="H69" s="102" t="s">
        <v>28431</v>
      </c>
      <c r="I69" s="102" t="s">
        <v>141</v>
      </c>
      <c r="J69" s="102" t="s">
        <v>28582</v>
      </c>
      <c r="K69" s="102" t="s">
        <v>25678</v>
      </c>
      <c r="L69" s="102" t="s">
        <v>25607</v>
      </c>
      <c r="M69" s="102" t="s">
        <v>26672</v>
      </c>
      <c r="N69" s="102">
        <v>368.05</v>
      </c>
      <c r="S69" t="str">
        <f t="shared" ref="S69:S70" si="23">A69&amp;"-"&amp;T69</f>
        <v>94-016-18-00</v>
      </c>
      <c r="T69" s="129" t="s">
        <v>25308</v>
      </c>
      <c r="U69" s="112">
        <v>4</v>
      </c>
    </row>
    <row r="70" spans="1:21" x14ac:dyDescent="0.2">
      <c r="A70" s="102" t="s">
        <v>28499</v>
      </c>
      <c r="B70" s="102" t="s">
        <v>28536</v>
      </c>
      <c r="C70" s="102" t="s">
        <v>49</v>
      </c>
      <c r="D70" s="102" t="s">
        <v>212</v>
      </c>
      <c r="E70" s="102" t="s">
        <v>28540</v>
      </c>
      <c r="F70" s="102" t="s">
        <v>91</v>
      </c>
      <c r="G70" s="102" t="s">
        <v>28540</v>
      </c>
      <c r="H70" s="102" t="s">
        <v>28544</v>
      </c>
      <c r="I70" s="102" t="s">
        <v>27</v>
      </c>
      <c r="J70" s="102" t="s">
        <v>28582</v>
      </c>
      <c r="K70" s="102" t="s">
        <v>25678</v>
      </c>
      <c r="L70" s="102" t="s">
        <v>25607</v>
      </c>
      <c r="M70" s="102" t="s">
        <v>26672</v>
      </c>
      <c r="N70" s="102">
        <v>368.05</v>
      </c>
      <c r="S70" t="str">
        <f t="shared" si="23"/>
        <v>94-016-06-00</v>
      </c>
      <c r="T70" s="129" t="s">
        <v>25308</v>
      </c>
      <c r="U70" s="112">
        <v>4</v>
      </c>
    </row>
    <row r="71" spans="1:21" x14ac:dyDescent="0.2">
      <c r="A71" s="102" t="s">
        <v>28500</v>
      </c>
      <c r="B71" s="102" t="s">
        <v>28536</v>
      </c>
      <c r="C71" s="102" t="s">
        <v>49</v>
      </c>
      <c r="D71" s="102" t="s">
        <v>212</v>
      </c>
      <c r="E71" s="102" t="s">
        <v>28540</v>
      </c>
      <c r="F71" s="102" t="s">
        <v>91</v>
      </c>
      <c r="G71" s="102" t="s">
        <v>28540</v>
      </c>
      <c r="H71" s="102" t="s">
        <v>28545</v>
      </c>
      <c r="I71" s="102" t="s">
        <v>100</v>
      </c>
      <c r="J71" s="102" t="s">
        <v>28582</v>
      </c>
      <c r="K71" s="102" t="s">
        <v>25678</v>
      </c>
      <c r="L71" s="102" t="s">
        <v>25607</v>
      </c>
      <c r="M71" s="102" t="s">
        <v>26672</v>
      </c>
      <c r="N71" s="102">
        <v>368.05</v>
      </c>
      <c r="S71" t="str">
        <f t="shared" ref="S71:S73" si="24">A71&amp;"-"&amp;T71</f>
        <v>94-016-17-00</v>
      </c>
      <c r="T71" s="129" t="s">
        <v>25308</v>
      </c>
      <c r="U71" s="112">
        <v>3</v>
      </c>
    </row>
    <row r="72" spans="1:21" x14ac:dyDescent="0.2">
      <c r="A72" s="102" t="s">
        <v>28501</v>
      </c>
      <c r="B72" s="102" t="s">
        <v>28537</v>
      </c>
      <c r="C72" s="102" t="s">
        <v>49</v>
      </c>
      <c r="D72" s="102" t="s">
        <v>212</v>
      </c>
      <c r="E72" s="102" t="s">
        <v>28540</v>
      </c>
      <c r="F72" s="102" t="s">
        <v>91</v>
      </c>
      <c r="G72" s="102" t="s">
        <v>28540</v>
      </c>
      <c r="H72" s="102" t="s">
        <v>28573</v>
      </c>
      <c r="I72" s="102" t="s">
        <v>123</v>
      </c>
      <c r="J72" s="102" t="s">
        <v>28582</v>
      </c>
      <c r="K72" s="102" t="s">
        <v>25678</v>
      </c>
      <c r="L72" s="102" t="s">
        <v>25607</v>
      </c>
      <c r="M72" s="102" t="s">
        <v>26672</v>
      </c>
      <c r="N72" s="102">
        <v>381.65000000000003</v>
      </c>
      <c r="S72" t="str">
        <f t="shared" si="24"/>
        <v>94-017-13-00</v>
      </c>
      <c r="T72" s="129" t="s">
        <v>25308</v>
      </c>
      <c r="U72" s="112">
        <v>6</v>
      </c>
    </row>
    <row r="73" spans="1:21" x14ac:dyDescent="0.2">
      <c r="A73" s="102" t="s">
        <v>28502</v>
      </c>
      <c r="B73" s="102" t="s">
        <v>28537</v>
      </c>
      <c r="C73" s="102" t="s">
        <v>49</v>
      </c>
      <c r="D73" s="102" t="s">
        <v>212</v>
      </c>
      <c r="E73" s="102" t="s">
        <v>28540</v>
      </c>
      <c r="F73" s="102" t="s">
        <v>91</v>
      </c>
      <c r="G73" s="102" t="s">
        <v>28540</v>
      </c>
      <c r="H73" s="102" t="s">
        <v>28567</v>
      </c>
      <c r="I73" s="102" t="s">
        <v>22</v>
      </c>
      <c r="J73" s="102" t="s">
        <v>28582</v>
      </c>
      <c r="K73" s="102" t="s">
        <v>25678</v>
      </c>
      <c r="L73" s="102" t="s">
        <v>25607</v>
      </c>
      <c r="M73" s="102" t="s">
        <v>26672</v>
      </c>
      <c r="N73" s="102">
        <v>381.65</v>
      </c>
      <c r="S73" t="str">
        <f t="shared" si="24"/>
        <v>94-017-14-00</v>
      </c>
      <c r="T73" s="129" t="s">
        <v>25308</v>
      </c>
      <c r="U73" s="112">
        <v>8</v>
      </c>
    </row>
    <row r="74" spans="1:21" x14ac:dyDescent="0.2">
      <c r="A74" s="102" t="s">
        <v>28503</v>
      </c>
      <c r="B74" s="102" t="s">
        <v>28537</v>
      </c>
      <c r="C74" s="102" t="s">
        <v>49</v>
      </c>
      <c r="D74" s="102" t="s">
        <v>212</v>
      </c>
      <c r="E74" s="102" t="s">
        <v>28540</v>
      </c>
      <c r="F74" s="102" t="s">
        <v>91</v>
      </c>
      <c r="G74" s="102" t="s">
        <v>28540</v>
      </c>
      <c r="H74" s="102" t="s">
        <v>28574</v>
      </c>
      <c r="I74" s="102" t="s">
        <v>43</v>
      </c>
      <c r="J74" s="102" t="s">
        <v>28582</v>
      </c>
      <c r="K74" s="102" t="s">
        <v>25678</v>
      </c>
      <c r="L74" s="102" t="s">
        <v>25607</v>
      </c>
      <c r="M74" s="102" t="s">
        <v>26672</v>
      </c>
      <c r="N74" s="102">
        <v>381.65000000000003</v>
      </c>
      <c r="S74" t="str">
        <f t="shared" ref="S74:S76" si="25">A74&amp;"-"&amp;T74</f>
        <v>94-017-15-00</v>
      </c>
      <c r="T74" s="129" t="s">
        <v>25308</v>
      </c>
      <c r="U74" s="112">
        <v>6</v>
      </c>
    </row>
    <row r="75" spans="1:21" x14ac:dyDescent="0.2">
      <c r="A75" s="102" t="s">
        <v>28504</v>
      </c>
      <c r="B75" s="102" t="s">
        <v>28537</v>
      </c>
      <c r="C75" s="102" t="s">
        <v>49</v>
      </c>
      <c r="D75" s="102" t="s">
        <v>212</v>
      </c>
      <c r="E75" s="102" t="s">
        <v>28540</v>
      </c>
      <c r="F75" s="102" t="s">
        <v>91</v>
      </c>
      <c r="G75" s="102" t="s">
        <v>28540</v>
      </c>
      <c r="H75" s="102" t="s">
        <v>28575</v>
      </c>
      <c r="I75" s="102" t="s">
        <v>147</v>
      </c>
      <c r="J75" s="102" t="s">
        <v>28582</v>
      </c>
      <c r="K75" s="102" t="s">
        <v>25678</v>
      </c>
      <c r="L75" s="102" t="s">
        <v>25607</v>
      </c>
      <c r="M75" s="102" t="s">
        <v>26672</v>
      </c>
      <c r="N75" s="102">
        <v>381.65000000000003</v>
      </c>
      <c r="S75" t="str">
        <f t="shared" si="25"/>
        <v>94-017-19-00</v>
      </c>
      <c r="T75" s="129" t="s">
        <v>25308</v>
      </c>
      <c r="U75" s="112">
        <v>6</v>
      </c>
    </row>
    <row r="76" spans="1:21" x14ac:dyDescent="0.2">
      <c r="A76" s="102" t="s">
        <v>28505</v>
      </c>
      <c r="B76" s="102" t="s">
        <v>28537</v>
      </c>
      <c r="C76" s="102" t="s">
        <v>49</v>
      </c>
      <c r="D76" s="102" t="s">
        <v>212</v>
      </c>
      <c r="E76" s="102" t="s">
        <v>28540</v>
      </c>
      <c r="F76" s="102" t="s">
        <v>91</v>
      </c>
      <c r="G76" s="102" t="s">
        <v>28540</v>
      </c>
      <c r="H76" s="102" t="s">
        <v>28541</v>
      </c>
      <c r="I76" s="102" t="s">
        <v>26</v>
      </c>
      <c r="J76" s="102" t="s">
        <v>28582</v>
      </c>
      <c r="K76" s="102" t="s">
        <v>25678</v>
      </c>
      <c r="L76" s="102" t="s">
        <v>25607</v>
      </c>
      <c r="M76" s="102" t="s">
        <v>26672</v>
      </c>
      <c r="N76" s="102">
        <v>381.65</v>
      </c>
      <c r="S76" t="str">
        <f t="shared" si="25"/>
        <v>94-017-05-00</v>
      </c>
      <c r="T76" s="129" t="s">
        <v>25308</v>
      </c>
      <c r="U76" s="112">
        <v>4</v>
      </c>
    </row>
    <row r="77" spans="1:21" x14ac:dyDescent="0.2">
      <c r="A77" s="102" t="s">
        <v>28506</v>
      </c>
      <c r="B77" s="102" t="s">
        <v>28537</v>
      </c>
      <c r="C77" s="102" t="s">
        <v>49</v>
      </c>
      <c r="D77" s="102" t="s">
        <v>212</v>
      </c>
      <c r="E77" s="102" t="s">
        <v>28540</v>
      </c>
      <c r="F77" s="102" t="s">
        <v>91</v>
      </c>
      <c r="G77" s="102" t="s">
        <v>28540</v>
      </c>
      <c r="H77" s="102" t="s">
        <v>28568</v>
      </c>
      <c r="I77" s="102" t="s">
        <v>25408</v>
      </c>
      <c r="J77" s="102" t="s">
        <v>28582</v>
      </c>
      <c r="K77" s="102" t="s">
        <v>25678</v>
      </c>
      <c r="L77" s="102" t="s">
        <v>25607</v>
      </c>
      <c r="M77" s="102" t="s">
        <v>26672</v>
      </c>
      <c r="N77" s="102">
        <v>381.65000000000003</v>
      </c>
      <c r="S77" t="str">
        <f t="shared" ref="S77:S78" si="26">A77&amp;"-"&amp;T77</f>
        <v>94-017-00-00</v>
      </c>
      <c r="T77" s="129" t="s">
        <v>25308</v>
      </c>
      <c r="U77" s="112">
        <v>6</v>
      </c>
    </row>
    <row r="78" spans="1:21" x14ac:dyDescent="0.2">
      <c r="A78" s="102" t="s">
        <v>28507</v>
      </c>
      <c r="B78" s="102" t="s">
        <v>28537</v>
      </c>
      <c r="C78" s="102" t="s">
        <v>49</v>
      </c>
      <c r="D78" s="102" t="s">
        <v>212</v>
      </c>
      <c r="E78" s="102" t="s">
        <v>28540</v>
      </c>
      <c r="F78" s="102" t="s">
        <v>91</v>
      </c>
      <c r="G78" s="102" t="s">
        <v>28540</v>
      </c>
      <c r="H78" s="102" t="s">
        <v>28542</v>
      </c>
      <c r="I78" s="102" t="s">
        <v>25472</v>
      </c>
      <c r="J78" s="102" t="s">
        <v>28582</v>
      </c>
      <c r="K78" s="102" t="s">
        <v>25678</v>
      </c>
      <c r="L78" s="102" t="s">
        <v>25607</v>
      </c>
      <c r="M78" s="102" t="s">
        <v>26672</v>
      </c>
      <c r="N78" s="102">
        <v>381.65000000000003</v>
      </c>
      <c r="S78" t="str">
        <f t="shared" si="26"/>
        <v>94-017-01-00</v>
      </c>
      <c r="T78" s="129" t="s">
        <v>25308</v>
      </c>
      <c r="U78" s="112">
        <v>12</v>
      </c>
    </row>
    <row r="79" spans="1:21" x14ac:dyDescent="0.2">
      <c r="A79" s="102" t="s">
        <v>28508</v>
      </c>
      <c r="B79" s="102" t="s">
        <v>28537</v>
      </c>
      <c r="C79" s="102" t="s">
        <v>49</v>
      </c>
      <c r="D79" s="102" t="s">
        <v>212</v>
      </c>
      <c r="E79" s="102" t="s">
        <v>28540</v>
      </c>
      <c r="F79" s="102" t="s">
        <v>91</v>
      </c>
      <c r="G79" s="102" t="s">
        <v>28540</v>
      </c>
      <c r="H79" s="102" t="s">
        <v>28556</v>
      </c>
      <c r="I79" s="102" t="s">
        <v>96</v>
      </c>
      <c r="J79" s="102" t="s">
        <v>28582</v>
      </c>
      <c r="K79" s="102" t="s">
        <v>25678</v>
      </c>
      <c r="L79" s="102" t="s">
        <v>25607</v>
      </c>
      <c r="M79" s="102" t="s">
        <v>26672</v>
      </c>
      <c r="N79" s="102">
        <v>381.65</v>
      </c>
      <c r="S79" t="str">
        <f t="shared" ref="S79:S81" si="27">A79&amp;"-"&amp;T79</f>
        <v>94-017-12-00</v>
      </c>
      <c r="T79" s="129" t="s">
        <v>25308</v>
      </c>
      <c r="U79" s="112">
        <v>8</v>
      </c>
    </row>
    <row r="80" spans="1:21" x14ac:dyDescent="0.2">
      <c r="A80" s="102" t="s">
        <v>28509</v>
      </c>
      <c r="B80" s="102" t="s">
        <v>28537</v>
      </c>
      <c r="C80" s="102" t="s">
        <v>49</v>
      </c>
      <c r="D80" s="102" t="s">
        <v>212</v>
      </c>
      <c r="E80" s="102" t="s">
        <v>28540</v>
      </c>
      <c r="F80" s="102" t="s">
        <v>91</v>
      </c>
      <c r="G80" s="102" t="s">
        <v>28540</v>
      </c>
      <c r="H80" s="102" t="s">
        <v>28543</v>
      </c>
      <c r="I80" s="102" t="s">
        <v>23</v>
      </c>
      <c r="J80" s="102" t="s">
        <v>28582</v>
      </c>
      <c r="K80" s="102" t="s">
        <v>25678</v>
      </c>
      <c r="L80" s="102" t="s">
        <v>25607</v>
      </c>
      <c r="M80" s="102" t="s">
        <v>26672</v>
      </c>
      <c r="N80" s="102">
        <v>381.65</v>
      </c>
      <c r="S80" t="str">
        <f t="shared" si="27"/>
        <v>94-017-16-00</v>
      </c>
      <c r="T80" s="129" t="s">
        <v>25308</v>
      </c>
      <c r="U80" s="112">
        <v>8</v>
      </c>
    </row>
    <row r="81" spans="1:21" x14ac:dyDescent="0.2">
      <c r="A81" s="102" t="s">
        <v>28510</v>
      </c>
      <c r="B81" s="102" t="s">
        <v>28537</v>
      </c>
      <c r="C81" s="102" t="s">
        <v>49</v>
      </c>
      <c r="D81" s="102" t="s">
        <v>212</v>
      </c>
      <c r="E81" s="102" t="s">
        <v>28540</v>
      </c>
      <c r="F81" s="102" t="s">
        <v>91</v>
      </c>
      <c r="G81" s="102" t="s">
        <v>28540</v>
      </c>
      <c r="H81" s="102" t="s">
        <v>28572</v>
      </c>
      <c r="I81" s="102" t="s">
        <v>58</v>
      </c>
      <c r="J81" s="102" t="s">
        <v>28582</v>
      </c>
      <c r="K81" s="102" t="s">
        <v>25678</v>
      </c>
      <c r="L81" s="102" t="s">
        <v>25607</v>
      </c>
      <c r="M81" s="102" t="s">
        <v>26672</v>
      </c>
      <c r="N81" s="102">
        <v>381.65</v>
      </c>
      <c r="S81" t="str">
        <f t="shared" si="27"/>
        <v>94-017-03-00</v>
      </c>
      <c r="T81" s="129" t="s">
        <v>25308</v>
      </c>
      <c r="U81" s="112">
        <v>8</v>
      </c>
    </row>
    <row r="82" spans="1:21" x14ac:dyDescent="0.2">
      <c r="A82" s="102" t="s">
        <v>28511</v>
      </c>
      <c r="B82" s="102" t="s">
        <v>28537</v>
      </c>
      <c r="C82" s="102" t="s">
        <v>49</v>
      </c>
      <c r="D82" s="102" t="s">
        <v>212</v>
      </c>
      <c r="E82" s="102" t="s">
        <v>28540</v>
      </c>
      <c r="F82" s="102" t="s">
        <v>91</v>
      </c>
      <c r="G82" s="102" t="s">
        <v>28540</v>
      </c>
      <c r="H82" s="102" t="s">
        <v>28431</v>
      </c>
      <c r="I82" s="102" t="s">
        <v>141</v>
      </c>
      <c r="J82" s="102" t="s">
        <v>28582</v>
      </c>
      <c r="K82" s="102" t="s">
        <v>25678</v>
      </c>
      <c r="L82" s="102" t="s">
        <v>25607</v>
      </c>
      <c r="M82" s="102" t="s">
        <v>26672</v>
      </c>
      <c r="N82" s="102">
        <v>381.65</v>
      </c>
      <c r="S82" t="str">
        <f t="shared" ref="S82:S84" si="28">A82&amp;"-"&amp;T82</f>
        <v>94-017-18-00</v>
      </c>
      <c r="T82" s="129" t="s">
        <v>25308</v>
      </c>
      <c r="U82" s="112">
        <v>4</v>
      </c>
    </row>
    <row r="83" spans="1:21" x14ac:dyDescent="0.2">
      <c r="A83" s="102" t="s">
        <v>28512</v>
      </c>
      <c r="B83" s="102" t="s">
        <v>28537</v>
      </c>
      <c r="C83" s="102" t="s">
        <v>49</v>
      </c>
      <c r="D83" s="102" t="s">
        <v>212</v>
      </c>
      <c r="E83" s="102" t="s">
        <v>28540</v>
      </c>
      <c r="F83" s="102" t="s">
        <v>91</v>
      </c>
      <c r="G83" s="102" t="s">
        <v>28540</v>
      </c>
      <c r="H83" s="102" t="s">
        <v>28544</v>
      </c>
      <c r="I83" s="102" t="s">
        <v>27</v>
      </c>
      <c r="J83" s="102" t="s">
        <v>28582</v>
      </c>
      <c r="K83" s="102" t="s">
        <v>25678</v>
      </c>
      <c r="L83" s="102" t="s">
        <v>25607</v>
      </c>
      <c r="M83" s="102" t="s">
        <v>26672</v>
      </c>
      <c r="N83" s="102">
        <v>381.65</v>
      </c>
      <c r="S83" t="str">
        <f t="shared" si="28"/>
        <v>94-017-06-00</v>
      </c>
      <c r="T83" s="129" t="s">
        <v>25308</v>
      </c>
      <c r="U83" s="112">
        <v>4</v>
      </c>
    </row>
    <row r="84" spans="1:21" x14ac:dyDescent="0.2">
      <c r="A84" s="102" t="s">
        <v>28513</v>
      </c>
      <c r="B84" s="102" t="s">
        <v>28537</v>
      </c>
      <c r="C84" s="102" t="s">
        <v>49</v>
      </c>
      <c r="D84" s="102" t="s">
        <v>212</v>
      </c>
      <c r="E84" s="102" t="s">
        <v>28540</v>
      </c>
      <c r="F84" s="102" t="s">
        <v>91</v>
      </c>
      <c r="G84" s="102" t="s">
        <v>28540</v>
      </c>
      <c r="H84" s="102" t="s">
        <v>28576</v>
      </c>
      <c r="I84" s="102" t="s">
        <v>29</v>
      </c>
      <c r="J84" s="102" t="s">
        <v>28582</v>
      </c>
      <c r="K84" s="102" t="s">
        <v>25678</v>
      </c>
      <c r="L84" s="102" t="s">
        <v>25607</v>
      </c>
      <c r="M84" s="102" t="s">
        <v>26672</v>
      </c>
      <c r="N84" s="102">
        <v>381.65</v>
      </c>
      <c r="S84" t="str">
        <f t="shared" si="28"/>
        <v>94-017-02-00</v>
      </c>
      <c r="T84" s="129" t="s">
        <v>25308</v>
      </c>
      <c r="U84" s="112">
        <v>4</v>
      </c>
    </row>
    <row r="85" spans="1:21" x14ac:dyDescent="0.2">
      <c r="A85" s="102" t="s">
        <v>28514</v>
      </c>
      <c r="B85" s="102" t="s">
        <v>28537</v>
      </c>
      <c r="C85" s="102" t="s">
        <v>49</v>
      </c>
      <c r="D85" s="102" t="s">
        <v>212</v>
      </c>
      <c r="E85" s="102" t="s">
        <v>28540</v>
      </c>
      <c r="F85" s="102" t="s">
        <v>91</v>
      </c>
      <c r="G85" s="102" t="s">
        <v>28540</v>
      </c>
      <c r="H85" s="102" t="s">
        <v>28559</v>
      </c>
      <c r="I85" s="102" t="s">
        <v>54</v>
      </c>
      <c r="J85" s="102" t="s">
        <v>28582</v>
      </c>
      <c r="K85" s="102" t="s">
        <v>25678</v>
      </c>
      <c r="L85" s="102" t="s">
        <v>25607</v>
      </c>
      <c r="M85" s="102" t="s">
        <v>26672</v>
      </c>
      <c r="N85" s="102">
        <v>381.65</v>
      </c>
      <c r="S85" t="str">
        <f t="shared" ref="S85:S86" si="29">A85&amp;"-"&amp;T85</f>
        <v>94-017-11-00</v>
      </c>
      <c r="T85" s="129" t="s">
        <v>25308</v>
      </c>
      <c r="U85" s="112">
        <v>4</v>
      </c>
    </row>
    <row r="86" spans="1:21" x14ac:dyDescent="0.2">
      <c r="A86" s="102" t="s">
        <v>28515</v>
      </c>
      <c r="B86" s="102" t="s">
        <v>28538</v>
      </c>
      <c r="C86" s="102" t="s">
        <v>49</v>
      </c>
      <c r="D86" s="102" t="s">
        <v>25580</v>
      </c>
      <c r="E86" s="102" t="s">
        <v>28540</v>
      </c>
      <c r="F86" s="102" t="s">
        <v>91</v>
      </c>
      <c r="G86" s="102" t="s">
        <v>28540</v>
      </c>
      <c r="H86" s="102" t="s">
        <v>28546</v>
      </c>
      <c r="I86" s="102" t="s">
        <v>1</v>
      </c>
      <c r="J86" s="102" t="s">
        <v>28582</v>
      </c>
      <c r="K86" s="102" t="s">
        <v>25678</v>
      </c>
      <c r="L86" s="102" t="s">
        <v>25607</v>
      </c>
      <c r="M86" s="102" t="s">
        <v>26672</v>
      </c>
      <c r="N86" s="102">
        <v>408</v>
      </c>
      <c r="S86" t="str">
        <f t="shared" si="29"/>
        <v>94-018-09-00</v>
      </c>
      <c r="T86" s="129" t="s">
        <v>25308</v>
      </c>
      <c r="U86" s="112">
        <v>6</v>
      </c>
    </row>
    <row r="87" spans="1:21" x14ac:dyDescent="0.2">
      <c r="A87" s="102" t="s">
        <v>28516</v>
      </c>
      <c r="B87" s="102" t="s">
        <v>28538</v>
      </c>
      <c r="C87" s="102" t="s">
        <v>49</v>
      </c>
      <c r="D87" s="102" t="s">
        <v>25580</v>
      </c>
      <c r="E87" s="102" t="s">
        <v>28540</v>
      </c>
      <c r="F87" s="102" t="s">
        <v>91</v>
      </c>
      <c r="G87" s="102" t="s">
        <v>28540</v>
      </c>
      <c r="H87" s="102" t="s">
        <v>28541</v>
      </c>
      <c r="I87" s="102" t="s">
        <v>26</v>
      </c>
      <c r="J87" s="102" t="s">
        <v>28582</v>
      </c>
      <c r="K87" s="102" t="s">
        <v>25678</v>
      </c>
      <c r="L87" s="102" t="s">
        <v>25607</v>
      </c>
      <c r="M87" s="102" t="s">
        <v>26672</v>
      </c>
      <c r="N87" s="102">
        <v>408</v>
      </c>
      <c r="S87" t="str">
        <f t="shared" ref="S87:S89" si="30">A87&amp;"-"&amp;T87</f>
        <v>94-018-05-00</v>
      </c>
      <c r="T87" s="129" t="s">
        <v>25308</v>
      </c>
      <c r="U87" s="112">
        <v>6</v>
      </c>
    </row>
    <row r="88" spans="1:21" x14ac:dyDescent="0.2">
      <c r="A88" s="102" t="s">
        <v>28517</v>
      </c>
      <c r="B88" s="102" t="s">
        <v>28538</v>
      </c>
      <c r="C88" s="102" t="s">
        <v>49</v>
      </c>
      <c r="D88" s="102" t="s">
        <v>25580</v>
      </c>
      <c r="E88" s="102" t="s">
        <v>28540</v>
      </c>
      <c r="F88" s="102" t="s">
        <v>91</v>
      </c>
      <c r="G88" s="102" t="s">
        <v>28540</v>
      </c>
      <c r="H88" s="102" t="s">
        <v>28542</v>
      </c>
      <c r="I88" s="102" t="s">
        <v>25472</v>
      </c>
      <c r="J88" s="102" t="s">
        <v>28582</v>
      </c>
      <c r="K88" s="102" t="s">
        <v>25678</v>
      </c>
      <c r="L88" s="102" t="s">
        <v>25607</v>
      </c>
      <c r="M88" s="102" t="s">
        <v>26672</v>
      </c>
      <c r="N88" s="102">
        <v>408</v>
      </c>
      <c r="S88" t="str">
        <f t="shared" si="30"/>
        <v>94-018-01-00</v>
      </c>
      <c r="T88" s="129" t="s">
        <v>25308</v>
      </c>
      <c r="U88" s="112">
        <v>4</v>
      </c>
    </row>
    <row r="89" spans="1:21" x14ac:dyDescent="0.2">
      <c r="A89" s="102" t="s">
        <v>28518</v>
      </c>
      <c r="B89" s="102" t="s">
        <v>28538</v>
      </c>
      <c r="C89" s="102" t="s">
        <v>49</v>
      </c>
      <c r="D89" s="102" t="s">
        <v>25580</v>
      </c>
      <c r="E89" s="102" t="s">
        <v>28540</v>
      </c>
      <c r="F89" s="102" t="s">
        <v>91</v>
      </c>
      <c r="G89" s="102" t="s">
        <v>28540</v>
      </c>
      <c r="H89" s="102" t="s">
        <v>28543</v>
      </c>
      <c r="I89" s="102" t="s">
        <v>23</v>
      </c>
      <c r="J89" s="102" t="s">
        <v>28582</v>
      </c>
      <c r="K89" s="102" t="s">
        <v>25678</v>
      </c>
      <c r="L89" s="102" t="s">
        <v>25607</v>
      </c>
      <c r="M89" s="102" t="s">
        <v>26672</v>
      </c>
      <c r="N89" s="102">
        <v>408</v>
      </c>
      <c r="S89" t="str">
        <f t="shared" si="30"/>
        <v>94-018-16-00</v>
      </c>
      <c r="T89" s="129" t="s">
        <v>25308</v>
      </c>
      <c r="U89" s="112">
        <v>3</v>
      </c>
    </row>
    <row r="90" spans="1:21" x14ac:dyDescent="0.2">
      <c r="A90" s="102" t="s">
        <v>28519</v>
      </c>
      <c r="B90" s="102" t="s">
        <v>28538</v>
      </c>
      <c r="C90" s="102" t="s">
        <v>49</v>
      </c>
      <c r="D90" s="102" t="s">
        <v>25580</v>
      </c>
      <c r="E90" s="102" t="s">
        <v>28540</v>
      </c>
      <c r="F90" s="102" t="s">
        <v>91</v>
      </c>
      <c r="G90" s="102" t="s">
        <v>28540</v>
      </c>
      <c r="H90" s="102" t="s">
        <v>28431</v>
      </c>
      <c r="I90" s="102" t="s">
        <v>141</v>
      </c>
      <c r="J90" s="102" t="s">
        <v>28582</v>
      </c>
      <c r="K90" s="102" t="s">
        <v>25678</v>
      </c>
      <c r="L90" s="102" t="s">
        <v>25607</v>
      </c>
      <c r="M90" s="102" t="s">
        <v>26672</v>
      </c>
      <c r="N90" s="102">
        <v>408</v>
      </c>
      <c r="S90" t="str">
        <f t="shared" ref="S90:S91" si="31">A90&amp;"-"&amp;T90</f>
        <v>94-018-18-00</v>
      </c>
      <c r="T90" s="129" t="s">
        <v>25308</v>
      </c>
      <c r="U90" s="112">
        <v>2</v>
      </c>
    </row>
    <row r="91" spans="1:21" x14ac:dyDescent="0.2">
      <c r="A91" s="102" t="s">
        <v>28520</v>
      </c>
      <c r="B91" s="102" t="s">
        <v>28538</v>
      </c>
      <c r="C91" s="102" t="s">
        <v>49</v>
      </c>
      <c r="D91" s="102" t="s">
        <v>25580</v>
      </c>
      <c r="E91" s="102" t="s">
        <v>28540</v>
      </c>
      <c r="F91" s="102" t="s">
        <v>91</v>
      </c>
      <c r="G91" s="102" t="s">
        <v>28540</v>
      </c>
      <c r="H91" s="102" t="s">
        <v>28544</v>
      </c>
      <c r="I91" s="102" t="s">
        <v>27</v>
      </c>
      <c r="J91" s="102" t="s">
        <v>28582</v>
      </c>
      <c r="K91" s="102" t="s">
        <v>25678</v>
      </c>
      <c r="L91" s="102" t="s">
        <v>25607</v>
      </c>
      <c r="M91" s="102" t="s">
        <v>26672</v>
      </c>
      <c r="N91" s="102">
        <v>408</v>
      </c>
      <c r="S91" t="str">
        <f t="shared" si="31"/>
        <v>94-018-06-00</v>
      </c>
      <c r="T91" s="129" t="s">
        <v>25308</v>
      </c>
      <c r="U91" s="112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FLEXFIT</v>
      </c>
      <c r="C2" s="67" t="str">
        <f>_xlfn.LET(_xlpm.Letter,LEFT(ADDRESS(1,COLUMN(Строчный!S1),4,1,)),"Строчный!"&amp;_xlpm.Letter&amp;"1:"&amp;_xlpm.Letter&amp;COUNTA(Строчный!S:S))</f>
        <v>Строчный!S1:S91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28415</v>
      </c>
    </row>
    <row r="24" spans="1:1" x14ac:dyDescent="0.2">
      <c r="A24" s="67" t="s">
        <v>28417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2022-03-18T14:40:07Z</dcterms:modified>
</cp:coreProperties>
</file>