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FLEXFIT\"/>
    </mc:Choice>
  </mc:AlternateContent>
  <xr:revisionPtr revIDLastSave="0" documentId="13_ncr:1_{663B0E37-5CB9-4B8B-87B4-AB92F05768B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MaterialsTranslate!$B$1:$C$31</definedName>
    <definedName name="_xlnm._FilterDatabase" localSheetId="0" hidden="1">Table!$A$1:$BG$89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Settings!$O$2:$O$10</definedName>
    <definedName name="Пол">Settings!$U$2:$U$5</definedName>
    <definedName name="Производители">Settings!$L$2:$L$21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4" i="1" l="1"/>
  <c r="T23" i="1"/>
  <c r="T22" i="1"/>
  <c r="T21" i="1"/>
  <c r="T20" i="1"/>
  <c r="T19" i="1"/>
  <c r="T18" i="1"/>
  <c r="T17" i="1"/>
  <c r="T16" i="1"/>
  <c r="T15" i="1"/>
  <c r="T14" i="1"/>
  <c r="BE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88" i="1"/>
  <c r="AZ88" i="1" s="1"/>
  <c r="AT87" i="1"/>
  <c r="AZ87" i="1" s="1"/>
  <c r="AT86" i="1"/>
  <c r="AZ86" i="1" s="1"/>
  <c r="AT85" i="1"/>
  <c r="AZ85" i="1" s="1"/>
  <c r="AT84" i="1"/>
  <c r="AZ84" i="1" s="1"/>
  <c r="AT83" i="1"/>
  <c r="AZ83" i="1" s="1"/>
  <c r="AT82" i="1"/>
  <c r="AZ82" i="1" s="1"/>
  <c r="AT81" i="1"/>
  <c r="AZ81" i="1" s="1"/>
  <c r="AT80" i="1"/>
  <c r="AZ80" i="1" s="1"/>
  <c r="AT79" i="1"/>
  <c r="AZ79" i="1" s="1"/>
  <c r="AT78" i="1"/>
  <c r="BC78" i="1" s="1"/>
  <c r="AT77" i="1"/>
  <c r="AZ77" i="1" s="1"/>
  <c r="AT76" i="1"/>
  <c r="AZ76" i="1" s="1"/>
  <c r="AT75" i="1"/>
  <c r="AZ75" i="1" s="1"/>
  <c r="AT74" i="1"/>
  <c r="AZ74" i="1" s="1"/>
  <c r="AT73" i="1"/>
  <c r="AZ73" i="1" s="1"/>
  <c r="AT72" i="1"/>
  <c r="AZ72" i="1" s="1"/>
  <c r="AT71" i="1"/>
  <c r="AZ71" i="1" s="1"/>
  <c r="AT70" i="1"/>
  <c r="BC70" i="1" s="1"/>
  <c r="AT69" i="1"/>
  <c r="AZ69" i="1" s="1"/>
  <c r="AT68" i="1"/>
  <c r="AZ68" i="1" s="1"/>
  <c r="AT67" i="1"/>
  <c r="AZ67" i="1" s="1"/>
  <c r="AT66" i="1"/>
  <c r="AZ66" i="1" s="1"/>
  <c r="AT65" i="1"/>
  <c r="AZ65" i="1" s="1"/>
  <c r="AT64" i="1"/>
  <c r="AZ64" i="1" s="1"/>
  <c r="AT63" i="1"/>
  <c r="AZ63" i="1" s="1"/>
  <c r="AT62" i="1"/>
  <c r="AZ62" i="1" s="1"/>
  <c r="AT61" i="1"/>
  <c r="AZ61" i="1" s="1"/>
  <c r="AT60" i="1"/>
  <c r="AZ60" i="1" s="1"/>
  <c r="AT59" i="1"/>
  <c r="AZ59" i="1" s="1"/>
  <c r="AT58" i="1"/>
  <c r="AZ58" i="1" s="1"/>
  <c r="AT57" i="1"/>
  <c r="AZ57" i="1" s="1"/>
  <c r="AT56" i="1"/>
  <c r="AZ56" i="1" s="1"/>
  <c r="AT55" i="1"/>
  <c r="AZ55" i="1" s="1"/>
  <c r="AT54" i="1"/>
  <c r="AZ54" i="1" s="1"/>
  <c r="AT53" i="1"/>
  <c r="AZ53" i="1" s="1"/>
  <c r="AT52" i="1"/>
  <c r="AZ52" i="1" s="1"/>
  <c r="AT51" i="1"/>
  <c r="AZ51" i="1" s="1"/>
  <c r="AT50" i="1"/>
  <c r="AZ50" i="1" s="1"/>
  <c r="AT49" i="1"/>
  <c r="AZ49" i="1" s="1"/>
  <c r="AT48" i="1"/>
  <c r="AZ48" i="1" s="1"/>
  <c r="AT47" i="1"/>
  <c r="AZ47" i="1" s="1"/>
  <c r="AT46" i="1"/>
  <c r="AZ46" i="1" s="1"/>
  <c r="AT45" i="1"/>
  <c r="AZ45" i="1" s="1"/>
  <c r="AT44" i="1"/>
  <c r="AZ44" i="1" s="1"/>
  <c r="AT43" i="1"/>
  <c r="AZ43" i="1" s="1"/>
  <c r="AT42" i="1"/>
  <c r="AZ42" i="1" s="1"/>
  <c r="AT41" i="1"/>
  <c r="AZ41" i="1" s="1"/>
  <c r="AT40" i="1"/>
  <c r="AZ40" i="1" s="1"/>
  <c r="AT39" i="1"/>
  <c r="AZ39" i="1" s="1"/>
  <c r="AT38" i="1"/>
  <c r="BC38" i="1" s="1"/>
  <c r="AT37" i="1"/>
  <c r="AZ37" i="1" s="1"/>
  <c r="AT36" i="1"/>
  <c r="AZ36" i="1" s="1"/>
  <c r="AT35" i="1"/>
  <c r="AZ35" i="1" s="1"/>
  <c r="AT34" i="1"/>
  <c r="AZ34" i="1" s="1"/>
  <c r="AT33" i="1"/>
  <c r="AZ33" i="1" s="1"/>
  <c r="AT32" i="1"/>
  <c r="AZ32" i="1" s="1"/>
  <c r="AT31" i="1"/>
  <c r="AZ31" i="1" s="1"/>
  <c r="AT30" i="1"/>
  <c r="AZ30" i="1" s="1"/>
  <c r="AT29" i="1"/>
  <c r="AZ29" i="1" s="1"/>
  <c r="AT28" i="1"/>
  <c r="AZ28" i="1" s="1"/>
  <c r="AT27" i="1"/>
  <c r="AZ27" i="1" s="1"/>
  <c r="AT26" i="1"/>
  <c r="AZ26" i="1" s="1"/>
  <c r="AT25" i="1"/>
  <c r="AZ25" i="1" s="1"/>
  <c r="AT24" i="1"/>
  <c r="AZ24" i="1" s="1"/>
  <c r="AT23" i="1"/>
  <c r="AZ23" i="1" s="1"/>
  <c r="AT22" i="1"/>
  <c r="AZ22" i="1" s="1"/>
  <c r="AT21" i="1"/>
  <c r="AZ21" i="1" s="1"/>
  <c r="AT20" i="1"/>
  <c r="AZ20" i="1" s="1"/>
  <c r="AT19" i="1"/>
  <c r="AZ19" i="1" s="1"/>
  <c r="AT18" i="1"/>
  <c r="AZ18" i="1" s="1"/>
  <c r="AT17" i="1"/>
  <c r="AZ17" i="1" s="1"/>
  <c r="AT16" i="1"/>
  <c r="AZ16" i="1" s="1"/>
  <c r="AT15" i="1"/>
  <c r="AZ15" i="1" s="1"/>
  <c r="AT14" i="1"/>
  <c r="BC14" i="1" s="1"/>
  <c r="AT13" i="1"/>
  <c r="AZ13" i="1" s="1"/>
  <c r="AT12" i="1"/>
  <c r="AZ12" i="1" s="1"/>
  <c r="AT11" i="1"/>
  <c r="AZ11" i="1" s="1"/>
  <c r="AT10" i="1"/>
  <c r="AZ10" i="1" s="1"/>
  <c r="AT9" i="1"/>
  <c r="AZ9" i="1" s="1"/>
  <c r="AT8" i="1"/>
  <c r="AZ8" i="1" s="1"/>
  <c r="AT7" i="1"/>
  <c r="AZ7" i="1" s="1"/>
  <c r="AT6" i="1"/>
  <c r="BC6" i="1" s="1"/>
  <c r="AT5" i="1"/>
  <c r="AZ5" i="1" s="1"/>
  <c r="AT4" i="1"/>
  <c r="AZ4" i="1" s="1"/>
  <c r="AT3" i="1"/>
  <c r="AZ3" i="1" s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88" i="1"/>
  <c r="BD88" i="1" s="1"/>
  <c r="A87" i="1"/>
  <c r="BD87" i="1" s="1"/>
  <c r="A86" i="1"/>
  <c r="BD86" i="1" s="1"/>
  <c r="A85" i="1"/>
  <c r="BD85" i="1" s="1"/>
  <c r="A84" i="1"/>
  <c r="BD84" i="1" s="1"/>
  <c r="A83" i="1"/>
  <c r="BD83" i="1" s="1"/>
  <c r="A82" i="1"/>
  <c r="BD82" i="1" s="1"/>
  <c r="A81" i="1"/>
  <c r="BD81" i="1" s="1"/>
  <c r="A80" i="1"/>
  <c r="BD80" i="1" s="1"/>
  <c r="A79" i="1"/>
  <c r="BD79" i="1" s="1"/>
  <c r="A78" i="1"/>
  <c r="BD78" i="1" s="1"/>
  <c r="A77" i="1"/>
  <c r="BD77" i="1" s="1"/>
  <c r="A76" i="1"/>
  <c r="BD76" i="1" s="1"/>
  <c r="A75" i="1"/>
  <c r="BD75" i="1" s="1"/>
  <c r="A74" i="1"/>
  <c r="BD74" i="1" s="1"/>
  <c r="A73" i="1"/>
  <c r="BD73" i="1" s="1"/>
  <c r="A72" i="1"/>
  <c r="BD72" i="1" s="1"/>
  <c r="A71" i="1"/>
  <c r="BD71" i="1" s="1"/>
  <c r="A70" i="1"/>
  <c r="BD70" i="1" s="1"/>
  <c r="A69" i="1"/>
  <c r="BD69" i="1" s="1"/>
  <c r="A68" i="1"/>
  <c r="BD68" i="1" s="1"/>
  <c r="A67" i="1"/>
  <c r="BD67" i="1" s="1"/>
  <c r="A66" i="1"/>
  <c r="BD66" i="1" s="1"/>
  <c r="A65" i="1"/>
  <c r="BD65" i="1" s="1"/>
  <c r="A64" i="1"/>
  <c r="BD64" i="1" s="1"/>
  <c r="A63" i="1"/>
  <c r="BD63" i="1" s="1"/>
  <c r="A62" i="1"/>
  <c r="BD62" i="1" s="1"/>
  <c r="A61" i="1"/>
  <c r="BD61" i="1" s="1"/>
  <c r="A60" i="1"/>
  <c r="BD60" i="1" s="1"/>
  <c r="A59" i="1"/>
  <c r="BD59" i="1" s="1"/>
  <c r="A58" i="1"/>
  <c r="BD58" i="1" s="1"/>
  <c r="A57" i="1"/>
  <c r="BD57" i="1" s="1"/>
  <c r="A56" i="1"/>
  <c r="BD56" i="1" s="1"/>
  <c r="A55" i="1"/>
  <c r="BD55" i="1" s="1"/>
  <c r="A54" i="1"/>
  <c r="BD54" i="1" s="1"/>
  <c r="A53" i="1"/>
  <c r="BD53" i="1" s="1"/>
  <c r="A52" i="1"/>
  <c r="BD52" i="1" s="1"/>
  <c r="A51" i="1"/>
  <c r="BD51" i="1" s="1"/>
  <c r="A50" i="1"/>
  <c r="BD50" i="1" s="1"/>
  <c r="A49" i="1"/>
  <c r="BD49" i="1" s="1"/>
  <c r="A48" i="1"/>
  <c r="BD48" i="1" s="1"/>
  <c r="A47" i="1"/>
  <c r="BD47" i="1" s="1"/>
  <c r="A46" i="1"/>
  <c r="BD46" i="1" s="1"/>
  <c r="A45" i="1"/>
  <c r="BD45" i="1" s="1"/>
  <c r="A44" i="1"/>
  <c r="BD44" i="1" s="1"/>
  <c r="A43" i="1"/>
  <c r="BD43" i="1" s="1"/>
  <c r="A42" i="1"/>
  <c r="BD42" i="1" s="1"/>
  <c r="A41" i="1"/>
  <c r="BD41" i="1" s="1"/>
  <c r="A40" i="1"/>
  <c r="BD40" i="1" s="1"/>
  <c r="A39" i="1"/>
  <c r="BD39" i="1" s="1"/>
  <c r="A38" i="1"/>
  <c r="BD38" i="1" s="1"/>
  <c r="A37" i="1"/>
  <c r="BD37" i="1" s="1"/>
  <c r="A36" i="1"/>
  <c r="BD36" i="1" s="1"/>
  <c r="A35" i="1"/>
  <c r="BD35" i="1" s="1"/>
  <c r="A34" i="1"/>
  <c r="BD34" i="1" s="1"/>
  <c r="A33" i="1"/>
  <c r="BD33" i="1" s="1"/>
  <c r="A32" i="1"/>
  <c r="BD32" i="1" s="1"/>
  <c r="A31" i="1"/>
  <c r="BD31" i="1" s="1"/>
  <c r="A30" i="1"/>
  <c r="BD30" i="1" s="1"/>
  <c r="A29" i="1"/>
  <c r="BD29" i="1" s="1"/>
  <c r="A28" i="1"/>
  <c r="BD28" i="1" s="1"/>
  <c r="A27" i="1"/>
  <c r="BD27" i="1" s="1"/>
  <c r="A26" i="1"/>
  <c r="BD26" i="1" s="1"/>
  <c r="A25" i="1"/>
  <c r="BD25" i="1" s="1"/>
  <c r="A24" i="1"/>
  <c r="BD24" i="1" s="1"/>
  <c r="A23" i="1"/>
  <c r="BD23" i="1" s="1"/>
  <c r="A22" i="1"/>
  <c r="BD22" i="1" s="1"/>
  <c r="A21" i="1"/>
  <c r="BD21" i="1" s="1"/>
  <c r="A20" i="1"/>
  <c r="BD20" i="1" s="1"/>
  <c r="A19" i="1"/>
  <c r="BD19" i="1" s="1"/>
  <c r="A18" i="1"/>
  <c r="BD18" i="1" s="1"/>
  <c r="A17" i="1"/>
  <c r="BD17" i="1" s="1"/>
  <c r="A16" i="1"/>
  <c r="BD16" i="1" s="1"/>
  <c r="A15" i="1"/>
  <c r="BD15" i="1" s="1"/>
  <c r="A14" i="1"/>
  <c r="BD14" i="1" s="1"/>
  <c r="A13" i="1"/>
  <c r="BD13" i="1" s="1"/>
  <c r="A12" i="1"/>
  <c r="BD12" i="1" s="1"/>
  <c r="A11" i="1"/>
  <c r="BD11" i="1" s="1"/>
  <c r="A10" i="1"/>
  <c r="BD10" i="1" s="1"/>
  <c r="A9" i="1"/>
  <c r="BD9" i="1" s="1"/>
  <c r="A8" i="1"/>
  <c r="BD8" i="1" s="1"/>
  <c r="A7" i="1"/>
  <c r="BD7" i="1" s="1"/>
  <c r="A6" i="1"/>
  <c r="BD6" i="1" s="1"/>
  <c r="A5" i="1"/>
  <c r="BD5" i="1" s="1"/>
  <c r="A4" i="1"/>
  <c r="BD4" i="1" s="1"/>
  <c r="A3" i="1"/>
  <c r="BD3" i="1" s="1"/>
  <c r="BF4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W9262" i="8"/>
  <c r="W9263" i="8"/>
  <c r="V9263" i="8" s="1"/>
  <c r="W9264" i="8"/>
  <c r="V9264" i="8" s="1"/>
  <c r="W9265" i="8"/>
  <c r="W9266" i="8"/>
  <c r="W9267" i="8"/>
  <c r="W9268" i="8"/>
  <c r="W9269" i="8"/>
  <c r="W9270" i="8"/>
  <c r="W9271" i="8"/>
  <c r="V9271" i="8" s="1"/>
  <c r="W9272" i="8"/>
  <c r="V9272" i="8" s="1"/>
  <c r="W9273" i="8"/>
  <c r="W9274" i="8"/>
  <c r="W9275" i="8"/>
  <c r="W9276" i="8"/>
  <c r="W9277" i="8"/>
  <c r="W9278" i="8"/>
  <c r="W9279" i="8"/>
  <c r="V9279" i="8" s="1"/>
  <c r="W9280" i="8"/>
  <c r="V9280" i="8" s="1"/>
  <c r="W9281" i="8"/>
  <c r="W9282" i="8"/>
  <c r="W9283" i="8"/>
  <c r="W9284" i="8"/>
  <c r="W9285" i="8"/>
  <c r="W9286" i="8"/>
  <c r="W9287" i="8"/>
  <c r="V9287" i="8" s="1"/>
  <c r="W9288" i="8"/>
  <c r="V9288" i="8" s="1"/>
  <c r="W9289" i="8"/>
  <c r="W9290" i="8"/>
  <c r="W9291" i="8"/>
  <c r="W9292" i="8"/>
  <c r="W9293" i="8"/>
  <c r="W9294" i="8"/>
  <c r="W9295" i="8"/>
  <c r="V9295" i="8" s="1"/>
  <c r="W9296" i="8"/>
  <c r="V9296" i="8" s="1"/>
  <c r="W9297" i="8"/>
  <c r="W9298" i="8"/>
  <c r="W9299" i="8"/>
  <c r="W9300" i="8"/>
  <c r="W9301" i="8"/>
  <c r="W9302" i="8"/>
  <c r="W9303" i="8"/>
  <c r="V9303" i="8" s="1"/>
  <c r="W9304" i="8"/>
  <c r="V9304" i="8" s="1"/>
  <c r="W9305" i="8"/>
  <c r="W9306" i="8"/>
  <c r="W9307" i="8"/>
  <c r="W9308" i="8"/>
  <c r="W9309" i="8"/>
  <c r="W9310" i="8"/>
  <c r="W9311" i="8"/>
  <c r="V9311" i="8" s="1"/>
  <c r="W9312" i="8"/>
  <c r="V9312" i="8" s="1"/>
  <c r="W9313" i="8"/>
  <c r="W9314" i="8"/>
  <c r="W9315" i="8"/>
  <c r="W9316" i="8"/>
  <c r="W9317" i="8"/>
  <c r="W9318" i="8"/>
  <c r="W9319" i="8"/>
  <c r="V9319" i="8" s="1"/>
  <c r="W9320" i="8"/>
  <c r="V9320" i="8" s="1"/>
  <c r="W9321" i="8"/>
  <c r="W9322" i="8"/>
  <c r="W9323" i="8"/>
  <c r="W9324" i="8"/>
  <c r="W9325" i="8"/>
  <c r="W9326" i="8"/>
  <c r="W9327" i="8"/>
  <c r="V9327" i="8" s="1"/>
  <c r="W9328" i="8"/>
  <c r="V9328" i="8" s="1"/>
  <c r="W9329" i="8"/>
  <c r="W9330" i="8"/>
  <c r="W9331" i="8"/>
  <c r="W9332" i="8"/>
  <c r="W9333" i="8"/>
  <c r="W9334" i="8"/>
  <c r="W9335" i="8"/>
  <c r="V9335" i="8" s="1"/>
  <c r="W9336" i="8"/>
  <c r="V9336" i="8" s="1"/>
  <c r="W9337" i="8"/>
  <c r="W9338" i="8"/>
  <c r="W9339" i="8"/>
  <c r="W9340" i="8"/>
  <c r="W9341" i="8"/>
  <c r="W9342" i="8"/>
  <c r="W9343" i="8"/>
  <c r="V9343" i="8" s="1"/>
  <c r="W9344" i="8"/>
  <c r="V9344" i="8" s="1"/>
  <c r="W9345" i="8"/>
  <c r="W9346" i="8"/>
  <c r="W9347" i="8"/>
  <c r="W9348" i="8"/>
  <c r="W9349" i="8"/>
  <c r="W9350" i="8"/>
  <c r="W9351" i="8"/>
  <c r="V9351" i="8" s="1"/>
  <c r="W9352" i="8"/>
  <c r="V9352" i="8" s="1"/>
  <c r="W9353" i="8"/>
  <c r="W9354" i="8"/>
  <c r="W9355" i="8"/>
  <c r="W9356" i="8"/>
  <c r="W9357" i="8"/>
  <c r="W9358" i="8"/>
  <c r="W9359" i="8"/>
  <c r="V9359" i="8" s="1"/>
  <c r="W9360" i="8"/>
  <c r="V9360" i="8" s="1"/>
  <c r="W9361" i="8"/>
  <c r="W9362" i="8"/>
  <c r="W9363" i="8"/>
  <c r="W9364" i="8"/>
  <c r="W9365" i="8"/>
  <c r="W9366" i="8"/>
  <c r="W9367" i="8"/>
  <c r="V9367" i="8" s="1"/>
  <c r="W9368" i="8"/>
  <c r="V9368" i="8" s="1"/>
  <c r="W9369" i="8"/>
  <c r="W9370" i="8"/>
  <c r="W9371" i="8"/>
  <c r="W9372" i="8"/>
  <c r="W9373" i="8"/>
  <c r="W9374" i="8"/>
  <c r="W9375" i="8"/>
  <c r="V9375" i="8" s="1"/>
  <c r="W9376" i="8"/>
  <c r="V9376" i="8" s="1"/>
  <c r="W9377" i="8"/>
  <c r="W9378" i="8"/>
  <c r="W9379" i="8"/>
  <c r="W9380" i="8"/>
  <c r="W9381" i="8"/>
  <c r="W9382" i="8"/>
  <c r="W9383" i="8"/>
  <c r="V9383" i="8" s="1"/>
  <c r="W9384" i="8"/>
  <c r="V9384" i="8" s="1"/>
  <c r="W9385" i="8"/>
  <c r="W9386" i="8"/>
  <c r="W9387" i="8"/>
  <c r="W9388" i="8"/>
  <c r="W9389" i="8"/>
  <c r="W9390" i="8"/>
  <c r="W9391" i="8"/>
  <c r="V9391" i="8" s="1"/>
  <c r="W9392" i="8"/>
  <c r="V9392" i="8" s="1"/>
  <c r="W9393" i="8"/>
  <c r="W9394" i="8"/>
  <c r="W9395" i="8"/>
  <c r="W9396" i="8"/>
  <c r="W9397" i="8"/>
  <c r="W9398" i="8"/>
  <c r="W9399" i="8"/>
  <c r="V9399" i="8" s="1"/>
  <c r="W9400" i="8"/>
  <c r="V9400" i="8" s="1"/>
  <c r="W9401" i="8"/>
  <c r="W9402" i="8"/>
  <c r="W9403" i="8"/>
  <c r="W9404" i="8"/>
  <c r="W9405" i="8"/>
  <c r="W9406" i="8"/>
  <c r="W9407" i="8"/>
  <c r="V9407" i="8" s="1"/>
  <c r="W9408" i="8"/>
  <c r="V9408" i="8" s="1"/>
  <c r="W9409" i="8"/>
  <c r="W9410" i="8"/>
  <c r="W9411" i="8"/>
  <c r="W9412" i="8"/>
  <c r="W9413" i="8"/>
  <c r="W9414" i="8"/>
  <c r="W9415" i="8"/>
  <c r="V9415" i="8" s="1"/>
  <c r="W9416" i="8"/>
  <c r="V9416" i="8" s="1"/>
  <c r="W9417" i="8"/>
  <c r="W9418" i="8"/>
  <c r="W9419" i="8"/>
  <c r="W9420" i="8"/>
  <c r="W9421" i="8"/>
  <c r="W9422" i="8"/>
  <c r="W9423" i="8"/>
  <c r="V9423" i="8" s="1"/>
  <c r="W9424" i="8"/>
  <c r="V9424" i="8" s="1"/>
  <c r="W9425" i="8"/>
  <c r="W9426" i="8"/>
  <c r="W9427" i="8"/>
  <c r="W9428" i="8"/>
  <c r="W9429" i="8"/>
  <c r="W9430" i="8"/>
  <c r="W9431" i="8"/>
  <c r="V9431" i="8" s="1"/>
  <c r="W9432" i="8"/>
  <c r="V9432" i="8" s="1"/>
  <c r="W9433" i="8"/>
  <c r="W9434" i="8"/>
  <c r="W9435" i="8"/>
  <c r="W9436" i="8"/>
  <c r="W9437" i="8"/>
  <c r="W9438" i="8"/>
  <c r="W9439" i="8"/>
  <c r="V9439" i="8" s="1"/>
  <c r="W9440" i="8"/>
  <c r="V9440" i="8" s="1"/>
  <c r="W9441" i="8"/>
  <c r="W9442" i="8"/>
  <c r="W9443" i="8"/>
  <c r="W9444" i="8"/>
  <c r="W9445" i="8"/>
  <c r="W9446" i="8"/>
  <c r="W9447" i="8"/>
  <c r="V9447" i="8" s="1"/>
  <c r="W9448" i="8"/>
  <c r="V9448" i="8" s="1"/>
  <c r="W9449" i="8"/>
  <c r="W9450" i="8"/>
  <c r="W9451" i="8"/>
  <c r="W9452" i="8"/>
  <c r="W9453" i="8"/>
  <c r="W9454" i="8"/>
  <c r="W9455" i="8"/>
  <c r="V9455" i="8" s="1"/>
  <c r="W9456" i="8"/>
  <c r="V9456" i="8" s="1"/>
  <c r="W9457" i="8"/>
  <c r="W9458" i="8"/>
  <c r="W9459" i="8"/>
  <c r="W9460" i="8"/>
  <c r="W9461" i="8"/>
  <c r="W9462" i="8"/>
  <c r="W9463" i="8"/>
  <c r="V9463" i="8" s="1"/>
  <c r="W9464" i="8"/>
  <c r="V9464" i="8" s="1"/>
  <c r="W9465" i="8"/>
  <c r="W9466" i="8"/>
  <c r="W9467" i="8"/>
  <c r="W9468" i="8"/>
  <c r="W9469" i="8"/>
  <c r="W9470" i="8"/>
  <c r="W9471" i="8"/>
  <c r="V9471" i="8" s="1"/>
  <c r="W9472" i="8"/>
  <c r="V9472" i="8" s="1"/>
  <c r="W9473" i="8"/>
  <c r="W9474" i="8"/>
  <c r="W9475" i="8"/>
  <c r="W9476" i="8"/>
  <c r="W9477" i="8"/>
  <c r="W9478" i="8"/>
  <c r="W9479" i="8"/>
  <c r="V9479" i="8" s="1"/>
  <c r="W9480" i="8"/>
  <c r="V9480" i="8" s="1"/>
  <c r="W9481" i="8"/>
  <c r="W9482" i="8"/>
  <c r="W9483" i="8"/>
  <c r="W9484" i="8"/>
  <c r="W9485" i="8"/>
  <c r="W9486" i="8"/>
  <c r="W9487" i="8"/>
  <c r="V9487" i="8" s="1"/>
  <c r="W9488" i="8"/>
  <c r="V9488" i="8" s="1"/>
  <c r="W9489" i="8"/>
  <c r="W9490" i="8"/>
  <c r="W9491" i="8"/>
  <c r="W9492" i="8"/>
  <c r="W9493" i="8"/>
  <c r="W9494" i="8"/>
  <c r="W9495" i="8"/>
  <c r="V9495" i="8" s="1"/>
  <c r="W9496" i="8"/>
  <c r="V9496" i="8" s="1"/>
  <c r="W9497" i="8"/>
  <c r="W9498" i="8"/>
  <c r="W9499" i="8"/>
  <c r="W9500" i="8"/>
  <c r="W9501" i="8"/>
  <c r="W9502" i="8"/>
  <c r="W9503" i="8"/>
  <c r="V9503" i="8" s="1"/>
  <c r="W9504" i="8"/>
  <c r="V9504" i="8" s="1"/>
  <c r="W9505" i="8"/>
  <c r="W9506" i="8"/>
  <c r="W9507" i="8"/>
  <c r="W9508" i="8"/>
  <c r="W9509" i="8"/>
  <c r="W9510" i="8"/>
  <c r="W9511" i="8"/>
  <c r="V9511" i="8" s="1"/>
  <c r="W9512" i="8"/>
  <c r="V9512" i="8" s="1"/>
  <c r="W9513" i="8"/>
  <c r="W9514" i="8"/>
  <c r="W9515" i="8"/>
  <c r="W9516" i="8"/>
  <c r="W9517" i="8"/>
  <c r="W9518" i="8"/>
  <c r="W9519" i="8"/>
  <c r="V9519" i="8" s="1"/>
  <c r="W9520" i="8"/>
  <c r="V9520" i="8" s="1"/>
  <c r="W9521" i="8"/>
  <c r="W9522" i="8"/>
  <c r="W9523" i="8"/>
  <c r="W9524" i="8"/>
  <c r="W9525" i="8"/>
  <c r="W9526" i="8"/>
  <c r="W9527" i="8"/>
  <c r="V9527" i="8" s="1"/>
  <c r="W9528" i="8"/>
  <c r="V9528" i="8" s="1"/>
  <c r="W9529" i="8"/>
  <c r="W9530" i="8"/>
  <c r="W9531" i="8"/>
  <c r="W9532" i="8"/>
  <c r="W9533" i="8"/>
  <c r="W9534" i="8"/>
  <c r="W9535" i="8"/>
  <c r="V9535" i="8" s="1"/>
  <c r="W9536" i="8"/>
  <c r="V9536" i="8" s="1"/>
  <c r="W9537" i="8"/>
  <c r="W9538" i="8"/>
  <c r="W9539" i="8"/>
  <c r="W9540" i="8"/>
  <c r="W9541" i="8"/>
  <c r="W9542" i="8"/>
  <c r="W9543" i="8"/>
  <c r="V9543" i="8" s="1"/>
  <c r="W9544" i="8"/>
  <c r="V9544" i="8" s="1"/>
  <c r="W9545" i="8"/>
  <c r="W9546" i="8"/>
  <c r="W9547" i="8"/>
  <c r="W9548" i="8"/>
  <c r="W9549" i="8"/>
  <c r="W9550" i="8"/>
  <c r="W9551" i="8"/>
  <c r="V9551" i="8" s="1"/>
  <c r="W9552" i="8"/>
  <c r="V9552" i="8" s="1"/>
  <c r="W9553" i="8"/>
  <c r="W9554" i="8"/>
  <c r="W9555" i="8"/>
  <c r="W9556" i="8"/>
  <c r="W9557" i="8"/>
  <c r="W9558" i="8"/>
  <c r="W9559" i="8"/>
  <c r="V9559" i="8" s="1"/>
  <c r="W9560" i="8"/>
  <c r="V9560" i="8" s="1"/>
  <c r="W9561" i="8"/>
  <c r="W9562" i="8"/>
  <c r="W9563" i="8"/>
  <c r="W9564" i="8"/>
  <c r="W9565" i="8"/>
  <c r="W9566" i="8"/>
  <c r="W9567" i="8"/>
  <c r="V9567" i="8" s="1"/>
  <c r="W9568" i="8"/>
  <c r="V9568" i="8" s="1"/>
  <c r="W9569" i="8"/>
  <c r="W9570" i="8"/>
  <c r="W9571" i="8"/>
  <c r="W9572" i="8"/>
  <c r="W9573" i="8"/>
  <c r="W9574" i="8"/>
  <c r="W9575" i="8"/>
  <c r="V9575" i="8" s="1"/>
  <c r="W9576" i="8"/>
  <c r="V9576" i="8" s="1"/>
  <c r="W9577" i="8"/>
  <c r="W9578" i="8"/>
  <c r="W9579" i="8"/>
  <c r="W9580" i="8"/>
  <c r="W9581" i="8"/>
  <c r="W9582" i="8"/>
  <c r="W9583" i="8"/>
  <c r="V9583" i="8" s="1"/>
  <c r="W9584" i="8"/>
  <c r="V9584" i="8" s="1"/>
  <c r="W9585" i="8"/>
  <c r="W9586" i="8"/>
  <c r="W9587" i="8"/>
  <c r="W9588" i="8"/>
  <c r="W9589" i="8"/>
  <c r="W9590" i="8"/>
  <c r="W9591" i="8"/>
  <c r="V9591" i="8" s="1"/>
  <c r="W9592" i="8"/>
  <c r="V9592" i="8" s="1"/>
  <c r="W9593" i="8"/>
  <c r="W9594" i="8"/>
  <c r="W9595" i="8"/>
  <c r="W9596" i="8"/>
  <c r="W9597" i="8"/>
  <c r="W9598" i="8"/>
  <c r="W9599" i="8"/>
  <c r="V9599" i="8" s="1"/>
  <c r="W9600" i="8"/>
  <c r="V9600" i="8" s="1"/>
  <c r="W9601" i="8"/>
  <c r="W9602" i="8"/>
  <c r="W9603" i="8"/>
  <c r="W9604" i="8"/>
  <c r="W9605" i="8"/>
  <c r="W9606" i="8"/>
  <c r="W9607" i="8"/>
  <c r="V9607" i="8" s="1"/>
  <c r="W9608" i="8"/>
  <c r="V9608" i="8" s="1"/>
  <c r="W9609" i="8"/>
  <c r="W9610" i="8"/>
  <c r="W9611" i="8"/>
  <c r="W9612" i="8"/>
  <c r="W9613" i="8"/>
  <c r="W9614" i="8"/>
  <c r="W9615" i="8"/>
  <c r="V9615" i="8" s="1"/>
  <c r="W9616" i="8"/>
  <c r="V9616" i="8" s="1"/>
  <c r="W9617" i="8"/>
  <c r="W9618" i="8"/>
  <c r="W9619" i="8"/>
  <c r="W9620" i="8"/>
  <c r="W9621" i="8"/>
  <c r="W9622" i="8"/>
  <c r="W9623" i="8"/>
  <c r="V9623" i="8" s="1"/>
  <c r="W9624" i="8"/>
  <c r="V9624" i="8" s="1"/>
  <c r="W9625" i="8"/>
  <c r="W9626" i="8"/>
  <c r="W9627" i="8"/>
  <c r="W9628" i="8"/>
  <c r="W9629" i="8"/>
  <c r="W9630" i="8"/>
  <c r="W9631" i="8"/>
  <c r="V9631" i="8" s="1"/>
  <c r="W9632" i="8"/>
  <c r="V9632" i="8" s="1"/>
  <c r="W9633" i="8"/>
  <c r="W9634" i="8"/>
  <c r="W9635" i="8"/>
  <c r="W9636" i="8"/>
  <c r="W9637" i="8"/>
  <c r="W9638" i="8"/>
  <c r="W9639" i="8"/>
  <c r="V9639" i="8" s="1"/>
  <c r="W9640" i="8"/>
  <c r="V9640" i="8" s="1"/>
  <c r="W9641" i="8"/>
  <c r="W9642" i="8"/>
  <c r="W9643" i="8"/>
  <c r="W9644" i="8"/>
  <c r="W9645" i="8"/>
  <c r="W9646" i="8"/>
  <c r="W9647" i="8"/>
  <c r="V9647" i="8" s="1"/>
  <c r="W9648" i="8"/>
  <c r="V9648" i="8" s="1"/>
  <c r="W9649" i="8"/>
  <c r="W9650" i="8"/>
  <c r="W9651" i="8"/>
  <c r="W9652" i="8"/>
  <c r="W9653" i="8"/>
  <c r="W9654" i="8"/>
  <c r="W9655" i="8"/>
  <c r="V9655" i="8" s="1"/>
  <c r="W9656" i="8"/>
  <c r="V9656" i="8" s="1"/>
  <c r="W9657" i="8"/>
  <c r="W9658" i="8"/>
  <c r="W9659" i="8"/>
  <c r="W9660" i="8"/>
  <c r="W9661" i="8"/>
  <c r="W9662" i="8"/>
  <c r="W9663" i="8"/>
  <c r="V9663" i="8" s="1"/>
  <c r="W9664" i="8"/>
  <c r="V9664" i="8" s="1"/>
  <c r="W9665" i="8"/>
  <c r="W9666" i="8"/>
  <c r="W9667" i="8"/>
  <c r="W9668" i="8"/>
  <c r="W9669" i="8"/>
  <c r="W9670" i="8"/>
  <c r="W9671" i="8"/>
  <c r="V9671" i="8" s="1"/>
  <c r="W9672" i="8"/>
  <c r="V9672" i="8" s="1"/>
  <c r="W9673" i="8"/>
  <c r="W9674" i="8"/>
  <c r="W9675" i="8"/>
  <c r="W9676" i="8"/>
  <c r="W9677" i="8"/>
  <c r="W9678" i="8"/>
  <c r="W9679" i="8"/>
  <c r="V9679" i="8" s="1"/>
  <c r="W9680" i="8"/>
  <c r="V9680" i="8" s="1"/>
  <c r="W9681" i="8"/>
  <c r="W9682" i="8"/>
  <c r="W9683" i="8"/>
  <c r="W9684" i="8"/>
  <c r="W9685" i="8"/>
  <c r="W9686" i="8"/>
  <c r="W9687" i="8"/>
  <c r="V9687" i="8" s="1"/>
  <c r="W9688" i="8"/>
  <c r="V9688" i="8" s="1"/>
  <c r="W9689" i="8"/>
  <c r="W9690" i="8"/>
  <c r="W9691" i="8"/>
  <c r="W9692" i="8"/>
  <c r="W9693" i="8"/>
  <c r="W9694" i="8"/>
  <c r="W9695" i="8"/>
  <c r="V9695" i="8" s="1"/>
  <c r="W9696" i="8"/>
  <c r="V9696" i="8" s="1"/>
  <c r="W9697" i="8"/>
  <c r="W9698" i="8"/>
  <c r="W9699" i="8"/>
  <c r="W9700" i="8"/>
  <c r="W9701" i="8"/>
  <c r="W9702" i="8"/>
  <c r="W9703" i="8"/>
  <c r="V9703" i="8" s="1"/>
  <c r="W9704" i="8"/>
  <c r="V9704" i="8" s="1"/>
  <c r="W9705" i="8"/>
  <c r="W9706" i="8"/>
  <c r="W9707" i="8"/>
  <c r="W9708" i="8"/>
  <c r="W9709" i="8"/>
  <c r="W9710" i="8"/>
  <c r="W9711" i="8"/>
  <c r="V9711" i="8" s="1"/>
  <c r="W9712" i="8"/>
  <c r="V9712" i="8" s="1"/>
  <c r="W9713" i="8"/>
  <c r="W9714" i="8"/>
  <c r="W9715" i="8"/>
  <c r="W9716" i="8"/>
  <c r="W9717" i="8"/>
  <c r="W9718" i="8"/>
  <c r="W9719" i="8"/>
  <c r="V9719" i="8" s="1"/>
  <c r="W9720" i="8"/>
  <c r="V9720" i="8" s="1"/>
  <c r="W9721" i="8"/>
  <c r="W9722" i="8"/>
  <c r="W9723" i="8"/>
  <c r="W9724" i="8"/>
  <c r="W9725" i="8"/>
  <c r="W9726" i="8"/>
  <c r="W9727" i="8"/>
  <c r="V9727" i="8" s="1"/>
  <c r="W9728" i="8"/>
  <c r="V9728" i="8" s="1"/>
  <c r="W9729" i="8"/>
  <c r="W9730" i="8"/>
  <c r="W9731" i="8"/>
  <c r="W9732" i="8"/>
  <c r="W9733" i="8"/>
  <c r="W9734" i="8"/>
  <c r="W9735" i="8"/>
  <c r="V9735" i="8" s="1"/>
  <c r="W9736" i="8"/>
  <c r="V9736" i="8" s="1"/>
  <c r="W9737" i="8"/>
  <c r="W9738" i="8"/>
  <c r="W9739" i="8"/>
  <c r="W9740" i="8"/>
  <c r="W9741" i="8"/>
  <c r="W9742" i="8"/>
  <c r="W9743" i="8"/>
  <c r="V9743" i="8" s="1"/>
  <c r="W9744" i="8"/>
  <c r="V9744" i="8" s="1"/>
  <c r="W9745" i="8"/>
  <c r="W9746" i="8"/>
  <c r="W9747" i="8"/>
  <c r="W9748" i="8"/>
  <c r="W9749" i="8"/>
  <c r="W9750" i="8"/>
  <c r="W9751" i="8"/>
  <c r="V9751" i="8" s="1"/>
  <c r="W9752" i="8"/>
  <c r="V9752" i="8" s="1"/>
  <c r="W9753" i="8"/>
  <c r="W9754" i="8"/>
  <c r="W9755" i="8"/>
  <c r="W9756" i="8"/>
  <c r="W9757" i="8"/>
  <c r="W9758" i="8"/>
  <c r="W9759" i="8"/>
  <c r="V9759" i="8" s="1"/>
  <c r="W9760" i="8"/>
  <c r="V9760" i="8" s="1"/>
  <c r="W9761" i="8"/>
  <c r="W9762" i="8"/>
  <c r="W9763" i="8"/>
  <c r="W9764" i="8"/>
  <c r="W9765" i="8"/>
  <c r="W9766" i="8"/>
  <c r="W9767" i="8"/>
  <c r="V9767" i="8" s="1"/>
  <c r="W9768" i="8"/>
  <c r="V9768" i="8" s="1"/>
  <c r="W9769" i="8"/>
  <c r="W9770" i="8"/>
  <c r="W9771" i="8"/>
  <c r="W9772" i="8"/>
  <c r="W9773" i="8"/>
  <c r="W9774" i="8"/>
  <c r="W9775" i="8"/>
  <c r="V9775" i="8" s="1"/>
  <c r="W9776" i="8"/>
  <c r="V9776" i="8" s="1"/>
  <c r="W9777" i="8"/>
  <c r="W9778" i="8"/>
  <c r="W9779" i="8"/>
  <c r="W9780" i="8"/>
  <c r="W9781" i="8"/>
  <c r="W9782" i="8"/>
  <c r="W9783" i="8"/>
  <c r="V9783" i="8" s="1"/>
  <c r="W9784" i="8"/>
  <c r="V9784" i="8" s="1"/>
  <c r="W9785" i="8"/>
  <c r="W9786" i="8"/>
  <c r="W9787" i="8"/>
  <c r="W9788" i="8"/>
  <c r="W9789" i="8"/>
  <c r="W9790" i="8"/>
  <c r="W9791" i="8"/>
  <c r="V9791" i="8" s="1"/>
  <c r="W9792" i="8"/>
  <c r="V9792" i="8" s="1"/>
  <c r="W9793" i="8"/>
  <c r="W9794" i="8"/>
  <c r="W9795" i="8"/>
  <c r="W9796" i="8"/>
  <c r="W9797" i="8"/>
  <c r="W9798" i="8"/>
  <c r="W9799" i="8"/>
  <c r="V9799" i="8" s="1"/>
  <c r="W9800" i="8"/>
  <c r="V9800" i="8" s="1"/>
  <c r="W9801" i="8"/>
  <c r="W9802" i="8"/>
  <c r="W9803" i="8"/>
  <c r="W9804" i="8"/>
  <c r="W9805" i="8"/>
  <c r="W9806" i="8"/>
  <c r="W9807" i="8"/>
  <c r="V9807" i="8" s="1"/>
  <c r="W9808" i="8"/>
  <c r="W9809" i="8"/>
  <c r="W9810" i="8"/>
  <c r="W9811" i="8"/>
  <c r="W9812" i="8"/>
  <c r="W9813" i="8"/>
  <c r="W9814" i="8"/>
  <c r="W9815" i="8"/>
  <c r="V9815" i="8" s="1"/>
  <c r="W9816" i="8"/>
  <c r="V9816" i="8" s="1"/>
  <c r="W9817" i="8"/>
  <c r="W9818" i="8"/>
  <c r="W9819" i="8"/>
  <c r="W9820" i="8"/>
  <c r="W9821" i="8"/>
  <c r="W9822" i="8"/>
  <c r="W9823" i="8"/>
  <c r="V9823" i="8" s="1"/>
  <c r="W9824" i="8"/>
  <c r="V9824" i="8" s="1"/>
  <c r="W9825" i="8"/>
  <c r="W9826" i="8"/>
  <c r="W9827" i="8"/>
  <c r="W9828" i="8"/>
  <c r="W9829" i="8"/>
  <c r="W9830" i="8"/>
  <c r="W9831" i="8"/>
  <c r="V9831" i="8" s="1"/>
  <c r="W9832" i="8"/>
  <c r="V9832" i="8" s="1"/>
  <c r="W9833" i="8"/>
  <c r="W9834" i="8"/>
  <c r="W9835" i="8"/>
  <c r="W9836" i="8"/>
  <c r="W9837" i="8"/>
  <c r="W9838" i="8"/>
  <c r="W9839" i="8"/>
  <c r="V9839" i="8" s="1"/>
  <c r="W9840" i="8"/>
  <c r="V9840" i="8" s="1"/>
  <c r="W9841" i="8"/>
  <c r="W9842" i="8"/>
  <c r="W9843" i="8"/>
  <c r="W9844" i="8"/>
  <c r="W9845" i="8"/>
  <c r="W9846" i="8"/>
  <c r="W9847" i="8"/>
  <c r="V9847" i="8" s="1"/>
  <c r="W9848" i="8"/>
  <c r="V9848" i="8" s="1"/>
  <c r="W9849" i="8"/>
  <c r="W9850" i="8"/>
  <c r="W9851" i="8"/>
  <c r="W9852" i="8"/>
  <c r="W9853" i="8"/>
  <c r="W9854" i="8"/>
  <c r="W9855" i="8"/>
  <c r="V9855" i="8" s="1"/>
  <c r="W9856" i="8"/>
  <c r="V9856" i="8" s="1"/>
  <c r="W9857" i="8"/>
  <c r="W9858" i="8"/>
  <c r="W9859" i="8"/>
  <c r="W9860" i="8"/>
  <c r="W9861" i="8"/>
  <c r="W9862" i="8"/>
  <c r="W9863" i="8"/>
  <c r="V9863" i="8" s="1"/>
  <c r="W9864" i="8"/>
  <c r="V9864" i="8" s="1"/>
  <c r="W9865" i="8"/>
  <c r="W9866" i="8"/>
  <c r="W9867" i="8"/>
  <c r="W9868" i="8"/>
  <c r="W9869" i="8"/>
  <c r="W9870" i="8"/>
  <c r="W9871" i="8"/>
  <c r="V9871" i="8" s="1"/>
  <c r="W9872" i="8"/>
  <c r="W9873" i="8"/>
  <c r="W9874" i="8"/>
  <c r="W9875" i="8"/>
  <c r="W9876" i="8"/>
  <c r="W9877" i="8"/>
  <c r="W9878" i="8"/>
  <c r="W9879" i="8"/>
  <c r="V9879" i="8" s="1"/>
  <c r="W9880" i="8"/>
  <c r="V9880" i="8" s="1"/>
  <c r="W9881" i="8"/>
  <c r="W9882" i="8"/>
  <c r="W9883" i="8"/>
  <c r="W9884" i="8"/>
  <c r="W9885" i="8"/>
  <c r="W9886" i="8"/>
  <c r="W9887" i="8"/>
  <c r="V9887" i="8" s="1"/>
  <c r="W9888" i="8"/>
  <c r="V9888" i="8" s="1"/>
  <c r="W9889" i="8"/>
  <c r="W9890" i="8"/>
  <c r="W9891" i="8"/>
  <c r="W9892" i="8"/>
  <c r="W9893" i="8"/>
  <c r="W9894" i="8"/>
  <c r="W9895" i="8"/>
  <c r="V9895" i="8" s="1"/>
  <c r="W9896" i="8"/>
  <c r="V9896" i="8" s="1"/>
  <c r="W9897" i="8"/>
  <c r="W9898" i="8"/>
  <c r="W9899" i="8"/>
  <c r="W9900" i="8"/>
  <c r="W9901" i="8"/>
  <c r="W9902" i="8"/>
  <c r="W9903" i="8"/>
  <c r="V9903" i="8" s="1"/>
  <c r="W9904" i="8"/>
  <c r="V9904" i="8" s="1"/>
  <c r="W9905" i="8"/>
  <c r="W9906" i="8"/>
  <c r="W9907" i="8"/>
  <c r="W9908" i="8"/>
  <c r="W9909" i="8"/>
  <c r="W9910" i="8"/>
  <c r="W9911" i="8"/>
  <c r="V9911" i="8" s="1"/>
  <c r="W9912" i="8"/>
  <c r="V9912" i="8" s="1"/>
  <c r="W9913" i="8"/>
  <c r="W9914" i="8"/>
  <c r="W9915" i="8"/>
  <c r="W9916" i="8"/>
  <c r="W9917" i="8"/>
  <c r="W9918" i="8"/>
  <c r="W9919" i="8"/>
  <c r="V9919" i="8" s="1"/>
  <c r="W9920" i="8"/>
  <c r="V9920" i="8" s="1"/>
  <c r="W9921" i="8"/>
  <c r="W9922" i="8"/>
  <c r="W9923" i="8"/>
  <c r="W9924" i="8"/>
  <c r="W9925" i="8"/>
  <c r="W9926" i="8"/>
  <c r="W9927" i="8"/>
  <c r="V9927" i="8" s="1"/>
  <c r="W9928" i="8"/>
  <c r="V9928" i="8" s="1"/>
  <c r="W9929" i="8"/>
  <c r="W9930" i="8"/>
  <c r="W9931" i="8"/>
  <c r="W9932" i="8"/>
  <c r="W9933" i="8"/>
  <c r="W9934" i="8"/>
  <c r="W9935" i="8"/>
  <c r="V9935" i="8" s="1"/>
  <c r="W9936" i="8"/>
  <c r="W9937" i="8"/>
  <c r="W9938" i="8"/>
  <c r="W9939" i="8"/>
  <c r="W9940" i="8"/>
  <c r="W9941" i="8"/>
  <c r="W9942" i="8"/>
  <c r="W9943" i="8"/>
  <c r="W9944" i="8"/>
  <c r="W9945" i="8"/>
  <c r="W9946" i="8"/>
  <c r="W9947" i="8"/>
  <c r="W9948" i="8"/>
  <c r="W9949" i="8"/>
  <c r="W9950" i="8"/>
  <c r="W9951" i="8"/>
  <c r="W9952" i="8"/>
  <c r="W9953" i="8"/>
  <c r="W9954" i="8"/>
  <c r="W9955" i="8"/>
  <c r="W9956" i="8"/>
  <c r="W9957" i="8"/>
  <c r="W9958" i="8"/>
  <c r="W9959" i="8"/>
  <c r="W9960" i="8"/>
  <c r="W9961" i="8"/>
  <c r="W9962" i="8"/>
  <c r="W9963" i="8"/>
  <c r="W9964" i="8"/>
  <c r="W9965" i="8"/>
  <c r="W9966" i="8"/>
  <c r="W9967" i="8"/>
  <c r="W9968" i="8"/>
  <c r="W9969" i="8"/>
  <c r="W9970" i="8"/>
  <c r="W9971" i="8"/>
  <c r="W9972" i="8"/>
  <c r="W9973" i="8"/>
  <c r="W9974" i="8"/>
  <c r="W9975" i="8"/>
  <c r="W9976" i="8"/>
  <c r="W9977" i="8"/>
  <c r="W9978" i="8"/>
  <c r="W9979" i="8"/>
  <c r="W9980" i="8"/>
  <c r="W9981" i="8"/>
  <c r="W9982" i="8"/>
  <c r="W9983" i="8"/>
  <c r="W9984" i="8"/>
  <c r="W9985" i="8"/>
  <c r="W9986" i="8"/>
  <c r="W9987" i="8"/>
  <c r="W9988" i="8"/>
  <c r="W9989" i="8"/>
  <c r="W9990" i="8"/>
  <c r="W9991" i="8"/>
  <c r="W9992" i="8"/>
  <c r="W9993" i="8"/>
  <c r="W9994" i="8"/>
  <c r="W9995" i="8"/>
  <c r="W9996" i="8"/>
  <c r="W9997" i="8"/>
  <c r="W9998" i="8"/>
  <c r="W9999" i="8"/>
  <c r="W10000" i="8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E9206" i="8" s="1"/>
  <c r="AD9206" i="8"/>
  <c r="AC9207" i="8"/>
  <c r="AD9207" i="8"/>
  <c r="AC9208" i="8"/>
  <c r="AE9208" i="8" s="1"/>
  <c r="AD9208" i="8"/>
  <c r="AC9209" i="8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E9238" i="8" s="1"/>
  <c r="AD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D9243" i="8"/>
  <c r="AC9244" i="8"/>
  <c r="AD9244" i="8"/>
  <c r="AC9245" i="8"/>
  <c r="AD9245" i="8"/>
  <c r="AE9245" i="8"/>
  <c r="AC9246" i="8"/>
  <c r="AE9246" i="8" s="1"/>
  <c r="AD9246" i="8"/>
  <c r="AC9247" i="8"/>
  <c r="AD9247" i="8"/>
  <c r="AC9248" i="8"/>
  <c r="AE9248" i="8" s="1"/>
  <c r="AD9248" i="8"/>
  <c r="AC9249" i="8"/>
  <c r="AD9249" i="8"/>
  <c r="AC9250" i="8"/>
  <c r="AD9250" i="8"/>
  <c r="AC9251" i="8"/>
  <c r="AD9251" i="8"/>
  <c r="AC9252" i="8"/>
  <c r="AD9252" i="8"/>
  <c r="AC9253" i="8"/>
  <c r="AE9253" i="8" s="1"/>
  <c r="AD9253" i="8"/>
  <c r="AC9254" i="8"/>
  <c r="AD9254" i="8"/>
  <c r="AC9255" i="8"/>
  <c r="AD9255" i="8"/>
  <c r="AC9256" i="8"/>
  <c r="AD9256" i="8"/>
  <c r="AC9257" i="8"/>
  <c r="AE9257" i="8" s="1"/>
  <c r="AD9257" i="8"/>
  <c r="AC9258" i="8"/>
  <c r="AD9258" i="8"/>
  <c r="AC9259" i="8"/>
  <c r="AD9259" i="8"/>
  <c r="AC9260" i="8"/>
  <c r="AD9260" i="8"/>
  <c r="AC9261" i="8"/>
  <c r="AE9261" i="8" s="1"/>
  <c r="AD9261" i="8"/>
  <c r="AC9262" i="8"/>
  <c r="AD9262" i="8"/>
  <c r="AE9262" i="8" s="1"/>
  <c r="AC9263" i="8"/>
  <c r="AE9263" i="8" s="1"/>
  <c r="AD9263" i="8"/>
  <c r="AC9264" i="8"/>
  <c r="AD9264" i="8"/>
  <c r="AC9265" i="8"/>
  <c r="AD9265" i="8"/>
  <c r="AC9266" i="8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E9271" i="8" s="1"/>
  <c r="AD9271" i="8"/>
  <c r="AC9272" i="8"/>
  <c r="AE9272" i="8" s="1"/>
  <c r="AD9272" i="8"/>
  <c r="AC9273" i="8"/>
  <c r="AD9273" i="8"/>
  <c r="AC9274" i="8"/>
  <c r="AD9274" i="8"/>
  <c r="AE9274" i="8" s="1"/>
  <c r="AC9275" i="8"/>
  <c r="AD9275" i="8"/>
  <c r="AC9276" i="8"/>
  <c r="AE9276" i="8" s="1"/>
  <c r="AD9276" i="8"/>
  <c r="AC9277" i="8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D9283" i="8"/>
  <c r="AC9284" i="8"/>
  <c r="AD9284" i="8"/>
  <c r="AC9285" i="8"/>
  <c r="AD9285" i="8"/>
  <c r="AC9286" i="8"/>
  <c r="AD9286" i="8"/>
  <c r="AC9287" i="8"/>
  <c r="AE9287" i="8" s="1"/>
  <c r="AD9287" i="8"/>
  <c r="AC9288" i="8"/>
  <c r="AD9288" i="8"/>
  <c r="AC9289" i="8"/>
  <c r="AD9289" i="8"/>
  <c r="AC9290" i="8"/>
  <c r="AD9290" i="8"/>
  <c r="AC9291" i="8"/>
  <c r="AE9291" i="8" s="1"/>
  <c r="AD9291" i="8"/>
  <c r="AC9292" i="8"/>
  <c r="AD9292" i="8"/>
  <c r="AC9293" i="8"/>
  <c r="AD9293" i="8"/>
  <c r="AC9294" i="8"/>
  <c r="AD9294" i="8"/>
  <c r="AE9294" i="8" s="1"/>
  <c r="AC9295" i="8"/>
  <c r="AE9295" i="8" s="1"/>
  <c r="AD9295" i="8"/>
  <c r="AC9296" i="8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E9303" i="8" s="1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E9319" i="8"/>
  <c r="AC9320" i="8"/>
  <c r="AD9320" i="8"/>
  <c r="AC9321" i="8"/>
  <c r="AE9321" i="8" s="1"/>
  <c r="AD9321" i="8"/>
  <c r="AC9322" i="8"/>
  <c r="AD9322" i="8"/>
  <c r="AE9322" i="8" s="1"/>
  <c r="AC9323" i="8"/>
  <c r="AD9323" i="8"/>
  <c r="AC9324" i="8"/>
  <c r="AD9324" i="8"/>
  <c r="AC9325" i="8"/>
  <c r="AE9325" i="8" s="1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E9335" i="8" s="1"/>
  <c r="AD9335" i="8"/>
  <c r="AC9336" i="8"/>
  <c r="AE9336" i="8" s="1"/>
  <c r="AD9336" i="8"/>
  <c r="AC9337" i="8"/>
  <c r="AD9337" i="8"/>
  <c r="AC9338" i="8"/>
  <c r="AD9338" i="8"/>
  <c r="AC9339" i="8"/>
  <c r="AD9339" i="8"/>
  <c r="AC9340" i="8"/>
  <c r="AE9340" i="8" s="1"/>
  <c r="AD9340" i="8"/>
  <c r="AC9341" i="8"/>
  <c r="AD9341" i="8"/>
  <c r="AC9342" i="8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D9347" i="8"/>
  <c r="AC9348" i="8"/>
  <c r="AD9348" i="8"/>
  <c r="AC9349" i="8"/>
  <c r="AD9349" i="8"/>
  <c r="AC9350" i="8"/>
  <c r="AD9350" i="8"/>
  <c r="AC9351" i="8"/>
  <c r="AE9351" i="8" s="1"/>
  <c r="AD9351" i="8"/>
  <c r="AC9352" i="8"/>
  <c r="AD9352" i="8"/>
  <c r="AC9353" i="8"/>
  <c r="AD9353" i="8"/>
  <c r="AC9354" i="8"/>
  <c r="AD9354" i="8"/>
  <c r="AC9355" i="8"/>
  <c r="AE9355" i="8" s="1"/>
  <c r="AD9355" i="8"/>
  <c r="AC9356" i="8"/>
  <c r="AD9356" i="8"/>
  <c r="AC9357" i="8"/>
  <c r="AD9357" i="8"/>
  <c r="AC9358" i="8"/>
  <c r="AD9358" i="8"/>
  <c r="AE9358" i="8" s="1"/>
  <c r="AC9359" i="8"/>
  <c r="AE9359" i="8" s="1"/>
  <c r="AD9359" i="8"/>
  <c r="AC9360" i="8"/>
  <c r="AD9360" i="8"/>
  <c r="AC9361" i="8"/>
  <c r="AD9361" i="8"/>
  <c r="AC9362" i="8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E9367" i="8" s="1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E9389" i="8" s="1"/>
  <c r="AD9389" i="8"/>
  <c r="AC9390" i="8"/>
  <c r="AD9390" i="8"/>
  <c r="AE9390" i="8" s="1"/>
  <c r="AC9391" i="8"/>
  <c r="AE9391" i="8" s="1"/>
  <c r="AD9391" i="8"/>
  <c r="AC9392" i="8"/>
  <c r="AD9392" i="8"/>
  <c r="AC9393" i="8"/>
  <c r="AD9393" i="8"/>
  <c r="AC9394" i="8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E9399" i="8" s="1"/>
  <c r="AD9399" i="8"/>
  <c r="AC9400" i="8"/>
  <c r="AE9400" i="8" s="1"/>
  <c r="AD9400" i="8"/>
  <c r="AC9401" i="8"/>
  <c r="AD9401" i="8"/>
  <c r="AC9402" i="8"/>
  <c r="AD9402" i="8"/>
  <c r="AC9403" i="8"/>
  <c r="AD9403" i="8"/>
  <c r="AC9404" i="8"/>
  <c r="AE9404" i="8" s="1"/>
  <c r="AD9404" i="8"/>
  <c r="AC9405" i="8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E9415" i="8" s="1"/>
  <c r="AC9416" i="8"/>
  <c r="AD9416" i="8"/>
  <c r="AC9417" i="8"/>
  <c r="AD9417" i="8"/>
  <c r="AC9418" i="8"/>
  <c r="AD9418" i="8"/>
  <c r="AE9418" i="8" s="1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/>
  <c r="AC9433" i="8"/>
  <c r="AD9433" i="8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E9453" i="8" s="1"/>
  <c r="AD9453" i="8"/>
  <c r="AC9454" i="8"/>
  <c r="AE9454" i="8" s="1"/>
  <c r="AD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D9460" i="8"/>
  <c r="AC9461" i="8"/>
  <c r="AD9461" i="8"/>
  <c r="AC9462" i="8"/>
  <c r="AE9462" i="8" s="1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E9470" i="8" s="1"/>
  <c r="AD9470" i="8"/>
  <c r="AC9471" i="8"/>
  <c r="AD9471" i="8"/>
  <c r="AC9472" i="8"/>
  <c r="AE9472" i="8" s="1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D9493" i="8"/>
  <c r="AC9494" i="8"/>
  <c r="AE9494" i="8" s="1"/>
  <c r="AD9494" i="8"/>
  <c r="AC9495" i="8"/>
  <c r="AD9495" i="8"/>
  <c r="AC9496" i="8"/>
  <c r="AE9496" i="8" s="1"/>
  <c r="AD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E9517" i="8" s="1"/>
  <c r="AD9517" i="8"/>
  <c r="AC9518" i="8"/>
  <c r="AD9518" i="8"/>
  <c r="AE9518" i="8" s="1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D9528" i="8"/>
  <c r="AC9529" i="8"/>
  <c r="AD9529" i="8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E9536" i="8" s="1"/>
  <c r="AD9536" i="8"/>
  <c r="AC9537" i="8"/>
  <c r="AD9537" i="8"/>
  <c r="AC9538" i="8"/>
  <c r="AD9538" i="8"/>
  <c r="AE9538" i="8" s="1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E9548" i="8" s="1"/>
  <c r="AD9548" i="8"/>
  <c r="AC9549" i="8"/>
  <c r="AD9549" i="8"/>
  <c r="AC9550" i="8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D9557" i="8"/>
  <c r="AC9558" i="8"/>
  <c r="AD9558" i="8"/>
  <c r="AC9559" i="8"/>
  <c r="AD9559" i="8"/>
  <c r="AC9560" i="8"/>
  <c r="AE9560" i="8" s="1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E9568" i="8" s="1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E9582" i="8" s="1"/>
  <c r="AD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E9600" i="8" s="1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E9612" i="8" s="1"/>
  <c r="AD9612" i="8"/>
  <c r="AC9613" i="8"/>
  <c r="AE9613" i="8" s="1"/>
  <c r="AD9613" i="8"/>
  <c r="AC9614" i="8"/>
  <c r="AD9614" i="8"/>
  <c r="AC9615" i="8"/>
  <c r="AE9615" i="8" s="1"/>
  <c r="AD9615" i="8"/>
  <c r="AC9616" i="8"/>
  <c r="AE9616" i="8" s="1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E9624" i="8" s="1"/>
  <c r="AD9624" i="8"/>
  <c r="AC9625" i="8"/>
  <c r="AD9625" i="8"/>
  <c r="AC9626" i="8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 s="1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D9636" i="8"/>
  <c r="AC9637" i="8"/>
  <c r="AD9637" i="8"/>
  <c r="AC9638" i="8"/>
  <c r="AE9638" i="8" s="1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E9650" i="8" s="1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E9678" i="8" s="1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E9685" i="8" s="1"/>
  <c r="AD9685" i="8"/>
  <c r="AC9686" i="8"/>
  <c r="AE9686" i="8" s="1"/>
  <c r="AD9686" i="8"/>
  <c r="AC9687" i="8"/>
  <c r="AE9687" i="8" s="1"/>
  <c r="AD9687" i="8"/>
  <c r="AC9688" i="8"/>
  <c r="AD9688" i="8"/>
  <c r="AE9688" i="8" s="1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E9710" i="8" s="1"/>
  <c r="AD9710" i="8"/>
  <c r="AC9711" i="8"/>
  <c r="AD9711" i="8"/>
  <c r="AC9712" i="8"/>
  <c r="AE9712" i="8" s="1"/>
  <c r="AD9712" i="8"/>
  <c r="AC9713" i="8"/>
  <c r="AD9713" i="8"/>
  <c r="AC9714" i="8"/>
  <c r="AE9714" i="8" s="1"/>
  <c r="AD9714" i="8"/>
  <c r="AC9715" i="8"/>
  <c r="AD9715" i="8"/>
  <c r="AC9716" i="8"/>
  <c r="AD9716" i="8"/>
  <c r="AC9717" i="8"/>
  <c r="AD9717" i="8"/>
  <c r="AC9718" i="8"/>
  <c r="AE9718" i="8" s="1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E9727" i="8" s="1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D9738" i="8"/>
  <c r="AC9739" i="8"/>
  <c r="AE9739" i="8" s="1"/>
  <c r="AD9739" i="8"/>
  <c r="AC9740" i="8"/>
  <c r="AE9740" i="8" s="1"/>
  <c r="AD9740" i="8"/>
  <c r="AC9741" i="8"/>
  <c r="AE9741" i="8" s="1"/>
  <c r="AD9741" i="8"/>
  <c r="AC9742" i="8"/>
  <c r="AE9742" i="8" s="1"/>
  <c r="AD9742" i="8"/>
  <c r="AC9743" i="8"/>
  <c r="AD9743" i="8"/>
  <c r="AC9744" i="8"/>
  <c r="AE9744" i="8" s="1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 s="1"/>
  <c r="AC9766" i="8"/>
  <c r="AD9766" i="8"/>
  <c r="AC9767" i="8"/>
  <c r="AD9767" i="8"/>
  <c r="AC9768" i="8"/>
  <c r="AD9768" i="8"/>
  <c r="AE9768" i="8" s="1"/>
  <c r="AC9769" i="8"/>
  <c r="AD9769" i="8"/>
  <c r="AC9770" i="8"/>
  <c r="AD9770" i="8"/>
  <c r="AC9771" i="8"/>
  <c r="AD9771" i="8"/>
  <c r="AC9772" i="8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D9778" i="8"/>
  <c r="AC9779" i="8"/>
  <c r="AD9779" i="8"/>
  <c r="AC9780" i="8"/>
  <c r="AD9780" i="8"/>
  <c r="AC9781" i="8"/>
  <c r="AE9781" i="8" s="1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E9789" i="8" s="1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C9798" i="8"/>
  <c r="AE9798" i="8" s="1"/>
  <c r="AD9798" i="8"/>
  <c r="AC9799" i="8"/>
  <c r="AD9799" i="8"/>
  <c r="AC9800" i="8"/>
  <c r="AD9800" i="8"/>
  <c r="AC9801" i="8"/>
  <c r="AD9801" i="8"/>
  <c r="AC9802" i="8"/>
  <c r="AE9802" i="8" s="1"/>
  <c r="AD9802" i="8"/>
  <c r="AC9803" i="8"/>
  <c r="AD9803" i="8"/>
  <c r="AC9804" i="8"/>
  <c r="AD9804" i="8"/>
  <c r="AC9805" i="8"/>
  <c r="AD9805" i="8"/>
  <c r="AC9806" i="8"/>
  <c r="AD9806" i="8"/>
  <c r="AE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E9812" i="8" s="1"/>
  <c r="AD9812" i="8"/>
  <c r="AC9813" i="8"/>
  <c r="AD9813" i="8"/>
  <c r="AE9813" i="8" s="1"/>
  <c r="AC9814" i="8"/>
  <c r="AD9814" i="8"/>
  <c r="AC9815" i="8"/>
  <c r="AD9815" i="8"/>
  <c r="AC9816" i="8"/>
  <c r="AE9816" i="8" s="1"/>
  <c r="AD9816" i="8"/>
  <c r="AC9817" i="8"/>
  <c r="AD9817" i="8"/>
  <c r="AE9817" i="8" s="1"/>
  <c r="AC9818" i="8"/>
  <c r="AD9818" i="8"/>
  <c r="AC9819" i="8"/>
  <c r="AD9819" i="8"/>
  <c r="AC9820" i="8"/>
  <c r="AD9820" i="8"/>
  <c r="AC9821" i="8"/>
  <c r="AD9821" i="8"/>
  <c r="AC9822" i="8"/>
  <c r="AE9822" i="8" s="1"/>
  <c r="AD9822" i="8"/>
  <c r="AC9823" i="8"/>
  <c r="AD9823" i="8"/>
  <c r="AC9824" i="8"/>
  <c r="AD9824" i="8"/>
  <c r="AC9825" i="8"/>
  <c r="AD9825" i="8"/>
  <c r="AC9826" i="8"/>
  <c r="AE9826" i="8" s="1"/>
  <c r="AD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E9842" i="8" s="1"/>
  <c r="AC9843" i="8"/>
  <c r="AD9843" i="8"/>
  <c r="AC9844" i="8"/>
  <c r="AD9844" i="8"/>
  <c r="AC9845" i="8"/>
  <c r="AD9845" i="8"/>
  <c r="AC9846" i="8"/>
  <c r="AE9846" i="8" s="1"/>
  <c r="AD9846" i="8"/>
  <c r="AC9847" i="8"/>
  <c r="AD9847" i="8"/>
  <c r="AC9848" i="8"/>
  <c r="AD9848" i="8"/>
  <c r="AC9849" i="8"/>
  <c r="AD9849" i="8"/>
  <c r="AE9849" i="8"/>
  <c r="AC9850" i="8"/>
  <c r="AD9850" i="8"/>
  <c r="AC9851" i="8"/>
  <c r="AE9851" i="8" s="1"/>
  <c r="AD9851" i="8"/>
  <c r="AC9852" i="8"/>
  <c r="AD9852" i="8"/>
  <c r="AC9853" i="8"/>
  <c r="AD9853" i="8"/>
  <c r="AC9854" i="8"/>
  <c r="AD9854" i="8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 s="1"/>
  <c r="AC9871" i="8"/>
  <c r="AE9871" i="8" s="1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E9877" i="8" s="1"/>
  <c r="AD9877" i="8"/>
  <c r="AC9878" i="8"/>
  <c r="AE9878" i="8" s="1"/>
  <c r="AD9878" i="8"/>
  <c r="AC9879" i="8"/>
  <c r="AE9879" i="8" s="1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E9884" i="8" s="1"/>
  <c r="AD9884" i="8"/>
  <c r="AC9885" i="8"/>
  <c r="AD9885" i="8"/>
  <c r="AC9886" i="8"/>
  <c r="AD9886" i="8"/>
  <c r="AC9887" i="8"/>
  <c r="AD9887" i="8"/>
  <c r="AE9887" i="8"/>
  <c r="AC9888" i="8"/>
  <c r="AD9888" i="8"/>
  <c r="AC9889" i="8"/>
  <c r="AE9889" i="8" s="1"/>
  <c r="AD9889" i="8"/>
  <c r="AC9890" i="8"/>
  <c r="AE9890" i="8" s="1"/>
  <c r="AD9890" i="8"/>
  <c r="AC9891" i="8"/>
  <c r="AD9891" i="8"/>
  <c r="AC9892" i="8"/>
  <c r="AE9892" i="8" s="1"/>
  <c r="AD9892" i="8"/>
  <c r="AC9893" i="8"/>
  <c r="AD9893" i="8"/>
  <c r="AC9894" i="8"/>
  <c r="AE9894" i="8" s="1"/>
  <c r="AD9894" i="8"/>
  <c r="AC9895" i="8"/>
  <c r="AD9895" i="8"/>
  <c r="AC9896" i="8"/>
  <c r="AD9896" i="8"/>
  <c r="AC9897" i="8"/>
  <c r="AE9897" i="8" s="1"/>
  <c r="AD9897" i="8"/>
  <c r="AC9898" i="8"/>
  <c r="AE9898" i="8" s="1"/>
  <c r="AD9898" i="8"/>
  <c r="AC9899" i="8"/>
  <c r="AD9899" i="8"/>
  <c r="AC9900" i="8"/>
  <c r="AD9900" i="8"/>
  <c r="AC9901" i="8"/>
  <c r="AE9901" i="8" s="1"/>
  <c r="AD9901" i="8"/>
  <c r="AC9902" i="8"/>
  <c r="AE9902" i="8" s="1"/>
  <c r="AD9902" i="8"/>
  <c r="AC9903" i="8"/>
  <c r="AD9903" i="8"/>
  <c r="AC9904" i="8"/>
  <c r="AD9904" i="8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 s="1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D9916" i="8"/>
  <c r="AC9917" i="8"/>
  <c r="AD9917" i="8"/>
  <c r="AC9918" i="8"/>
  <c r="AD9918" i="8"/>
  <c r="AC9919" i="8"/>
  <c r="AE9919" i="8" s="1"/>
  <c r="AD9919" i="8"/>
  <c r="AC9920" i="8"/>
  <c r="AD9920" i="8"/>
  <c r="AE9920" i="8" s="1"/>
  <c r="AC9921" i="8"/>
  <c r="AD9921" i="8"/>
  <c r="AC9922" i="8"/>
  <c r="AD9922" i="8"/>
  <c r="AC9923" i="8"/>
  <c r="AE9923" i="8" s="1"/>
  <c r="AD9923" i="8"/>
  <c r="AC9924" i="8"/>
  <c r="AD9924" i="8"/>
  <c r="AC9925" i="8"/>
  <c r="AD9925" i="8"/>
  <c r="AC9926" i="8"/>
  <c r="AD9926" i="8"/>
  <c r="AC9927" i="8"/>
  <c r="AE9927" i="8" s="1"/>
  <c r="AD9927" i="8"/>
  <c r="AC9928" i="8"/>
  <c r="AD9928" i="8"/>
  <c r="AC9929" i="8"/>
  <c r="AD9929" i="8"/>
  <c r="AC9930" i="8"/>
  <c r="AD9930" i="8"/>
  <c r="AC9931" i="8"/>
  <c r="AE9931" i="8" s="1"/>
  <c r="AD9931" i="8"/>
  <c r="AC9932" i="8"/>
  <c r="AD9932" i="8"/>
  <c r="AC9933" i="8"/>
  <c r="AD9933" i="8"/>
  <c r="AC9934" i="8"/>
  <c r="AD9934" i="8"/>
  <c r="AC9935" i="8"/>
  <c r="AE9935" i="8" s="1"/>
  <c r="AD9935" i="8"/>
  <c r="AC9936" i="8"/>
  <c r="AD9936" i="8"/>
  <c r="AE9936" i="8" s="1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E9943" i="8" s="1"/>
  <c r="AD9943" i="8"/>
  <c r="AC9944" i="8"/>
  <c r="AD9944" i="8"/>
  <c r="AC9945" i="8"/>
  <c r="AD9945" i="8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E9951" i="8" s="1"/>
  <c r="AD9951" i="8"/>
  <c r="AC9952" i="8"/>
  <c r="AD9952" i="8"/>
  <c r="AE9952" i="8" s="1"/>
  <c r="AC9953" i="8"/>
  <c r="AD9953" i="8"/>
  <c r="AC9954" i="8"/>
  <c r="AE9954" i="8" s="1"/>
  <c r="AD9954" i="8"/>
  <c r="AC9955" i="8"/>
  <c r="AD9955" i="8"/>
  <c r="AC9956" i="8"/>
  <c r="AD9956" i="8"/>
  <c r="AC9957" i="8"/>
  <c r="AD9957" i="8"/>
  <c r="AC9958" i="8"/>
  <c r="AE9958" i="8" s="1"/>
  <c r="AD9958" i="8"/>
  <c r="AC9959" i="8"/>
  <c r="AD9959" i="8"/>
  <c r="AE9959" i="8" s="1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D9965" i="8"/>
  <c r="AC9966" i="8"/>
  <c r="AE9966" i="8" s="1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E9977" i="8" s="1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E9984" i="8" s="1"/>
  <c r="AC9985" i="8"/>
  <c r="AE9985" i="8" s="1"/>
  <c r="AD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E9991" i="8" s="1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1" i="8"/>
  <c r="V9262" i="8"/>
  <c r="V9265" i="8"/>
  <c r="V9266" i="8"/>
  <c r="V9267" i="8"/>
  <c r="V9268" i="8"/>
  <c r="V9269" i="8"/>
  <c r="V9270" i="8"/>
  <c r="V9273" i="8"/>
  <c r="V9274" i="8"/>
  <c r="V9275" i="8"/>
  <c r="V9276" i="8"/>
  <c r="V9277" i="8"/>
  <c r="V9278" i="8"/>
  <c r="V9281" i="8"/>
  <c r="V9282" i="8"/>
  <c r="V9283" i="8"/>
  <c r="V9284" i="8"/>
  <c r="V9285" i="8"/>
  <c r="V9286" i="8"/>
  <c r="V9289" i="8"/>
  <c r="V9290" i="8"/>
  <c r="V9291" i="8"/>
  <c r="V9292" i="8"/>
  <c r="V9293" i="8"/>
  <c r="V9294" i="8"/>
  <c r="V9297" i="8"/>
  <c r="V9298" i="8"/>
  <c r="V9299" i="8"/>
  <c r="V9300" i="8"/>
  <c r="V9301" i="8"/>
  <c r="V9302" i="8"/>
  <c r="V9305" i="8"/>
  <c r="V9306" i="8"/>
  <c r="V9307" i="8"/>
  <c r="V9308" i="8"/>
  <c r="V9309" i="8"/>
  <c r="V9310" i="8"/>
  <c r="V9313" i="8"/>
  <c r="V9314" i="8"/>
  <c r="V9315" i="8"/>
  <c r="V9316" i="8"/>
  <c r="V9317" i="8"/>
  <c r="V9318" i="8"/>
  <c r="V9321" i="8"/>
  <c r="V9322" i="8"/>
  <c r="V9323" i="8"/>
  <c r="V9324" i="8"/>
  <c r="V9325" i="8"/>
  <c r="V9326" i="8"/>
  <c r="V9329" i="8"/>
  <c r="V9330" i="8"/>
  <c r="V9331" i="8"/>
  <c r="V9332" i="8"/>
  <c r="V9333" i="8"/>
  <c r="V9334" i="8"/>
  <c r="V9337" i="8"/>
  <c r="V9338" i="8"/>
  <c r="V9339" i="8"/>
  <c r="V9340" i="8"/>
  <c r="V9341" i="8"/>
  <c r="V9342" i="8"/>
  <c r="V9345" i="8"/>
  <c r="V9346" i="8"/>
  <c r="V9347" i="8"/>
  <c r="V9348" i="8"/>
  <c r="V9349" i="8"/>
  <c r="V9350" i="8"/>
  <c r="V9353" i="8"/>
  <c r="V9354" i="8"/>
  <c r="V9355" i="8"/>
  <c r="V9356" i="8"/>
  <c r="V9357" i="8"/>
  <c r="V9358" i="8"/>
  <c r="V9361" i="8"/>
  <c r="V9362" i="8"/>
  <c r="V9363" i="8"/>
  <c r="V9364" i="8"/>
  <c r="V9365" i="8"/>
  <c r="V9366" i="8"/>
  <c r="V9369" i="8"/>
  <c r="V9370" i="8"/>
  <c r="V9371" i="8"/>
  <c r="V9372" i="8"/>
  <c r="V9373" i="8"/>
  <c r="V9374" i="8"/>
  <c r="V9377" i="8"/>
  <c r="V9378" i="8"/>
  <c r="V9379" i="8"/>
  <c r="V9380" i="8"/>
  <c r="V9381" i="8"/>
  <c r="V9382" i="8"/>
  <c r="V9385" i="8"/>
  <c r="V9386" i="8"/>
  <c r="V9387" i="8"/>
  <c r="V9388" i="8"/>
  <c r="V9389" i="8"/>
  <c r="V9390" i="8"/>
  <c r="V9393" i="8"/>
  <c r="V9394" i="8"/>
  <c r="V9395" i="8"/>
  <c r="V9396" i="8"/>
  <c r="V9397" i="8"/>
  <c r="V9398" i="8"/>
  <c r="V9401" i="8"/>
  <c r="V9402" i="8"/>
  <c r="V9403" i="8"/>
  <c r="V9404" i="8"/>
  <c r="V9405" i="8"/>
  <c r="V9406" i="8"/>
  <c r="V9409" i="8"/>
  <c r="V9410" i="8"/>
  <c r="V9411" i="8"/>
  <c r="V9412" i="8"/>
  <c r="V9413" i="8"/>
  <c r="V9414" i="8"/>
  <c r="V9417" i="8"/>
  <c r="V9418" i="8"/>
  <c r="V9419" i="8"/>
  <c r="V9420" i="8"/>
  <c r="V9421" i="8"/>
  <c r="V9422" i="8"/>
  <c r="V9425" i="8"/>
  <c r="V9426" i="8"/>
  <c r="V9427" i="8"/>
  <c r="V9428" i="8"/>
  <c r="V9429" i="8"/>
  <c r="V9430" i="8"/>
  <c r="V9433" i="8"/>
  <c r="V9434" i="8"/>
  <c r="V9435" i="8"/>
  <c r="V9436" i="8"/>
  <c r="V9437" i="8"/>
  <c r="V9438" i="8"/>
  <c r="V9441" i="8"/>
  <c r="V9442" i="8"/>
  <c r="V9443" i="8"/>
  <c r="V9444" i="8"/>
  <c r="V9445" i="8"/>
  <c r="V9446" i="8"/>
  <c r="V9449" i="8"/>
  <c r="V9450" i="8"/>
  <c r="V9451" i="8"/>
  <c r="V9452" i="8"/>
  <c r="V9453" i="8"/>
  <c r="V9454" i="8"/>
  <c r="V9457" i="8"/>
  <c r="V9458" i="8"/>
  <c r="V9459" i="8"/>
  <c r="V9460" i="8"/>
  <c r="V9461" i="8"/>
  <c r="V9462" i="8"/>
  <c r="V9465" i="8"/>
  <c r="V9466" i="8"/>
  <c r="V9467" i="8"/>
  <c r="V9468" i="8"/>
  <c r="V9469" i="8"/>
  <c r="V9470" i="8"/>
  <c r="V9473" i="8"/>
  <c r="V9474" i="8"/>
  <c r="V9475" i="8"/>
  <c r="V9476" i="8"/>
  <c r="V9477" i="8"/>
  <c r="V9478" i="8"/>
  <c r="V9481" i="8"/>
  <c r="V9482" i="8"/>
  <c r="V9483" i="8"/>
  <c r="V9484" i="8"/>
  <c r="V9485" i="8"/>
  <c r="V9486" i="8"/>
  <c r="V9489" i="8"/>
  <c r="V9490" i="8"/>
  <c r="V9491" i="8"/>
  <c r="V9492" i="8"/>
  <c r="V9493" i="8"/>
  <c r="V9494" i="8"/>
  <c r="V9497" i="8"/>
  <c r="V9498" i="8"/>
  <c r="V9499" i="8"/>
  <c r="V9500" i="8"/>
  <c r="V9501" i="8"/>
  <c r="V9502" i="8"/>
  <c r="V9505" i="8"/>
  <c r="V9506" i="8"/>
  <c r="V9507" i="8"/>
  <c r="V9508" i="8"/>
  <c r="V9509" i="8"/>
  <c r="V9510" i="8"/>
  <c r="V9513" i="8"/>
  <c r="V9514" i="8"/>
  <c r="V9515" i="8"/>
  <c r="V9516" i="8"/>
  <c r="V9517" i="8"/>
  <c r="V9518" i="8"/>
  <c r="V9521" i="8"/>
  <c r="V9522" i="8"/>
  <c r="V9523" i="8"/>
  <c r="V9524" i="8"/>
  <c r="V9525" i="8"/>
  <c r="V9526" i="8"/>
  <c r="V9529" i="8"/>
  <c r="V9530" i="8"/>
  <c r="V9531" i="8"/>
  <c r="V9532" i="8"/>
  <c r="V9533" i="8"/>
  <c r="V9534" i="8"/>
  <c r="V9537" i="8"/>
  <c r="V9538" i="8"/>
  <c r="V9539" i="8"/>
  <c r="V9540" i="8"/>
  <c r="V9541" i="8"/>
  <c r="V9542" i="8"/>
  <c r="V9545" i="8"/>
  <c r="V9546" i="8"/>
  <c r="V9547" i="8"/>
  <c r="V9548" i="8"/>
  <c r="V9549" i="8"/>
  <c r="V9550" i="8"/>
  <c r="V9553" i="8"/>
  <c r="V9554" i="8"/>
  <c r="V9555" i="8"/>
  <c r="V9556" i="8"/>
  <c r="V9557" i="8"/>
  <c r="V9558" i="8"/>
  <c r="V9561" i="8"/>
  <c r="V9562" i="8"/>
  <c r="V9563" i="8"/>
  <c r="V9564" i="8"/>
  <c r="V9565" i="8"/>
  <c r="V9566" i="8"/>
  <c r="V9569" i="8"/>
  <c r="V9570" i="8"/>
  <c r="V9571" i="8"/>
  <c r="V9572" i="8"/>
  <c r="V9573" i="8"/>
  <c r="V9574" i="8"/>
  <c r="V9577" i="8"/>
  <c r="V9578" i="8"/>
  <c r="V9579" i="8"/>
  <c r="V9580" i="8"/>
  <c r="V9581" i="8"/>
  <c r="V9582" i="8"/>
  <c r="V9585" i="8"/>
  <c r="V9586" i="8"/>
  <c r="V9587" i="8"/>
  <c r="V9588" i="8"/>
  <c r="V9589" i="8"/>
  <c r="V9590" i="8"/>
  <c r="V9593" i="8"/>
  <c r="V9594" i="8"/>
  <c r="V9595" i="8"/>
  <c r="V9596" i="8"/>
  <c r="V9597" i="8"/>
  <c r="V9598" i="8"/>
  <c r="V9601" i="8"/>
  <c r="V9602" i="8"/>
  <c r="V9603" i="8"/>
  <c r="V9604" i="8"/>
  <c r="V9605" i="8"/>
  <c r="V9606" i="8"/>
  <c r="V9609" i="8"/>
  <c r="V9610" i="8"/>
  <c r="V9611" i="8"/>
  <c r="V9612" i="8"/>
  <c r="V9613" i="8"/>
  <c r="V9614" i="8"/>
  <c r="V9617" i="8"/>
  <c r="V9618" i="8"/>
  <c r="V9619" i="8"/>
  <c r="V9620" i="8"/>
  <c r="V9621" i="8"/>
  <c r="V9622" i="8"/>
  <c r="V9625" i="8"/>
  <c r="V9626" i="8"/>
  <c r="V9627" i="8"/>
  <c r="V9628" i="8"/>
  <c r="V9629" i="8"/>
  <c r="V9630" i="8"/>
  <c r="V9633" i="8"/>
  <c r="V9634" i="8"/>
  <c r="V9635" i="8"/>
  <c r="V9636" i="8"/>
  <c r="V9637" i="8"/>
  <c r="V9638" i="8"/>
  <c r="V9641" i="8"/>
  <c r="V9642" i="8"/>
  <c r="V9643" i="8"/>
  <c r="V9644" i="8"/>
  <c r="V9645" i="8"/>
  <c r="V9646" i="8"/>
  <c r="V9649" i="8"/>
  <c r="V9650" i="8"/>
  <c r="V9651" i="8"/>
  <c r="V9652" i="8"/>
  <c r="V9653" i="8"/>
  <c r="V9654" i="8"/>
  <c r="V9657" i="8"/>
  <c r="V9658" i="8"/>
  <c r="V9659" i="8"/>
  <c r="V9660" i="8"/>
  <c r="V9661" i="8"/>
  <c r="V9662" i="8"/>
  <c r="V9665" i="8"/>
  <c r="V9666" i="8"/>
  <c r="V9667" i="8"/>
  <c r="V9668" i="8"/>
  <c r="V9669" i="8"/>
  <c r="V9670" i="8"/>
  <c r="V9673" i="8"/>
  <c r="V9674" i="8"/>
  <c r="V9675" i="8"/>
  <c r="V9676" i="8"/>
  <c r="V9677" i="8"/>
  <c r="V9678" i="8"/>
  <c r="V9681" i="8"/>
  <c r="V9682" i="8"/>
  <c r="V9683" i="8"/>
  <c r="V9684" i="8"/>
  <c r="V9685" i="8"/>
  <c r="V9686" i="8"/>
  <c r="V9689" i="8"/>
  <c r="V9690" i="8"/>
  <c r="V9691" i="8"/>
  <c r="V9692" i="8"/>
  <c r="V9693" i="8"/>
  <c r="V9694" i="8"/>
  <c r="V9697" i="8"/>
  <c r="V9698" i="8"/>
  <c r="V9699" i="8"/>
  <c r="V9700" i="8"/>
  <c r="V9701" i="8"/>
  <c r="V9702" i="8"/>
  <c r="V9705" i="8"/>
  <c r="V9706" i="8"/>
  <c r="V9707" i="8"/>
  <c r="V9708" i="8"/>
  <c r="V9709" i="8"/>
  <c r="V9710" i="8"/>
  <c r="V9713" i="8"/>
  <c r="V9714" i="8"/>
  <c r="V9715" i="8"/>
  <c r="V9716" i="8"/>
  <c r="V9717" i="8"/>
  <c r="V9718" i="8"/>
  <c r="V9721" i="8"/>
  <c r="V9722" i="8"/>
  <c r="V9723" i="8"/>
  <c r="V9724" i="8"/>
  <c r="V9725" i="8"/>
  <c r="V9726" i="8"/>
  <c r="V9729" i="8"/>
  <c r="V9730" i="8"/>
  <c r="V9731" i="8"/>
  <c r="V9732" i="8"/>
  <c r="V9733" i="8"/>
  <c r="V9734" i="8"/>
  <c r="V9737" i="8"/>
  <c r="V9738" i="8"/>
  <c r="V9739" i="8"/>
  <c r="V9740" i="8"/>
  <c r="V9741" i="8"/>
  <c r="V9742" i="8"/>
  <c r="V9745" i="8"/>
  <c r="V9746" i="8"/>
  <c r="V9747" i="8"/>
  <c r="V9748" i="8"/>
  <c r="V9749" i="8"/>
  <c r="V9750" i="8"/>
  <c r="V9753" i="8"/>
  <c r="V9754" i="8"/>
  <c r="V9755" i="8"/>
  <c r="V9756" i="8"/>
  <c r="V9757" i="8"/>
  <c r="V9758" i="8"/>
  <c r="V9761" i="8"/>
  <c r="V9762" i="8"/>
  <c r="V9763" i="8"/>
  <c r="V9764" i="8"/>
  <c r="V9765" i="8"/>
  <c r="V9766" i="8"/>
  <c r="V9769" i="8"/>
  <c r="V9770" i="8"/>
  <c r="V9771" i="8"/>
  <c r="V9772" i="8"/>
  <c r="V9773" i="8"/>
  <c r="V9774" i="8"/>
  <c r="V9777" i="8"/>
  <c r="V9778" i="8"/>
  <c r="V9779" i="8"/>
  <c r="V9780" i="8"/>
  <c r="V9781" i="8"/>
  <c r="V9782" i="8"/>
  <c r="V9785" i="8"/>
  <c r="V9786" i="8"/>
  <c r="V9787" i="8"/>
  <c r="V9788" i="8"/>
  <c r="V9789" i="8"/>
  <c r="V9790" i="8"/>
  <c r="V9793" i="8"/>
  <c r="V9794" i="8"/>
  <c r="V9795" i="8"/>
  <c r="V9796" i="8"/>
  <c r="V9797" i="8"/>
  <c r="V9798" i="8"/>
  <c r="V9801" i="8"/>
  <c r="V9802" i="8"/>
  <c r="V9803" i="8"/>
  <c r="V9804" i="8"/>
  <c r="V9805" i="8"/>
  <c r="V9806" i="8"/>
  <c r="V9808" i="8"/>
  <c r="V9809" i="8"/>
  <c r="V9810" i="8"/>
  <c r="V9811" i="8"/>
  <c r="V9812" i="8"/>
  <c r="V9813" i="8"/>
  <c r="V9814" i="8"/>
  <c r="V9817" i="8"/>
  <c r="V9818" i="8"/>
  <c r="V9819" i="8"/>
  <c r="V9820" i="8"/>
  <c r="V9821" i="8"/>
  <c r="V9822" i="8"/>
  <c r="V9825" i="8"/>
  <c r="V9826" i="8"/>
  <c r="V9827" i="8"/>
  <c r="V9828" i="8"/>
  <c r="V9829" i="8"/>
  <c r="V9830" i="8"/>
  <c r="V9833" i="8"/>
  <c r="V9834" i="8"/>
  <c r="V9835" i="8"/>
  <c r="V9836" i="8"/>
  <c r="V9837" i="8"/>
  <c r="V9838" i="8"/>
  <c r="V9841" i="8"/>
  <c r="V9842" i="8"/>
  <c r="V9843" i="8"/>
  <c r="V9844" i="8"/>
  <c r="V9845" i="8"/>
  <c r="V9846" i="8"/>
  <c r="V9849" i="8"/>
  <c r="V9850" i="8"/>
  <c r="V9851" i="8"/>
  <c r="V9852" i="8"/>
  <c r="V9853" i="8"/>
  <c r="V9854" i="8"/>
  <c r="V9857" i="8"/>
  <c r="V9858" i="8"/>
  <c r="V9859" i="8"/>
  <c r="V9860" i="8"/>
  <c r="V9861" i="8"/>
  <c r="V9862" i="8"/>
  <c r="V9865" i="8"/>
  <c r="V9866" i="8"/>
  <c r="V9867" i="8"/>
  <c r="V9868" i="8"/>
  <c r="V9869" i="8"/>
  <c r="V9870" i="8"/>
  <c r="V9872" i="8"/>
  <c r="V9873" i="8"/>
  <c r="V9874" i="8"/>
  <c r="V9875" i="8"/>
  <c r="V9876" i="8"/>
  <c r="V9877" i="8"/>
  <c r="V9878" i="8"/>
  <c r="V9881" i="8"/>
  <c r="V9882" i="8"/>
  <c r="V9883" i="8"/>
  <c r="V9884" i="8"/>
  <c r="V9885" i="8"/>
  <c r="V9886" i="8"/>
  <c r="V9889" i="8"/>
  <c r="V9890" i="8"/>
  <c r="V9891" i="8"/>
  <c r="V9892" i="8"/>
  <c r="V9893" i="8"/>
  <c r="V9894" i="8"/>
  <c r="V9897" i="8"/>
  <c r="V9898" i="8"/>
  <c r="V9899" i="8"/>
  <c r="V9900" i="8"/>
  <c r="V9901" i="8"/>
  <c r="V9902" i="8"/>
  <c r="V9905" i="8"/>
  <c r="V9906" i="8"/>
  <c r="V9907" i="8"/>
  <c r="V9908" i="8"/>
  <c r="V9909" i="8"/>
  <c r="V9910" i="8"/>
  <c r="V9913" i="8"/>
  <c r="V9914" i="8"/>
  <c r="V9915" i="8"/>
  <c r="V9916" i="8"/>
  <c r="V9917" i="8"/>
  <c r="V9918" i="8"/>
  <c r="V9921" i="8"/>
  <c r="V9922" i="8"/>
  <c r="V9923" i="8"/>
  <c r="V9924" i="8"/>
  <c r="V9925" i="8"/>
  <c r="V9926" i="8"/>
  <c r="V9929" i="8"/>
  <c r="V9930" i="8"/>
  <c r="V9931" i="8"/>
  <c r="V9932" i="8"/>
  <c r="V9933" i="8"/>
  <c r="V9934" i="8"/>
  <c r="V9936" i="8"/>
  <c r="V9937" i="8"/>
  <c r="V9938" i="8"/>
  <c r="V9939" i="8"/>
  <c r="V9940" i="8"/>
  <c r="V9941" i="8"/>
  <c r="V9942" i="8"/>
  <c r="V9943" i="8"/>
  <c r="V9944" i="8"/>
  <c r="V9945" i="8"/>
  <c r="V9946" i="8"/>
  <c r="V9947" i="8"/>
  <c r="V9948" i="8"/>
  <c r="V9949" i="8"/>
  <c r="V9950" i="8"/>
  <c r="V9951" i="8"/>
  <c r="V9952" i="8"/>
  <c r="V9953" i="8"/>
  <c r="V9954" i="8"/>
  <c r="V9955" i="8"/>
  <c r="V9956" i="8"/>
  <c r="V9957" i="8"/>
  <c r="V9958" i="8"/>
  <c r="V9959" i="8"/>
  <c r="V9960" i="8"/>
  <c r="V9961" i="8"/>
  <c r="V9962" i="8"/>
  <c r="V9963" i="8"/>
  <c r="V9964" i="8"/>
  <c r="V9965" i="8"/>
  <c r="V9966" i="8"/>
  <c r="V9967" i="8"/>
  <c r="V9968" i="8"/>
  <c r="V9969" i="8"/>
  <c r="V9970" i="8"/>
  <c r="V9971" i="8"/>
  <c r="V9972" i="8"/>
  <c r="V9973" i="8"/>
  <c r="V9974" i="8"/>
  <c r="V9975" i="8"/>
  <c r="V9976" i="8"/>
  <c r="V9977" i="8"/>
  <c r="V9978" i="8"/>
  <c r="V9979" i="8"/>
  <c r="V9980" i="8"/>
  <c r="V9981" i="8"/>
  <c r="V9982" i="8"/>
  <c r="V9983" i="8"/>
  <c r="V9984" i="8"/>
  <c r="V9985" i="8"/>
  <c r="V9986" i="8"/>
  <c r="V9987" i="8"/>
  <c r="V9988" i="8"/>
  <c r="V9989" i="8"/>
  <c r="V9990" i="8"/>
  <c r="V9991" i="8"/>
  <c r="V9992" i="8"/>
  <c r="V9993" i="8"/>
  <c r="V9994" i="8"/>
  <c r="V9995" i="8"/>
  <c r="V9996" i="8"/>
  <c r="V9997" i="8"/>
  <c r="V9998" i="8"/>
  <c r="V9999" i="8"/>
  <c r="V10000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C6041" i="8"/>
  <c r="AE6041" i="8" s="1"/>
  <c r="AD6041" i="8"/>
  <c r="AC6042" i="8"/>
  <c r="AD6042" i="8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 s="1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D6052" i="8"/>
  <c r="AC6053" i="8"/>
  <c r="AD6053" i="8"/>
  <c r="AC6054" i="8"/>
  <c r="AD6054" i="8"/>
  <c r="AC6055" i="8"/>
  <c r="AE6055" i="8" s="1"/>
  <c r="AD6055" i="8"/>
  <c r="AC6056" i="8"/>
  <c r="AE6056" i="8" s="1"/>
  <c r="AD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E6079" i="8" s="1"/>
  <c r="AD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C6100" i="8"/>
  <c r="AE6100" i="8" s="1"/>
  <c r="AD6100" i="8"/>
  <c r="AC6101" i="8"/>
  <c r="AD6101" i="8"/>
  <c r="AC6102" i="8"/>
  <c r="AE6102" i="8" s="1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E6108" i="8" s="1"/>
  <c r="AD6108" i="8"/>
  <c r="AC6109" i="8"/>
  <c r="AD6109" i="8"/>
  <c r="AC6110" i="8"/>
  <c r="AD6110" i="8"/>
  <c r="AC6111" i="8"/>
  <c r="AE6111" i="8" s="1"/>
  <c r="AD6111" i="8"/>
  <c r="AC6112" i="8"/>
  <c r="AD6112" i="8"/>
  <c r="AE6112" i="8" s="1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E6134" i="8" s="1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C6145" i="8"/>
  <c r="AD6145" i="8"/>
  <c r="AE6145" i="8" s="1"/>
  <c r="AC6146" i="8"/>
  <c r="AD6146" i="8"/>
  <c r="AC6147" i="8"/>
  <c r="AD6147" i="8"/>
  <c r="AC6148" i="8"/>
  <c r="AE6148" i="8" s="1"/>
  <c r="AD6148" i="8"/>
  <c r="AC6149" i="8"/>
  <c r="AD6149" i="8"/>
  <c r="AC6150" i="8"/>
  <c r="AD6150" i="8"/>
  <c r="AC6151" i="8"/>
  <c r="AD6151" i="8"/>
  <c r="AC6152" i="8"/>
  <c r="AE6152" i="8" s="1"/>
  <c r="AD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E6200" i="8" s="1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E6241" i="8" s="1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E6247" i="8" s="1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D6253" i="8"/>
  <c r="AC6254" i="8"/>
  <c r="AD6254" i="8"/>
  <c r="AC6255" i="8"/>
  <c r="AE6255" i="8" s="1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E6264" i="8" s="1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D6276" i="8"/>
  <c r="AC6277" i="8"/>
  <c r="AD6277" i="8"/>
  <c r="AC6278" i="8"/>
  <c r="AD6278" i="8"/>
  <c r="AC6279" i="8"/>
  <c r="AE6279" i="8" s="1"/>
  <c r="AD6279" i="8"/>
  <c r="AC6280" i="8"/>
  <c r="AD6280" i="8"/>
  <c r="AE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E6286" i="8" s="1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D6308" i="8"/>
  <c r="AC6309" i="8"/>
  <c r="AD6309" i="8"/>
  <c r="AC6310" i="8"/>
  <c r="AE6310" i="8" s="1"/>
  <c r="AD6310" i="8"/>
  <c r="AC6311" i="8"/>
  <c r="AD6311" i="8"/>
  <c r="AE6311" i="8" s="1"/>
  <c r="AC6312" i="8"/>
  <c r="AD6312" i="8"/>
  <c r="AE6312" i="8"/>
  <c r="AC6313" i="8"/>
  <c r="AE6313" i="8" s="1"/>
  <c r="AD6313" i="8"/>
  <c r="AC6314" i="8"/>
  <c r="AD6314" i="8"/>
  <c r="AC6315" i="8"/>
  <c r="AD6315" i="8"/>
  <c r="AC6316" i="8"/>
  <c r="AD6316" i="8"/>
  <c r="AC6317" i="8"/>
  <c r="AE6317" i="8" s="1"/>
  <c r="AD6317" i="8"/>
  <c r="AC6318" i="8"/>
  <c r="AD6318" i="8"/>
  <c r="AC6319" i="8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D6324" i="8"/>
  <c r="AC6325" i="8"/>
  <c r="AE6325" i="8" s="1"/>
  <c r="AD6325" i="8"/>
  <c r="AC6326" i="8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D6332" i="8"/>
  <c r="AC6333" i="8"/>
  <c r="AE6333" i="8" s="1"/>
  <c r="AD6333" i="8"/>
  <c r="AC6334" i="8"/>
  <c r="AD6334" i="8"/>
  <c r="AC6335" i="8"/>
  <c r="AD6335" i="8"/>
  <c r="AC6336" i="8"/>
  <c r="AD6336" i="8"/>
  <c r="AE6336" i="8" s="1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E6344" i="8" s="1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E6356" i="8" s="1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E6364" i="8" s="1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E6372" i="8" s="1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C6393" i="8"/>
  <c r="AE6393" i="8" s="1"/>
  <c r="AD6393" i="8"/>
  <c r="AC6394" i="8"/>
  <c r="AD6394" i="8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E6399" i="8" s="1"/>
  <c r="AD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D6404" i="8"/>
  <c r="AC6405" i="8"/>
  <c r="AD6405" i="8"/>
  <c r="AC6406" i="8"/>
  <c r="AD6406" i="8"/>
  <c r="AC6407" i="8"/>
  <c r="AE6407" i="8" s="1"/>
  <c r="AD6407" i="8"/>
  <c r="AC6408" i="8"/>
  <c r="AD6408" i="8"/>
  <c r="AE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E6414" i="8" s="1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E6422" i="8" s="1"/>
  <c r="AD6422" i="8"/>
  <c r="AC6423" i="8"/>
  <c r="AD6423" i="8"/>
  <c r="AE6423" i="8" s="1"/>
  <c r="AC6424" i="8"/>
  <c r="AD6424" i="8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D6435" i="8"/>
  <c r="AC6436" i="8"/>
  <c r="AD6436" i="8"/>
  <c r="AC6437" i="8"/>
  <c r="AE6437" i="8" s="1"/>
  <c r="AD6437" i="8"/>
  <c r="AC6438" i="8"/>
  <c r="AD6438" i="8"/>
  <c r="AC6439" i="8"/>
  <c r="AD6439" i="8"/>
  <c r="AC6440" i="8"/>
  <c r="AD6440" i="8"/>
  <c r="AE6440" i="8" s="1"/>
  <c r="AC6441" i="8"/>
  <c r="AE6441" i="8" s="1"/>
  <c r="AD6441" i="8"/>
  <c r="AC6442" i="8"/>
  <c r="AD6442" i="8"/>
  <c r="AC6443" i="8"/>
  <c r="AD6443" i="8"/>
  <c r="AC6444" i="8"/>
  <c r="AD6444" i="8"/>
  <c r="AC6445" i="8"/>
  <c r="AE6445" i="8" s="1"/>
  <c r="AD6445" i="8"/>
  <c r="AC6446" i="8"/>
  <c r="AD6446" i="8"/>
  <c r="AC6447" i="8"/>
  <c r="AD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C6456" i="8"/>
  <c r="AD6456" i="8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D6481" i="8"/>
  <c r="AC6482" i="8"/>
  <c r="AD6482" i="8"/>
  <c r="AC6483" i="8"/>
  <c r="AD6483" i="8"/>
  <c r="AE6483" i="8" s="1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E6490" i="8" s="1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E6503" i="8" s="1"/>
  <c r="AC6504" i="8"/>
  <c r="AD6504" i="8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E6533" i="8" s="1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E6543" i="8" s="1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 s="1"/>
  <c r="AC6551" i="8"/>
  <c r="AE6551" i="8" s="1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E6574" i="8" s="1"/>
  <c r="AD6574" i="8"/>
  <c r="AC6575" i="8"/>
  <c r="AD6575" i="8"/>
  <c r="AE6575" i="8" s="1"/>
  <c r="AC6576" i="8"/>
  <c r="AE6576" i="8" s="1"/>
  <c r="AD6576" i="8"/>
  <c r="AC6577" i="8"/>
  <c r="AE6577" i="8" s="1"/>
  <c r="AD6577" i="8"/>
  <c r="AC6578" i="8"/>
  <c r="AD6578" i="8"/>
  <c r="AC6579" i="8"/>
  <c r="AD6579" i="8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E6591" i="8" s="1"/>
  <c r="AD6591" i="8"/>
  <c r="AC6592" i="8"/>
  <c r="AD6592" i="8"/>
  <c r="AC6593" i="8"/>
  <c r="AD6593" i="8"/>
  <c r="AC6594" i="8"/>
  <c r="AD6594" i="8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E6599" i="8" s="1"/>
  <c r="AD6599" i="8"/>
  <c r="AC6600" i="8"/>
  <c r="AD6600" i="8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D6606" i="8"/>
  <c r="AC6607" i="8"/>
  <c r="AD6607" i="8"/>
  <c r="AC6608" i="8"/>
  <c r="AE6608" i="8" s="1"/>
  <c r="AD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E6615" i="8" s="1"/>
  <c r="AD6615" i="8"/>
  <c r="AC6616" i="8"/>
  <c r="AD6616" i="8"/>
  <c r="AE6616" i="8" s="1"/>
  <c r="AC6617" i="8"/>
  <c r="AD6617" i="8"/>
  <c r="AC6618" i="8"/>
  <c r="AD6618" i="8"/>
  <c r="AC6619" i="8"/>
  <c r="AD6619" i="8"/>
  <c r="AC6620" i="8"/>
  <c r="AD6620" i="8"/>
  <c r="AC6621" i="8"/>
  <c r="AD6621" i="8"/>
  <c r="AC6622" i="8"/>
  <c r="AE6622" i="8" s="1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D6632" i="8"/>
  <c r="AC6633" i="8"/>
  <c r="AD6633" i="8"/>
  <c r="AC6634" i="8"/>
  <c r="AD6634" i="8"/>
  <c r="AE6634" i="8" s="1"/>
  <c r="AC6635" i="8"/>
  <c r="AD6635" i="8"/>
  <c r="AE6635" i="8" s="1"/>
  <c r="AC6636" i="8"/>
  <c r="AD6636" i="8"/>
  <c r="AC6637" i="8"/>
  <c r="AD6637" i="8"/>
  <c r="AC6638" i="8"/>
  <c r="AD6638" i="8"/>
  <c r="AE6638" i="8" s="1"/>
  <c r="AC6639" i="8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D6644" i="8"/>
  <c r="AC6645" i="8"/>
  <c r="AE6645" i="8" s="1"/>
  <c r="AD6645" i="8"/>
  <c r="AC6646" i="8"/>
  <c r="AD6646" i="8"/>
  <c r="AC6647" i="8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E6655" i="8" s="1"/>
  <c r="AC6656" i="8"/>
  <c r="AD6656" i="8"/>
  <c r="AE6656" i="8" s="1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E6666" i="8" s="1"/>
  <c r="AD6666" i="8"/>
  <c r="AC6667" i="8"/>
  <c r="AD6667" i="8"/>
  <c r="AC6668" i="8"/>
  <c r="AE6668" i="8" s="1"/>
  <c r="AD6668" i="8"/>
  <c r="AC6669" i="8"/>
  <c r="AD6669" i="8"/>
  <c r="AC6670" i="8"/>
  <c r="AE6670" i="8" s="1"/>
  <c r="AD6670" i="8"/>
  <c r="AC6671" i="8"/>
  <c r="AE6671" i="8" s="1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E6679" i="8" s="1"/>
  <c r="AD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D6707" i="8"/>
  <c r="AC6708" i="8"/>
  <c r="AD6708" i="8"/>
  <c r="AC6709" i="8"/>
  <c r="AE6709" i="8" s="1"/>
  <c r="AD6709" i="8"/>
  <c r="AC6710" i="8"/>
  <c r="AD6710" i="8"/>
  <c r="AC6711" i="8"/>
  <c r="AD6711" i="8"/>
  <c r="AC6712" i="8"/>
  <c r="AE6712" i="8" s="1"/>
  <c r="AD6712" i="8"/>
  <c r="AC6713" i="8"/>
  <c r="AD6713" i="8"/>
  <c r="AC6714" i="8"/>
  <c r="AD6714" i="8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C6720" i="8"/>
  <c r="AE6720" i="8" s="1"/>
  <c r="AD6720" i="8"/>
  <c r="AC6721" i="8"/>
  <c r="AD6721" i="8"/>
  <c r="AC6722" i="8"/>
  <c r="AD6722" i="8"/>
  <c r="AC6723" i="8"/>
  <c r="AE6723" i="8" s="1"/>
  <c r="AD6723" i="8"/>
  <c r="AC6724" i="8"/>
  <c r="AE6724" i="8" s="1"/>
  <c r="AD6724" i="8"/>
  <c r="AC6725" i="8"/>
  <c r="AE6725" i="8" s="1"/>
  <c r="AD6725" i="8"/>
  <c r="AC6726" i="8"/>
  <c r="AD6726" i="8"/>
  <c r="AC6727" i="8"/>
  <c r="AD6727" i="8"/>
  <c r="AC6728" i="8"/>
  <c r="AD6728" i="8"/>
  <c r="AE6728" i="8" s="1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E6735" i="8" s="1"/>
  <c r="AD6735" i="8"/>
  <c r="AC6736" i="8"/>
  <c r="AE6736" i="8" s="1"/>
  <c r="AD6736" i="8"/>
  <c r="AC6737" i="8"/>
  <c r="AD6737" i="8"/>
  <c r="AC6738" i="8"/>
  <c r="AD6738" i="8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 s="1"/>
  <c r="AC6757" i="8"/>
  <c r="AE6757" i="8" s="1"/>
  <c r="AD6757" i="8"/>
  <c r="AC6758" i="8"/>
  <c r="AD6758" i="8"/>
  <c r="AC6759" i="8"/>
  <c r="AE6759" i="8" s="1"/>
  <c r="AD6759" i="8"/>
  <c r="AC6760" i="8"/>
  <c r="AD6760" i="8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C6768" i="8"/>
  <c r="AD6768" i="8"/>
  <c r="AE6768" i="8"/>
  <c r="AC6769" i="8"/>
  <c r="AD6769" i="8"/>
  <c r="AE6769" i="8" s="1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E6775" i="8" s="1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E6788" i="8" s="1"/>
  <c r="AD6788" i="8"/>
  <c r="AC6789" i="8"/>
  <c r="AD6789" i="8"/>
  <c r="AC6790" i="8"/>
  <c r="AD6790" i="8"/>
  <c r="AC6791" i="8"/>
  <c r="AD6791" i="8"/>
  <c r="AE6791" i="8" s="1"/>
  <c r="AC6792" i="8"/>
  <c r="AD6792" i="8"/>
  <c r="AE6792" i="8" s="1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E6799" i="8" s="1"/>
  <c r="AD6799" i="8"/>
  <c r="AC6800" i="8"/>
  <c r="AD6800" i="8"/>
  <c r="AE6800" i="8"/>
  <c r="AC6801" i="8"/>
  <c r="AD6801" i="8"/>
  <c r="AE6801" i="8" s="1"/>
  <c r="AC6802" i="8"/>
  <c r="AD6802" i="8"/>
  <c r="AE6802" i="8" s="1"/>
  <c r="AC6803" i="8"/>
  <c r="AD6803" i="8"/>
  <c r="AC6804" i="8"/>
  <c r="AD6804" i="8"/>
  <c r="AC6805" i="8"/>
  <c r="AD6805" i="8"/>
  <c r="AC6806" i="8"/>
  <c r="AD6806" i="8"/>
  <c r="AC6807" i="8"/>
  <c r="AD6807" i="8"/>
  <c r="AE6807" i="8" s="1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E6816" i="8" s="1"/>
  <c r="AD6816" i="8"/>
  <c r="AC6817" i="8"/>
  <c r="AD6817" i="8"/>
  <c r="AC6818" i="8"/>
  <c r="AD6818" i="8"/>
  <c r="AC6819" i="8"/>
  <c r="AD6819" i="8"/>
  <c r="AC6820" i="8"/>
  <c r="AD6820" i="8"/>
  <c r="AE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E6831" i="8" s="1"/>
  <c r="AD6831" i="8"/>
  <c r="AC6832" i="8"/>
  <c r="AD6832" i="8"/>
  <c r="AE6832" i="8" s="1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E6840" i="8" s="1"/>
  <c r="AC6841" i="8"/>
  <c r="AD6841" i="8"/>
  <c r="AE6841" i="8" s="1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E6865" i="8" s="1"/>
  <c r="AD6865" i="8"/>
  <c r="AC6866" i="8"/>
  <c r="AD6866" i="8"/>
  <c r="AC6867" i="8"/>
  <c r="AD6867" i="8"/>
  <c r="AC6868" i="8"/>
  <c r="AE6868" i="8" s="1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C6881" i="8"/>
  <c r="AE6881" i="8" s="1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E6896" i="8" s="1"/>
  <c r="AD6896" i="8"/>
  <c r="AC6897" i="8"/>
  <c r="AD6897" i="8"/>
  <c r="AE6897" i="8" s="1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C6905" i="8"/>
  <c r="AE6905" i="8" s="1"/>
  <c r="AD6905" i="8"/>
  <c r="AC6906" i="8"/>
  <c r="AD6906" i="8"/>
  <c r="AC6907" i="8"/>
  <c r="AD6907" i="8"/>
  <c r="AC6908" i="8"/>
  <c r="AD6908" i="8"/>
  <c r="AC6909" i="8"/>
  <c r="AE6909" i="8" s="1"/>
  <c r="AD6909" i="8"/>
  <c r="AC6910" i="8"/>
  <c r="AD6910" i="8"/>
  <c r="AC6911" i="8"/>
  <c r="AD6911" i="8"/>
  <c r="AC6912" i="8"/>
  <c r="AD6912" i="8"/>
  <c r="AE6912" i="8" s="1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D6917" i="8"/>
  <c r="AC6918" i="8"/>
  <c r="AE6918" i="8" s="1"/>
  <c r="AD6918" i="8"/>
  <c r="AC6919" i="8"/>
  <c r="AD6919" i="8"/>
  <c r="AC6920" i="8"/>
  <c r="AD6920" i="8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E6929" i="8" s="1"/>
  <c r="AD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D6934" i="8"/>
  <c r="AC6935" i="8"/>
  <c r="AE6935" i="8" s="1"/>
  <c r="AD6935" i="8"/>
  <c r="AC6936" i="8"/>
  <c r="AD6936" i="8"/>
  <c r="AC6937" i="8"/>
  <c r="AE6937" i="8" s="1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D6949" i="8"/>
  <c r="AC6950" i="8"/>
  <c r="AE6950" i="8" s="1"/>
  <c r="AD6950" i="8"/>
  <c r="AC6951" i="8"/>
  <c r="AD6951" i="8"/>
  <c r="AC6952" i="8"/>
  <c r="AD6952" i="8"/>
  <c r="AC6953" i="8"/>
  <c r="AD6953" i="8"/>
  <c r="AE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E6965" i="8" s="1"/>
  <c r="AD6965" i="8"/>
  <c r="AC6966" i="8"/>
  <c r="AD6966" i="8"/>
  <c r="AC6967" i="8"/>
  <c r="AD6967" i="8"/>
  <c r="AC6968" i="8"/>
  <c r="AD6968" i="8"/>
  <c r="AE6968" i="8" s="1"/>
  <c r="AC6969" i="8"/>
  <c r="AE6969" i="8" s="1"/>
  <c r="AD6969" i="8"/>
  <c r="AC6970" i="8"/>
  <c r="AD6970" i="8"/>
  <c r="AC6971" i="8"/>
  <c r="AD6971" i="8"/>
  <c r="AC6972" i="8"/>
  <c r="AD6972" i="8"/>
  <c r="AC6973" i="8"/>
  <c r="AD6973" i="8"/>
  <c r="AC6974" i="8"/>
  <c r="AE6974" i="8" s="1"/>
  <c r="AD6974" i="8"/>
  <c r="AC6975" i="8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D6981" i="8"/>
  <c r="AC6982" i="8"/>
  <c r="AE6982" i="8" s="1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E6993" i="8" s="1"/>
  <c r="AD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C7001" i="8"/>
  <c r="AD7001" i="8"/>
  <c r="AE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E7008" i="8" s="1"/>
  <c r="AC7009" i="8"/>
  <c r="AD7009" i="8"/>
  <c r="AE7009" i="8" s="1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C7017" i="8"/>
  <c r="AE7017" i="8" s="1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E7024" i="8" s="1"/>
  <c r="AC7025" i="8"/>
  <c r="AD7025" i="8"/>
  <c r="AE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E7032" i="8" s="1"/>
  <c r="AC7033" i="8"/>
  <c r="AD7033" i="8"/>
  <c r="AE7033" i="8" s="1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C7042" i="8"/>
  <c r="AD7042" i="8"/>
  <c r="AC7043" i="8"/>
  <c r="AD7043" i="8"/>
  <c r="AC7044" i="8"/>
  <c r="AD7044" i="8"/>
  <c r="AC7045" i="8"/>
  <c r="AE7045" i="8" s="1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E7065" i="8" s="1"/>
  <c r="AD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C7072" i="8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D7076" i="8"/>
  <c r="AC7077" i="8"/>
  <c r="AD7077" i="8"/>
  <c r="AC7078" i="8"/>
  <c r="AD7078" i="8"/>
  <c r="AC7079" i="8"/>
  <c r="AD7079" i="8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C7085" i="8"/>
  <c r="AE7085" i="8" s="1"/>
  <c r="AD7085" i="8"/>
  <c r="AC7086" i="8"/>
  <c r="AD7086" i="8"/>
  <c r="AC7087" i="8"/>
  <c r="AD7087" i="8"/>
  <c r="AC7088" i="8"/>
  <c r="AD7088" i="8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D7102" i="8"/>
  <c r="AC7103" i="8"/>
  <c r="AE7103" i="8" s="1"/>
  <c r="AD7103" i="8"/>
  <c r="AC7104" i="8"/>
  <c r="AE7104" i="8" s="1"/>
  <c r="AD7104" i="8"/>
  <c r="AC7105" i="8"/>
  <c r="AE7105" i="8" s="1"/>
  <c r="AD7105" i="8"/>
  <c r="AC7106" i="8"/>
  <c r="AD7106" i="8"/>
  <c r="AE7106" i="8" s="1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E7116" i="8" s="1"/>
  <c r="AC7117" i="8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E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E7180" i="8" s="1"/>
  <c r="AC7181" i="8"/>
  <c r="AD7181" i="8"/>
  <c r="AC7182" i="8"/>
  <c r="AD7182" i="8"/>
  <c r="AC7183" i="8"/>
  <c r="AD7183" i="8"/>
  <c r="AC7184" i="8"/>
  <c r="AD7184" i="8"/>
  <c r="AE7184" i="8" s="1"/>
  <c r="AC7185" i="8"/>
  <c r="AD7185" i="8"/>
  <c r="AE7185" i="8" s="1"/>
  <c r="AC7186" i="8"/>
  <c r="AD7186" i="8"/>
  <c r="AC7187" i="8"/>
  <c r="AD7187" i="8"/>
  <c r="AC7188" i="8"/>
  <c r="AE7188" i="8" s="1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C7197" i="8"/>
  <c r="AE7197" i="8" s="1"/>
  <c r="AD7197" i="8"/>
  <c r="AC7198" i="8"/>
  <c r="AE7198" i="8" s="1"/>
  <c r="AD7198" i="8"/>
  <c r="AC7199" i="8"/>
  <c r="AD7199" i="8"/>
  <c r="AC7200" i="8"/>
  <c r="AE7200" i="8" s="1"/>
  <c r="AD7200" i="8"/>
  <c r="AC7201" i="8"/>
  <c r="AD7201" i="8"/>
  <c r="AC7202" i="8"/>
  <c r="AD7202" i="8"/>
  <c r="AC7203" i="8"/>
  <c r="AD7203" i="8"/>
  <c r="AC7204" i="8"/>
  <c r="AE7204" i="8" s="1"/>
  <c r="AD7204" i="8"/>
  <c r="AC7205" i="8"/>
  <c r="AD7205" i="8"/>
  <c r="AC7206" i="8"/>
  <c r="AD7206" i="8"/>
  <c r="AC7207" i="8"/>
  <c r="AD7207" i="8"/>
  <c r="AC7208" i="8"/>
  <c r="AD7208" i="8"/>
  <c r="AE7208" i="8" s="1"/>
  <c r="AC7209" i="8"/>
  <c r="AD7209" i="8"/>
  <c r="AC7210" i="8"/>
  <c r="AD7210" i="8"/>
  <c r="AC7211" i="8"/>
  <c r="AD7211" i="8"/>
  <c r="AC7212" i="8"/>
  <c r="AD7212" i="8"/>
  <c r="AE7212" i="8" s="1"/>
  <c r="AC7213" i="8"/>
  <c r="AD7213" i="8"/>
  <c r="AC7214" i="8"/>
  <c r="AD7214" i="8"/>
  <c r="AC7215" i="8"/>
  <c r="AD7215" i="8"/>
  <c r="AE7215" i="8" s="1"/>
  <c r="AC7216" i="8"/>
  <c r="AD7216" i="8"/>
  <c r="AC7217" i="8"/>
  <c r="AD7217" i="8"/>
  <c r="AC7218" i="8"/>
  <c r="AD7218" i="8"/>
  <c r="AC7219" i="8"/>
  <c r="AD7219" i="8"/>
  <c r="AC7220" i="8"/>
  <c r="AD7220" i="8"/>
  <c r="AE7220" i="8" s="1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E7226" i="8"/>
  <c r="AC7227" i="8"/>
  <c r="AD7227" i="8"/>
  <c r="AC7228" i="8"/>
  <c r="AD7228" i="8"/>
  <c r="AE7228" i="8" s="1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E7236" i="8" s="1"/>
  <c r="AC7237" i="8"/>
  <c r="AD7237" i="8"/>
  <c r="AC7238" i="8"/>
  <c r="AD7238" i="8"/>
  <c r="AC7239" i="8"/>
  <c r="AD7239" i="8"/>
  <c r="AE7239" i="8" s="1"/>
  <c r="AC7240" i="8"/>
  <c r="AD7240" i="8"/>
  <c r="AC7241" i="8"/>
  <c r="AD7241" i="8"/>
  <c r="AE7241" i="8" s="1"/>
  <c r="AC7242" i="8"/>
  <c r="AD7242" i="8"/>
  <c r="AC7243" i="8"/>
  <c r="AD7243" i="8"/>
  <c r="AC7244" i="8"/>
  <c r="AD7244" i="8"/>
  <c r="AE7244" i="8" s="1"/>
  <c r="AC7245" i="8"/>
  <c r="AD7245" i="8"/>
  <c r="AC7246" i="8"/>
  <c r="AD7246" i="8"/>
  <c r="AC7247" i="8"/>
  <c r="AD7247" i="8"/>
  <c r="AC7248" i="8"/>
  <c r="AD7248" i="8"/>
  <c r="AE7248" i="8" s="1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E7288" i="8" s="1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E7342" i="8" s="1"/>
  <c r="AC7343" i="8"/>
  <c r="AD7343" i="8"/>
  <c r="AC7344" i="8"/>
  <c r="AD7344" i="8"/>
  <c r="AC7345" i="8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E7358" i="8" s="1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E7374" i="8" s="1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E7382" i="8" s="1"/>
  <c r="AC7383" i="8"/>
  <c r="AD7383" i="8"/>
  <c r="AC7384" i="8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D7395" i="8"/>
  <c r="AC7396" i="8"/>
  <c r="AE7396" i="8" s="1"/>
  <c r="AD7396" i="8"/>
  <c r="AC7397" i="8"/>
  <c r="AE7397" i="8" s="1"/>
  <c r="AD7397" i="8"/>
  <c r="AC7398" i="8"/>
  <c r="AD7398" i="8"/>
  <c r="AC7399" i="8"/>
  <c r="AD7399" i="8"/>
  <c r="AC7400" i="8"/>
  <c r="AE7400" i="8" s="1"/>
  <c r="AD7400" i="8"/>
  <c r="AC7401" i="8"/>
  <c r="AE7401" i="8" s="1"/>
  <c r="AD7401" i="8"/>
  <c r="AC7402" i="8"/>
  <c r="AD7402" i="8"/>
  <c r="AC7403" i="8"/>
  <c r="AD7403" i="8"/>
  <c r="AE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E7409" i="8" s="1"/>
  <c r="AD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E7427" i="8" s="1"/>
  <c r="AD7427" i="8"/>
  <c r="AC7428" i="8"/>
  <c r="AD7428" i="8"/>
  <c r="AC7429" i="8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E7455" i="8" s="1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E7463" i="8" s="1"/>
  <c r="AC7464" i="8"/>
  <c r="AE7464" i="8" s="1"/>
  <c r="AD7464" i="8"/>
  <c r="AC7465" i="8"/>
  <c r="AD7465" i="8"/>
  <c r="AC7466" i="8"/>
  <c r="AD7466" i="8"/>
  <c r="AC7467" i="8"/>
  <c r="AE7467" i="8" s="1"/>
  <c r="AD7467" i="8"/>
  <c r="AC7468" i="8"/>
  <c r="AD7468" i="8"/>
  <c r="AC7469" i="8"/>
  <c r="AD7469" i="8"/>
  <c r="AC7470" i="8"/>
  <c r="AD7470" i="8"/>
  <c r="AC7471" i="8"/>
  <c r="AD7471" i="8"/>
  <c r="AE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E7502" i="8" s="1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E7518" i="8" s="1"/>
  <c r="AC7519" i="8"/>
  <c r="AD7519" i="8"/>
  <c r="AE7519" i="8" s="1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D7535" i="8"/>
  <c r="AE7535" i="8"/>
  <c r="AC7536" i="8"/>
  <c r="AD7536" i="8"/>
  <c r="AC7537" i="8"/>
  <c r="AD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E7555" i="8" s="1"/>
  <c r="AD7555" i="8"/>
  <c r="AC7556" i="8"/>
  <c r="AD7556" i="8"/>
  <c r="AC7557" i="8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E7579" i="8" s="1"/>
  <c r="AC7580" i="8"/>
  <c r="AE7580" i="8" s="1"/>
  <c r="AD7580" i="8"/>
  <c r="AC7581" i="8"/>
  <c r="AD7581" i="8"/>
  <c r="AC7582" i="8"/>
  <c r="AD7582" i="8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E7614" i="8" s="1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E7659" i="8" s="1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E7675" i="8" s="1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E7682" i="8" s="1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D7699" i="8"/>
  <c r="AC7700" i="8"/>
  <c r="AE7700" i="8" s="1"/>
  <c r="AD7700" i="8"/>
  <c r="AC7701" i="8"/>
  <c r="AD7701" i="8"/>
  <c r="AC7702" i="8"/>
  <c r="AD7702" i="8"/>
  <c r="AC7703" i="8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C7714" i="8"/>
  <c r="AD7714" i="8"/>
  <c r="AE7714" i="8" s="1"/>
  <c r="AC7715" i="8"/>
  <c r="AD7715" i="8"/>
  <c r="AC7716" i="8"/>
  <c r="AE7716" i="8" s="1"/>
  <c r="AD7716" i="8"/>
  <c r="AC7717" i="8"/>
  <c r="AE7717" i="8" s="1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 s="1"/>
  <c r="AC7734" i="8"/>
  <c r="AD7734" i="8"/>
  <c r="AE7734" i="8" s="1"/>
  <c r="AC7735" i="8"/>
  <c r="AD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C7756" i="8"/>
  <c r="AD7756" i="8"/>
  <c r="AC7757" i="8"/>
  <c r="AE7757" i="8" s="1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D7790" i="8"/>
  <c r="AC7791" i="8"/>
  <c r="AD7791" i="8"/>
  <c r="AC7792" i="8"/>
  <c r="AD7792" i="8"/>
  <c r="AE7792" i="8" s="1"/>
  <c r="AC7793" i="8"/>
  <c r="AD7793" i="8"/>
  <c r="AC7794" i="8"/>
  <c r="AD7794" i="8"/>
  <c r="AC7795" i="8"/>
  <c r="AD7795" i="8"/>
  <c r="AC7796" i="8"/>
  <c r="AD7796" i="8"/>
  <c r="AE7796" i="8" s="1"/>
  <c r="AC7797" i="8"/>
  <c r="AD7797" i="8"/>
  <c r="AC7798" i="8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E7803" i="8" s="1"/>
  <c r="AD7803" i="8"/>
  <c r="AC7804" i="8"/>
  <c r="AD7804" i="8"/>
  <c r="AE7804" i="8" s="1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E7811" i="8" s="1"/>
  <c r="AC7812" i="8"/>
  <c r="AD7812" i="8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E7824" i="8" s="1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C7833" i="8"/>
  <c r="AE7833" i="8" s="1"/>
  <c r="AD7833" i="8"/>
  <c r="AC7834" i="8"/>
  <c r="AE7834" i="8" s="1"/>
  <c r="AD7834" i="8"/>
  <c r="AC7835" i="8"/>
  <c r="AD7835" i="8"/>
  <c r="AC7836" i="8"/>
  <c r="AD7836" i="8"/>
  <c r="AC7837" i="8"/>
  <c r="AE7837" i="8" s="1"/>
  <c r="AD7837" i="8"/>
  <c r="AC7838" i="8"/>
  <c r="AE7838" i="8" s="1"/>
  <c r="AD7838" i="8"/>
  <c r="AC7839" i="8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E7845" i="8" s="1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D7854" i="8"/>
  <c r="AC7855" i="8"/>
  <c r="AE7855" i="8" s="1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E7861" i="8" s="1"/>
  <c r="AD7861" i="8"/>
  <c r="AC7862" i="8"/>
  <c r="AD7862" i="8"/>
  <c r="AC7863" i="8"/>
  <c r="AD7863" i="8"/>
  <c r="AC7864" i="8"/>
  <c r="AD7864" i="8"/>
  <c r="AC7865" i="8"/>
  <c r="AE7865" i="8" s="1"/>
  <c r="AD7865" i="8"/>
  <c r="AC7866" i="8"/>
  <c r="AD7866" i="8"/>
  <c r="AC7867" i="8"/>
  <c r="AE7867" i="8" s="1"/>
  <c r="AD7867" i="8"/>
  <c r="AC7868" i="8"/>
  <c r="AD7868" i="8"/>
  <c r="AE7868" i="8" s="1"/>
  <c r="AC7869" i="8"/>
  <c r="AD7869" i="8"/>
  <c r="AC7870" i="8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D7886" i="8"/>
  <c r="AC7887" i="8"/>
  <c r="AE7887" i="8" s="1"/>
  <c r="AD7887" i="8"/>
  <c r="AC7888" i="8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D7898" i="8"/>
  <c r="AC7899" i="8"/>
  <c r="AD7899" i="8"/>
  <c r="AE7899" i="8"/>
  <c r="AC7900" i="8"/>
  <c r="AD7900" i="8"/>
  <c r="AC7901" i="8"/>
  <c r="AD7901" i="8"/>
  <c r="AC7902" i="8"/>
  <c r="AE7902" i="8" s="1"/>
  <c r="AD7902" i="8"/>
  <c r="AC7903" i="8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D7913" i="8"/>
  <c r="AC7914" i="8"/>
  <c r="AE7914" i="8" s="1"/>
  <c r="AD7914" i="8"/>
  <c r="AC7915" i="8"/>
  <c r="AD7915" i="8"/>
  <c r="AC7916" i="8"/>
  <c r="AD7916" i="8"/>
  <c r="AC7917" i="8"/>
  <c r="AD7917" i="8"/>
  <c r="AE7917" i="8" s="1"/>
  <c r="AC7918" i="8"/>
  <c r="AE7918" i="8" s="1"/>
  <c r="AD7918" i="8"/>
  <c r="AC7919" i="8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D7925" i="8"/>
  <c r="AC7926" i="8"/>
  <c r="AD7926" i="8"/>
  <c r="AC7927" i="8"/>
  <c r="AD7927" i="8"/>
  <c r="AC7928" i="8"/>
  <c r="AE7928" i="8" s="1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E7933" i="8" s="1"/>
  <c r="AC7934" i="8"/>
  <c r="AE7934" i="8" s="1"/>
  <c r="AD7934" i="8"/>
  <c r="AC7935" i="8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C7942" i="8"/>
  <c r="AD7942" i="8"/>
  <c r="AC7943" i="8"/>
  <c r="AE7943" i="8" s="1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E7949" i="8" s="1"/>
  <c r="AD7949" i="8"/>
  <c r="AC7950" i="8"/>
  <c r="AD7950" i="8"/>
  <c r="AC7951" i="8"/>
  <c r="AD7951" i="8"/>
  <c r="AC7952" i="8"/>
  <c r="AD7952" i="8"/>
  <c r="AC7953" i="8"/>
  <c r="AE7953" i="8" s="1"/>
  <c r="AD7953" i="8"/>
  <c r="AC7954" i="8"/>
  <c r="AD7954" i="8"/>
  <c r="AC7955" i="8"/>
  <c r="AE7955" i="8" s="1"/>
  <c r="AD7955" i="8"/>
  <c r="AC7956" i="8"/>
  <c r="AD7956" i="8"/>
  <c r="AC7957" i="8"/>
  <c r="AE7957" i="8" s="1"/>
  <c r="AD7957" i="8"/>
  <c r="AC7958" i="8"/>
  <c r="AD7958" i="8"/>
  <c r="AC7959" i="8"/>
  <c r="AD7959" i="8"/>
  <c r="AC7960" i="8"/>
  <c r="AD7960" i="8"/>
  <c r="AC7961" i="8"/>
  <c r="AE7961" i="8" s="1"/>
  <c r="AD7961" i="8"/>
  <c r="AC7962" i="8"/>
  <c r="AD7962" i="8"/>
  <c r="AC7963" i="8"/>
  <c r="AD7963" i="8"/>
  <c r="AE7963" i="8"/>
  <c r="AC7964" i="8"/>
  <c r="AD7964" i="8"/>
  <c r="AC7965" i="8"/>
  <c r="AD7965" i="8"/>
  <c r="AE7965" i="8" s="1"/>
  <c r="AC7966" i="8"/>
  <c r="AE7966" i="8" s="1"/>
  <c r="AD7966" i="8"/>
  <c r="AC7967" i="8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D7985" i="8"/>
  <c r="AC7986" i="8"/>
  <c r="AE7986" i="8" s="1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E7994" i="8" s="1"/>
  <c r="AD7994" i="8"/>
  <c r="AC7995" i="8"/>
  <c r="AD7995" i="8"/>
  <c r="AE7995" i="8" s="1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E8001" i="8" s="1"/>
  <c r="AD8001" i="8"/>
  <c r="AC8002" i="8"/>
  <c r="AD8002" i="8"/>
  <c r="AC8003" i="8"/>
  <c r="AD8003" i="8"/>
  <c r="AE8003" i="8" s="1"/>
  <c r="AC8004" i="8"/>
  <c r="AD8004" i="8"/>
  <c r="AC8005" i="8"/>
  <c r="AD8005" i="8"/>
  <c r="AE8005" i="8" s="1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E8068" i="8" s="1"/>
  <c r="AC8069" i="8"/>
  <c r="AD8069" i="8"/>
  <c r="AC8070" i="8"/>
  <c r="AD8070" i="8"/>
  <c r="AC8071" i="8"/>
  <c r="AD8071" i="8"/>
  <c r="AC8072" i="8"/>
  <c r="AD8072" i="8"/>
  <c r="AE8072" i="8" s="1"/>
  <c r="AC8073" i="8"/>
  <c r="AD8073" i="8"/>
  <c r="AE8073" i="8" s="1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E8084" i="8" s="1"/>
  <c r="AD8084" i="8"/>
  <c r="AC8085" i="8"/>
  <c r="AD8085" i="8"/>
  <c r="AE8085" i="8" s="1"/>
  <c r="AC8086" i="8"/>
  <c r="AD8086" i="8"/>
  <c r="AC8087" i="8"/>
  <c r="AD8087" i="8"/>
  <c r="AC8088" i="8"/>
  <c r="AD8088" i="8"/>
  <c r="AE8088" i="8" s="1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C8106" i="8"/>
  <c r="AE8106" i="8" s="1"/>
  <c r="AD8106" i="8"/>
  <c r="AC8107" i="8"/>
  <c r="AE8107" i="8" s="1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E8116" i="8" s="1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D8142" i="8"/>
  <c r="AC8143" i="8"/>
  <c r="AD8143" i="8"/>
  <c r="AC8144" i="8"/>
  <c r="AE8144" i="8" s="1"/>
  <c r="AD8144" i="8"/>
  <c r="AC8145" i="8"/>
  <c r="AD8145" i="8"/>
  <c r="AC8146" i="8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D8155" i="8"/>
  <c r="AC8156" i="8"/>
  <c r="AE8156" i="8" s="1"/>
  <c r="AD8156" i="8"/>
  <c r="AC8157" i="8"/>
  <c r="AD8157" i="8"/>
  <c r="AC8158" i="8"/>
  <c r="AD8158" i="8"/>
  <c r="AC8159" i="8"/>
  <c r="AD8159" i="8"/>
  <c r="AC8160" i="8"/>
  <c r="AE8160" i="8" s="1"/>
  <c r="AD8160" i="8"/>
  <c r="AC8161" i="8"/>
  <c r="AD8161" i="8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D8176" i="8"/>
  <c r="AC8177" i="8"/>
  <c r="AD8177" i="8"/>
  <c r="AC8178" i="8"/>
  <c r="AD8178" i="8"/>
  <c r="AE8178" i="8" s="1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E8194" i="8" s="1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E8206" i="8" s="1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E8228" i="8" s="1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 s="1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E8252" i="8" s="1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E8259" i="8" s="1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E8270" i="8" s="1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D8288" i="8"/>
  <c r="AC8289" i="8"/>
  <c r="AD8289" i="8"/>
  <c r="AC8290" i="8"/>
  <c r="AE8290" i="8" s="1"/>
  <c r="AD8290" i="8"/>
  <c r="AC8291" i="8"/>
  <c r="AD8291" i="8"/>
  <c r="AC8292" i="8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D8311" i="8"/>
  <c r="AC8312" i="8"/>
  <c r="AD8312" i="8"/>
  <c r="AC8313" i="8"/>
  <c r="AD8313" i="8"/>
  <c r="AC8314" i="8"/>
  <c r="AE8314" i="8" s="1"/>
  <c r="AD8314" i="8"/>
  <c r="AC8315" i="8"/>
  <c r="AD8315" i="8"/>
  <c r="AC8316" i="8"/>
  <c r="AD8316" i="8"/>
  <c r="AE8316" i="8" s="1"/>
  <c r="AC8317" i="8"/>
  <c r="AD8317" i="8"/>
  <c r="AC8318" i="8"/>
  <c r="AD8318" i="8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E8324" i="8" s="1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E8332" i="8" s="1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E8340" i="8" s="1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E8350" i="8" s="1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E8366" i="8" s="1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 s="1"/>
  <c r="AC8431" i="8"/>
  <c r="AD8431" i="8"/>
  <c r="AC8432" i="8"/>
  <c r="AD8432" i="8"/>
  <c r="AC8433" i="8"/>
  <c r="AD8433" i="8"/>
  <c r="AE8433" i="8"/>
  <c r="AC8434" i="8"/>
  <c r="AD8434" i="8"/>
  <c r="AC8435" i="8"/>
  <c r="AD8435" i="8"/>
  <c r="AC8436" i="8"/>
  <c r="AD8436" i="8"/>
  <c r="AE8436" i="8" s="1"/>
  <c r="AC8437" i="8"/>
  <c r="AD8437" i="8"/>
  <c r="AE8437" i="8" s="1"/>
  <c r="AC8438" i="8"/>
  <c r="AD8438" i="8"/>
  <c r="AC8439" i="8"/>
  <c r="AD8439" i="8"/>
  <c r="AC8440" i="8"/>
  <c r="AD8440" i="8"/>
  <c r="AC8441" i="8"/>
  <c r="AD8441" i="8"/>
  <c r="AE8441" i="8" s="1"/>
  <c r="AC8442" i="8"/>
  <c r="AD8442" i="8"/>
  <c r="AC8443" i="8"/>
  <c r="AE8443" i="8" s="1"/>
  <c r="AD8443" i="8"/>
  <c r="AC8444" i="8"/>
  <c r="AD8444" i="8"/>
  <c r="AC8445" i="8"/>
  <c r="AD8445" i="8"/>
  <c r="AE8445" i="8" s="1"/>
  <c r="AC8446" i="8"/>
  <c r="AD8446" i="8"/>
  <c r="AC8447" i="8"/>
  <c r="AD8447" i="8"/>
  <c r="AC8448" i="8"/>
  <c r="AD8448" i="8"/>
  <c r="AC8449" i="8"/>
  <c r="AD8449" i="8"/>
  <c r="AC8450" i="8"/>
  <c r="AD8450" i="8"/>
  <c r="AC8451" i="8"/>
  <c r="AE8451" i="8" s="1"/>
  <c r="AD8451" i="8"/>
  <c r="AC8452" i="8"/>
  <c r="AE8452" i="8" s="1"/>
  <c r="AD8452" i="8"/>
  <c r="AC8453" i="8"/>
  <c r="AD8453" i="8"/>
  <c r="AC8454" i="8"/>
  <c r="AD8454" i="8"/>
  <c r="AC8455" i="8"/>
  <c r="AD8455" i="8"/>
  <c r="AC8456" i="8"/>
  <c r="AD8456" i="8"/>
  <c r="AC8457" i="8"/>
  <c r="AE8457" i="8" s="1"/>
  <c r="AD8457" i="8"/>
  <c r="AC8458" i="8"/>
  <c r="AE8458" i="8" s="1"/>
  <c r="AD8458" i="8"/>
  <c r="AC8459" i="8"/>
  <c r="AD8459" i="8"/>
  <c r="AC8460" i="8"/>
  <c r="AD8460" i="8"/>
  <c r="AC8461" i="8"/>
  <c r="AD8461" i="8"/>
  <c r="AE8461" i="8" s="1"/>
  <c r="AC8462" i="8"/>
  <c r="AD8462" i="8"/>
  <c r="AC8463" i="8"/>
  <c r="AD8463" i="8"/>
  <c r="AC8464" i="8"/>
  <c r="AD8464" i="8"/>
  <c r="AC8465" i="8"/>
  <c r="AD8465" i="8"/>
  <c r="AE8465" i="8" s="1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E8472" i="8" s="1"/>
  <c r="AD8472" i="8"/>
  <c r="AC8473" i="8"/>
  <c r="AD8473" i="8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E8481" i="8" s="1"/>
  <c r="AD8481" i="8"/>
  <c r="AC8482" i="8"/>
  <c r="AD8482" i="8"/>
  <c r="AC8483" i="8"/>
  <c r="AD8483" i="8"/>
  <c r="AC8484" i="8"/>
  <c r="AD8484" i="8"/>
  <c r="AE8484" i="8" s="1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E8497" i="8" s="1"/>
  <c r="AD8497" i="8"/>
  <c r="AC8498" i="8"/>
  <c r="AD8498" i="8"/>
  <c r="AC8499" i="8"/>
  <c r="AE8499" i="8" s="1"/>
  <c r="AD8499" i="8"/>
  <c r="AC8500" i="8"/>
  <c r="AE8500" i="8" s="1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E8512" i="8" s="1"/>
  <c r="AD8512" i="8"/>
  <c r="AC8513" i="8"/>
  <c r="AE8513" i="8" s="1"/>
  <c r="AD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E8529" i="8" s="1"/>
  <c r="AD8529" i="8"/>
  <c r="AC8530" i="8"/>
  <c r="AD8530" i="8"/>
  <c r="AC8531" i="8"/>
  <c r="AE8531" i="8" s="1"/>
  <c r="AD8531" i="8"/>
  <c r="AC8532" i="8"/>
  <c r="AE8532" i="8" s="1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E8545" i="8" s="1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D8576" i="8"/>
  <c r="AC8577" i="8"/>
  <c r="AD8577" i="8"/>
  <c r="AE8577" i="8" s="1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E8595" i="8" s="1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E8607" i="8" s="1"/>
  <c r="AD8607" i="8"/>
  <c r="AC8608" i="8"/>
  <c r="AE8608" i="8" s="1"/>
  <c r="AD8608" i="8"/>
  <c r="AC8609" i="8"/>
  <c r="AD8609" i="8"/>
  <c r="AC8610" i="8"/>
  <c r="AD8610" i="8"/>
  <c r="AC8611" i="8"/>
  <c r="AD8611" i="8"/>
  <c r="AE8611" i="8" s="1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E8634" i="8" s="1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E8640" i="8" s="1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E8650" i="8" s="1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D8672" i="8"/>
  <c r="AC8673" i="8"/>
  <c r="AD8673" i="8"/>
  <c r="AC8674" i="8"/>
  <c r="AD8674" i="8"/>
  <c r="AC8675" i="8"/>
  <c r="AD8675" i="8"/>
  <c r="AE8675" i="8" s="1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E8698" i="8" s="1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E8707" i="8" s="1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E8714" i="8" s="1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E8723" i="8" s="1"/>
  <c r="AD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E8735" i="8" s="1"/>
  <c r="AD8735" i="8"/>
  <c r="AC8736" i="8"/>
  <c r="AD8736" i="8"/>
  <c r="AC8737" i="8"/>
  <c r="AD8737" i="8"/>
  <c r="AC8738" i="8"/>
  <c r="AD8738" i="8"/>
  <c r="AC8739" i="8"/>
  <c r="AE8739" i="8" s="1"/>
  <c r="AD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E8762" i="8" s="1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E8768" i="8" s="1"/>
  <c r="AD8768" i="8"/>
  <c r="AC8769" i="8"/>
  <c r="AD8769" i="8"/>
  <c r="AC8770" i="8"/>
  <c r="AD8770" i="8"/>
  <c r="AC8771" i="8"/>
  <c r="AE8771" i="8" s="1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E8778" i="8" s="1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E8799" i="8" s="1"/>
  <c r="AD8799" i="8"/>
  <c r="AC8800" i="8"/>
  <c r="AD8800" i="8"/>
  <c r="AC8801" i="8"/>
  <c r="AD8801" i="8"/>
  <c r="AC8802" i="8"/>
  <c r="AD8802" i="8"/>
  <c r="AC8803" i="8"/>
  <c r="AE8803" i="8" s="1"/>
  <c r="AD8803" i="8"/>
  <c r="AC8804" i="8"/>
  <c r="AE8804" i="8" s="1"/>
  <c r="AD8804" i="8"/>
  <c r="AC8805" i="8"/>
  <c r="AD8805" i="8"/>
  <c r="AC8806" i="8"/>
  <c r="AD8806" i="8"/>
  <c r="AC8807" i="8"/>
  <c r="AD8807" i="8"/>
  <c r="AC8808" i="8"/>
  <c r="AD8808" i="8"/>
  <c r="AC8809" i="8"/>
  <c r="AE8809" i="8" s="1"/>
  <c r="AD8809" i="8"/>
  <c r="AC8810" i="8"/>
  <c r="AD8810" i="8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E8819" i="8" s="1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E8826" i="8" s="1"/>
  <c r="AC8827" i="8"/>
  <c r="AD8827" i="8"/>
  <c r="AC8828" i="8"/>
  <c r="AD8828" i="8"/>
  <c r="AC8829" i="8"/>
  <c r="AD8829" i="8"/>
  <c r="AC8830" i="8"/>
  <c r="AD8830" i="8"/>
  <c r="AC8831" i="8"/>
  <c r="AE8831" i="8" s="1"/>
  <c r="AD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D8841" i="8"/>
  <c r="AC8842" i="8"/>
  <c r="AD8842" i="8"/>
  <c r="AE8842" i="8" s="1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E8851" i="8" s="1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D8864" i="8"/>
  <c r="AC8865" i="8"/>
  <c r="AD8865" i="8"/>
  <c r="AC8866" i="8"/>
  <c r="AD8866" i="8"/>
  <c r="AC8867" i="8"/>
  <c r="AD8867" i="8"/>
  <c r="AE8867" i="8" s="1"/>
  <c r="AC8868" i="8"/>
  <c r="AE8868" i="8" s="1"/>
  <c r="AD8868" i="8"/>
  <c r="AC8869" i="8"/>
  <c r="AD8869" i="8"/>
  <c r="AC8870" i="8"/>
  <c r="AD8870" i="8"/>
  <c r="AC8871" i="8"/>
  <c r="AD8871" i="8"/>
  <c r="AC8872" i="8"/>
  <c r="AD8872" i="8"/>
  <c r="AC8873" i="8"/>
  <c r="AE8873" i="8" s="1"/>
  <c r="AD8873" i="8"/>
  <c r="AC8874" i="8"/>
  <c r="AD8874" i="8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E8883" i="8" s="1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E8896" i="8" s="1"/>
  <c r="AD8896" i="8"/>
  <c r="AC8897" i="8"/>
  <c r="AD8897" i="8"/>
  <c r="AC8898" i="8"/>
  <c r="AD8898" i="8"/>
  <c r="AC8899" i="8"/>
  <c r="AE8899" i="8" s="1"/>
  <c r="AD8899" i="8"/>
  <c r="AC8900" i="8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E8915" i="8" s="1"/>
  <c r="AD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D8921" i="8"/>
  <c r="AC8922" i="8"/>
  <c r="AD8922" i="8"/>
  <c r="AC8923" i="8"/>
  <c r="AE8923" i="8" s="1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E8954" i="8" s="1"/>
  <c r="AC8955" i="8"/>
  <c r="AD8955" i="8"/>
  <c r="AC8956" i="8"/>
  <c r="AD8956" i="8"/>
  <c r="AC8957" i="8"/>
  <c r="AD8957" i="8"/>
  <c r="AC8958" i="8"/>
  <c r="AD8958" i="8"/>
  <c r="AC8959" i="8"/>
  <c r="AD8959" i="8"/>
  <c r="AE8959" i="8" s="1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D8992" i="8"/>
  <c r="AC8993" i="8"/>
  <c r="AD8993" i="8"/>
  <c r="AC8994" i="8"/>
  <c r="AD8994" i="8"/>
  <c r="AC8995" i="8"/>
  <c r="AE8995" i="8" s="1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E9011" i="8" s="1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E9017" i="8" s="1"/>
  <c r="AD9017" i="8"/>
  <c r="AC9018" i="8"/>
  <c r="AD9018" i="8"/>
  <c r="AC9019" i="8"/>
  <c r="AE9019" i="8" s="1"/>
  <c r="AD9019" i="8"/>
  <c r="AC9020" i="8"/>
  <c r="AD9020" i="8"/>
  <c r="AC9021" i="8"/>
  <c r="AD9021" i="8"/>
  <c r="AC9022" i="8"/>
  <c r="AD9022" i="8"/>
  <c r="AC9023" i="8"/>
  <c r="AD9023" i="8"/>
  <c r="AE9023" i="8" s="1"/>
  <c r="AC9024" i="8"/>
  <c r="AE9024" i="8" s="1"/>
  <c r="AD9024" i="8"/>
  <c r="AC9025" i="8"/>
  <c r="AD9025" i="8"/>
  <c r="AC9026" i="8"/>
  <c r="AE9026" i="8" s="1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E9057" i="8" s="1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C9067" i="8"/>
  <c r="AE9067" i="8" s="1"/>
  <c r="AD9067" i="8"/>
  <c r="AC9068" i="8"/>
  <c r="AD9068" i="8"/>
  <c r="AC9069" i="8"/>
  <c r="AD9069" i="8"/>
  <c r="AC9070" i="8"/>
  <c r="AD9070" i="8"/>
  <c r="AC9071" i="8"/>
  <c r="AE9071" i="8" s="1"/>
  <c r="AD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C9083" i="8"/>
  <c r="AE9083" i="8" s="1"/>
  <c r="AD9083" i="8"/>
  <c r="AC9084" i="8"/>
  <c r="AD9084" i="8"/>
  <c r="AC9085" i="8"/>
  <c r="AD9085" i="8"/>
  <c r="AC9086" i="8"/>
  <c r="AD9086" i="8"/>
  <c r="AC9087" i="8"/>
  <c r="AE9087" i="8" s="1"/>
  <c r="AD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W3" i="1"/>
  <c r="AW86" i="1"/>
  <c r="AV7" i="1"/>
  <c r="AV16" i="1"/>
  <c r="AV87" i="1"/>
  <c r="AV65" i="1"/>
  <c r="AV3" i="1"/>
  <c r="AW29" i="1"/>
  <c r="AV34" i="1"/>
  <c r="AW35" i="1"/>
  <c r="AV47" i="1"/>
  <c r="AW6" i="1"/>
  <c r="AW24" i="1"/>
  <c r="AV39" i="1"/>
  <c r="AV19" i="1"/>
  <c r="AV70" i="1"/>
  <c r="AV28" i="1"/>
  <c r="AV82" i="1"/>
  <c r="AW12" i="1"/>
  <c r="AW30" i="1"/>
  <c r="AW55" i="1"/>
  <c r="AW9" i="1"/>
  <c r="AV55" i="1"/>
  <c r="AW16" i="1"/>
  <c r="AV25" i="1"/>
  <c r="AW47" i="1"/>
  <c r="AV64" i="1"/>
  <c r="AW22" i="1"/>
  <c r="AW71" i="1"/>
  <c r="AW79" i="1"/>
  <c r="AW82" i="1"/>
  <c r="AW62" i="1"/>
  <c r="AV88" i="1"/>
  <c r="AW87" i="1"/>
  <c r="AW59" i="1"/>
  <c r="AW41" i="1"/>
  <c r="AV21" i="1"/>
  <c r="AV72" i="1"/>
  <c r="AW69" i="1"/>
  <c r="AW15" i="1"/>
  <c r="AW50" i="1"/>
  <c r="AV42" i="1"/>
  <c r="AW83" i="1"/>
  <c r="AV18" i="1"/>
  <c r="AV41" i="1"/>
  <c r="AV79" i="1"/>
  <c r="AV86" i="1"/>
  <c r="AV77" i="1"/>
  <c r="AV10" i="1"/>
  <c r="AV37" i="1"/>
  <c r="AW75" i="1"/>
  <c r="AV68" i="1"/>
  <c r="AV61" i="1"/>
  <c r="AW64" i="1"/>
  <c r="AW49" i="1"/>
  <c r="AV44" i="1"/>
  <c r="AV50" i="1"/>
  <c r="AV24" i="1"/>
  <c r="AV56" i="1"/>
  <c r="AW21" i="1"/>
  <c r="AW66" i="1"/>
  <c r="AV11" i="1"/>
  <c r="AW68" i="1"/>
  <c r="AV53" i="1"/>
  <c r="AW61" i="1"/>
  <c r="AW14" i="1"/>
  <c r="AV71" i="1"/>
  <c r="AV69" i="1"/>
  <c r="AW67" i="1"/>
  <c r="AV48" i="1"/>
  <c r="AV84" i="1"/>
  <c r="AV63" i="1"/>
  <c r="AW37" i="1"/>
  <c r="AW77" i="1"/>
  <c r="AW36" i="1"/>
  <c r="AV46" i="1"/>
  <c r="AV43" i="1"/>
  <c r="AW78" i="1"/>
  <c r="AW10" i="1"/>
  <c r="AW18" i="1"/>
  <c r="AV83" i="1"/>
  <c r="AV52" i="1"/>
  <c r="AW74" i="1"/>
  <c r="AV75" i="1"/>
  <c r="AW38" i="1"/>
  <c r="AV31" i="1"/>
  <c r="AW53" i="1"/>
  <c r="AV66" i="1"/>
  <c r="AV36" i="1"/>
  <c r="AW17" i="1"/>
  <c r="AW32" i="1"/>
  <c r="AV33" i="1"/>
  <c r="AW72" i="1"/>
  <c r="AW52" i="1"/>
  <c r="AW73" i="1"/>
  <c r="AV22" i="1"/>
  <c r="AV20" i="1"/>
  <c r="AW57" i="1"/>
  <c r="AV6" i="1"/>
  <c r="AW11" i="1"/>
  <c r="AV4" i="1"/>
  <c r="AV8" i="1"/>
  <c r="AV85" i="1"/>
  <c r="AW51" i="1"/>
  <c r="AW20" i="1"/>
  <c r="AW48" i="1"/>
  <c r="AW43" i="1"/>
  <c r="AV14" i="1"/>
  <c r="AV5" i="1"/>
  <c r="AW81" i="1"/>
  <c r="AW80" i="1"/>
  <c r="AW4" i="1"/>
  <c r="AV74" i="1"/>
  <c r="AV78" i="1"/>
  <c r="AW28" i="1"/>
  <c r="AV51" i="1"/>
  <c r="AV15" i="1"/>
  <c r="AV49" i="1"/>
  <c r="AW8" i="1"/>
  <c r="AV73" i="1"/>
  <c r="AW46" i="1"/>
  <c r="AV58" i="1"/>
  <c r="AV17" i="1"/>
  <c r="AV57" i="1"/>
  <c r="AW34" i="1"/>
  <c r="AW85" i="1"/>
  <c r="AW60" i="1"/>
  <c r="AV54" i="1"/>
  <c r="AV27" i="1"/>
  <c r="AV45" i="1"/>
  <c r="AV35" i="1"/>
  <c r="AW5" i="1"/>
  <c r="AW39" i="1"/>
  <c r="AV59" i="1"/>
  <c r="AW63" i="1"/>
  <c r="AW42" i="1"/>
  <c r="AW19" i="1"/>
  <c r="AV76" i="1"/>
  <c r="AW7" i="1"/>
  <c r="AV38" i="1"/>
  <c r="AW56" i="1"/>
  <c r="AV62" i="1"/>
  <c r="AW26" i="1"/>
  <c r="AW70" i="1"/>
  <c r="AW88" i="1"/>
  <c r="AW31" i="1"/>
  <c r="AV32" i="1"/>
  <c r="AW54" i="1"/>
  <c r="AW23" i="1"/>
  <c r="AV80" i="1"/>
  <c r="AW45" i="1"/>
  <c r="AV30" i="1"/>
  <c r="AW58" i="1"/>
  <c r="AW33" i="1"/>
  <c r="AW27" i="1"/>
  <c r="AV26" i="1"/>
  <c r="AV60" i="1"/>
  <c r="AW65" i="1"/>
  <c r="AV81" i="1"/>
  <c r="AW44" i="1"/>
  <c r="AV13" i="1"/>
  <c r="AV40" i="1"/>
  <c r="AV12" i="1"/>
  <c r="AW13" i="1"/>
  <c r="AV29" i="1"/>
  <c r="AV9" i="1"/>
  <c r="AV67" i="1"/>
  <c r="AW84" i="1"/>
  <c r="AV23" i="1"/>
  <c r="AW25" i="1"/>
  <c r="AW76" i="1"/>
  <c r="AW40" i="1"/>
  <c r="BA6" i="1" l="1"/>
  <c r="BA70" i="1"/>
  <c r="BA88" i="1"/>
  <c r="AZ70" i="1"/>
  <c r="BC24" i="1"/>
  <c r="BC58" i="1"/>
  <c r="BC26" i="1"/>
  <c r="BC64" i="1"/>
  <c r="BC32" i="1"/>
  <c r="BC66" i="1"/>
  <c r="BC34" i="1"/>
  <c r="BC72" i="1"/>
  <c r="BC8" i="1"/>
  <c r="BC40" i="1"/>
  <c r="BC74" i="1"/>
  <c r="BC10" i="1"/>
  <c r="BC42" i="1"/>
  <c r="BC80" i="1"/>
  <c r="BC16" i="1"/>
  <c r="BC50" i="1"/>
  <c r="BC82" i="1"/>
  <c r="BC18" i="1"/>
  <c r="BC56" i="1"/>
  <c r="BC88" i="1"/>
  <c r="BC48" i="1"/>
  <c r="BA14" i="1"/>
  <c r="BA22" i="1"/>
  <c r="BA46" i="1"/>
  <c r="BA54" i="1"/>
  <c r="BA78" i="1"/>
  <c r="BA86" i="1"/>
  <c r="AZ78" i="1"/>
  <c r="BA80" i="1"/>
  <c r="BC9" i="1"/>
  <c r="BC17" i="1"/>
  <c r="BC25" i="1"/>
  <c r="BC33" i="1"/>
  <c r="BC41" i="1"/>
  <c r="BC49" i="1"/>
  <c r="BC57" i="1"/>
  <c r="BC65" i="1"/>
  <c r="BC73" i="1"/>
  <c r="BC81" i="1"/>
  <c r="BA8" i="1"/>
  <c r="BA40" i="1"/>
  <c r="BA72" i="1"/>
  <c r="BA16" i="1"/>
  <c r="BC3" i="1"/>
  <c r="BC11" i="1"/>
  <c r="BC19" i="1"/>
  <c r="BC27" i="1"/>
  <c r="BC35" i="1"/>
  <c r="BC43" i="1"/>
  <c r="BC51" i="1"/>
  <c r="BC59" i="1"/>
  <c r="BC67" i="1"/>
  <c r="BC75" i="1"/>
  <c r="BC83" i="1"/>
  <c r="AZ6" i="1"/>
  <c r="BA24" i="1"/>
  <c r="BC4" i="1"/>
  <c r="BC12" i="1"/>
  <c r="BC20" i="1"/>
  <c r="BC28" i="1"/>
  <c r="BC36" i="1"/>
  <c r="BC44" i="1"/>
  <c r="BC52" i="1"/>
  <c r="BC60" i="1"/>
  <c r="BC68" i="1"/>
  <c r="BC76" i="1"/>
  <c r="BC84" i="1"/>
  <c r="AZ14" i="1"/>
  <c r="BA38" i="1"/>
  <c r="BC5" i="1"/>
  <c r="BC13" i="1"/>
  <c r="BC21" i="1"/>
  <c r="BC29" i="1"/>
  <c r="BC37" i="1"/>
  <c r="BC45" i="1"/>
  <c r="BC53" i="1"/>
  <c r="BC61" i="1"/>
  <c r="BC69" i="1"/>
  <c r="BC77" i="1"/>
  <c r="BC85" i="1"/>
  <c r="AZ38" i="1"/>
  <c r="BA48" i="1"/>
  <c r="BC22" i="1"/>
  <c r="BC30" i="1"/>
  <c r="BC46" i="1"/>
  <c r="BC54" i="1"/>
  <c r="BC62" i="1"/>
  <c r="BC86" i="1"/>
  <c r="BA56" i="1"/>
  <c r="BC7" i="1"/>
  <c r="BC15" i="1"/>
  <c r="BC23" i="1"/>
  <c r="BC31" i="1"/>
  <c r="BC39" i="1"/>
  <c r="BC47" i="1"/>
  <c r="BC55" i="1"/>
  <c r="BC63" i="1"/>
  <c r="BC71" i="1"/>
  <c r="BC79" i="1"/>
  <c r="BC87" i="1"/>
  <c r="BA68" i="1"/>
  <c r="BA10" i="1"/>
  <c r="BA18" i="1"/>
  <c r="BA26" i="1"/>
  <c r="BA34" i="1"/>
  <c r="BA42" i="1"/>
  <c r="BA50" i="1"/>
  <c r="BA58" i="1"/>
  <c r="BA66" i="1"/>
  <c r="BA74" i="1"/>
  <c r="BA82" i="1"/>
  <c r="BA36" i="1"/>
  <c r="BA3" i="1"/>
  <c r="BA11" i="1"/>
  <c r="BA19" i="1"/>
  <c r="BA27" i="1"/>
  <c r="BA35" i="1"/>
  <c r="BA43" i="1"/>
  <c r="BA51" i="1"/>
  <c r="BA59" i="1"/>
  <c r="BA67" i="1"/>
  <c r="BA75" i="1"/>
  <c r="BA83" i="1"/>
  <c r="BA5" i="1"/>
  <c r="BA13" i="1"/>
  <c r="BA21" i="1"/>
  <c r="BA29" i="1"/>
  <c r="BA37" i="1"/>
  <c r="BA45" i="1"/>
  <c r="BA53" i="1"/>
  <c r="BA61" i="1"/>
  <c r="BA69" i="1"/>
  <c r="BA77" i="1"/>
  <c r="BA85" i="1"/>
  <c r="BA30" i="1"/>
  <c r="BA62" i="1"/>
  <c r="BA20" i="1"/>
  <c r="BA52" i="1"/>
  <c r="BA84" i="1"/>
  <c r="BA32" i="1"/>
  <c r="BA64" i="1"/>
  <c r="BA28" i="1"/>
  <c r="BA44" i="1"/>
  <c r="BA7" i="1"/>
  <c r="BA15" i="1"/>
  <c r="BA23" i="1"/>
  <c r="BA31" i="1"/>
  <c r="BA39" i="1"/>
  <c r="BA47" i="1"/>
  <c r="BA55" i="1"/>
  <c r="BA63" i="1"/>
  <c r="BA71" i="1"/>
  <c r="BA79" i="1"/>
  <c r="BA87" i="1"/>
  <c r="BA4" i="1"/>
  <c r="BA76" i="1"/>
  <c r="BA12" i="1"/>
  <c r="BA60" i="1"/>
  <c r="BA9" i="1"/>
  <c r="BA17" i="1"/>
  <c r="BA25" i="1"/>
  <c r="BA33" i="1"/>
  <c r="BA41" i="1"/>
  <c r="BA49" i="1"/>
  <c r="BA57" i="1"/>
  <c r="BA65" i="1"/>
  <c r="BA73" i="1"/>
  <c r="BA81" i="1"/>
  <c r="BF52" i="1"/>
  <c r="BF44" i="1"/>
  <c r="BF36" i="1"/>
  <c r="BF28" i="1"/>
  <c r="BF84" i="1"/>
  <c r="BF20" i="1"/>
  <c r="BF76" i="1"/>
  <c r="BF12" i="1"/>
  <c r="BF68" i="1"/>
  <c r="BF60" i="1"/>
  <c r="BF83" i="1"/>
  <c r="BF75" i="1"/>
  <c r="BF67" i="1"/>
  <c r="BF59" i="1"/>
  <c r="BF51" i="1"/>
  <c r="BF43" i="1"/>
  <c r="BF35" i="1"/>
  <c r="BF27" i="1"/>
  <c r="BF19" i="1"/>
  <c r="BF11" i="1"/>
  <c r="BF3" i="1"/>
  <c r="BF82" i="1"/>
  <c r="BF74" i="1"/>
  <c r="BF66" i="1"/>
  <c r="BF58" i="1"/>
  <c r="BF50" i="1"/>
  <c r="BF42" i="1"/>
  <c r="BF34" i="1"/>
  <c r="BF26" i="1"/>
  <c r="BF18" i="1"/>
  <c r="BF10" i="1"/>
  <c r="BF81" i="1"/>
  <c r="BF73" i="1"/>
  <c r="BF65" i="1"/>
  <c r="BF57" i="1"/>
  <c r="BF49" i="1"/>
  <c r="BF41" i="1"/>
  <c r="BF33" i="1"/>
  <c r="BF25" i="1"/>
  <c r="BF17" i="1"/>
  <c r="BF9" i="1"/>
  <c r="BF88" i="1"/>
  <c r="BF80" i="1"/>
  <c r="BF72" i="1"/>
  <c r="BF64" i="1"/>
  <c r="BF56" i="1"/>
  <c r="BF48" i="1"/>
  <c r="BF40" i="1"/>
  <c r="BF32" i="1"/>
  <c r="BF24" i="1"/>
  <c r="BF16" i="1"/>
  <c r="BF8" i="1"/>
  <c r="BF87" i="1"/>
  <c r="BF79" i="1"/>
  <c r="BF71" i="1"/>
  <c r="BF63" i="1"/>
  <c r="BF55" i="1"/>
  <c r="BF47" i="1"/>
  <c r="BF39" i="1"/>
  <c r="BF31" i="1"/>
  <c r="BF23" i="1"/>
  <c r="BF15" i="1"/>
  <c r="BF7" i="1"/>
  <c r="BF86" i="1"/>
  <c r="BF78" i="1"/>
  <c r="BF70" i="1"/>
  <c r="BF62" i="1"/>
  <c r="BF54" i="1"/>
  <c r="BF46" i="1"/>
  <c r="BF38" i="1"/>
  <c r="BF30" i="1"/>
  <c r="BF22" i="1"/>
  <c r="BF14" i="1"/>
  <c r="BF6" i="1"/>
  <c r="BF85" i="1"/>
  <c r="BF77" i="1"/>
  <c r="BF69" i="1"/>
  <c r="BF61" i="1"/>
  <c r="BF53" i="1"/>
  <c r="BF45" i="1"/>
  <c r="BF37" i="1"/>
  <c r="BF29" i="1"/>
  <c r="BF21" i="1"/>
  <c r="BF13" i="1"/>
  <c r="BF5" i="1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A5993" i="8" l="1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B60" i="1" s="1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73" i="1" l="1"/>
  <c r="B77" i="1"/>
  <c r="B61" i="1"/>
  <c r="B50" i="1"/>
  <c r="B53" i="1"/>
  <c r="B46" i="1"/>
  <c r="B51" i="1"/>
  <c r="B76" i="1"/>
  <c r="B27" i="1"/>
  <c r="B23" i="1"/>
  <c r="B16" i="1"/>
  <c r="B45" i="1"/>
  <c r="B12" i="1"/>
  <c r="B68" i="1"/>
  <c r="B41" i="1"/>
  <c r="B74" i="1"/>
  <c r="B86" i="1"/>
  <c r="B42" i="1"/>
  <c r="B71" i="1"/>
  <c r="B56" i="1"/>
  <c r="B31" i="1"/>
  <c r="B79" i="1"/>
  <c r="B8" i="1"/>
  <c r="B3" i="1"/>
  <c r="B69" i="1"/>
  <c r="B7" i="1"/>
  <c r="B11" i="1"/>
  <c r="B15" i="1"/>
  <c r="B47" i="1"/>
  <c r="B85" i="1"/>
  <c r="B5" i="1"/>
  <c r="B17" i="1"/>
  <c r="B32" i="1"/>
  <c r="B62" i="1"/>
  <c r="B55" i="1"/>
  <c r="B29" i="1"/>
  <c r="B21" i="1"/>
  <c r="B33" i="1"/>
  <c r="B48" i="1"/>
  <c r="B87" i="1"/>
  <c r="B49" i="1"/>
  <c r="B54" i="1"/>
  <c r="B52" i="1"/>
  <c r="B83" i="1"/>
  <c r="B64" i="1"/>
  <c r="B84" i="1"/>
  <c r="B35" i="1"/>
  <c r="B81" i="1"/>
  <c r="B19" i="1"/>
  <c r="B40" i="1"/>
  <c r="B57" i="1"/>
  <c r="B28" i="1"/>
  <c r="B14" i="1"/>
  <c r="B44" i="1"/>
  <c r="B24" i="1"/>
  <c r="B72" i="1"/>
  <c r="B67" i="1"/>
  <c r="B43" i="1"/>
  <c r="B22" i="1"/>
  <c r="B82" i="1"/>
  <c r="B18" i="1"/>
  <c r="B30" i="1"/>
  <c r="B66" i="1"/>
  <c r="B4" i="1"/>
  <c r="B13" i="1"/>
  <c r="B26" i="1"/>
  <c r="B70" i="1"/>
  <c r="B39" i="1"/>
  <c r="B65" i="1"/>
  <c r="B37" i="1"/>
  <c r="B38" i="1"/>
  <c r="B78" i="1"/>
  <c r="B6" i="1"/>
  <c r="B75" i="1"/>
  <c r="B25" i="1"/>
  <c r="B88" i="1"/>
  <c r="B80" i="1"/>
  <c r="B63" i="1"/>
  <c r="B36" i="1"/>
  <c r="B59" i="1"/>
  <c r="B34" i="1"/>
  <c r="B58" i="1"/>
  <c r="B10" i="1"/>
  <c r="B9" i="1"/>
  <c r="B20" i="1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<sst xmlns="http://schemas.openxmlformats.org/spreadsheetml/2006/main" count="3232" uniqueCount="941">
  <si>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</si>
  <si>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</si>
  <si>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</si>
  <si>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</si>
  <si>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</si>
  <si>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</si>
  <si>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</si>
  <si>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</si>
  <si>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</si>
  <si>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</si>
  <si>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</si>
  <si>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</si>
  <si>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</si>
  <si>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</si>
  <si>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</si>
  <si>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</si>
  <si>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</si>
  <si>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</si>
  <si>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</si>
  <si>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</si>
  <si>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</si>
  <si>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</si>
  <si>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</si>
  <si>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</si>
  <si>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</si>
  <si>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</si>
  <si>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</si>
  <si>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</si>
  <si>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</si>
  <si>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</si>
  <si>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</si>
  <si>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</si>
  <si>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</si>
  <si>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</si>
  <si>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</si>
  <si>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</si>
  <si>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</si>
  <si>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</si>
  <si>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</si>
  <si>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</si>
  <si>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</si>
  <si>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</si>
  <si>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</si>
  <si>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</si>
  <si>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</si>
  <si>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</si>
  <si>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</si>
  <si>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</si>
  <si>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</si>
  <si>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</si>
  <si>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</si>
  <si>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</si>
  <si>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</si>
  <si>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</si>
  <si>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</si>
  <si>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</si>
  <si>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</si>
  <si>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</si>
  <si>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</si>
  <si>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</si>
  <si>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</si>
  <si>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</si>
  <si>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</si>
  <si>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</si>
  <si>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</si>
  <si>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</si>
  <si>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</si>
  <si>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</si>
  <si>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</si>
  <si>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</si>
  <si>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</si>
  <si>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</si>
  <si>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</si>
  <si>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</si>
  <si>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</si>
  <si>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</si>
  <si>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</si>
  <si>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</si>
  <si>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</si>
  <si>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</si>
  <si>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</si>
  <si>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</si>
  <si>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</si>
  <si>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</si>
  <si>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</si>
  <si>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</si>
  <si>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</si>
  <si>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</si>
  <si>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</si>
  <si>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</si>
  <si>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</si>
  <si>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</si>
  <si>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</si>
  <si>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</si>
  <si>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</si>
  <si>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</si>
  <si>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</si>
  <si>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</si>
  <si>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</si>
  <si>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</si>
  <si>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</si>
  <si>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</si>
  <si>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</si>
  <si>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</si>
  <si>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</si>
  <si>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</si>
  <si>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</si>
  <si>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</si>
  <si>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</si>
  <si>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</si>
  <si>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</si>
  <si>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</si>
  <si>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</si>
  <si>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</si>
  <si>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</si>
  <si>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</si>
  <si>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</si>
  <si>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</si>
  <si>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</si>
  <si>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</si>
  <si>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</si>
  <si>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</si>
  <si>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</si>
  <si>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</si>
  <si>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</si>
  <si>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</si>
  <si>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</si>
  <si>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</si>
  <si>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</si>
  <si>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</si>
  <si>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</si>
  <si>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</si>
  <si>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</si>
  <si>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</si>
  <si>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</si>
  <si>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</si>
  <si>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</si>
  <si>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</si>
  <si>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</si>
  <si>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</si>
  <si>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</si>
  <si>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</si>
  <si>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</si>
  <si>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</si>
  <si>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</si>
  <si>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</si>
  <si>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</si>
  <si>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</si>
  <si>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</si>
  <si>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</si>
  <si>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</si>
  <si>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</si>
  <si>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</si>
  <si>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</si>
  <si>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</si>
  <si>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</si>
  <si>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</si>
  <si>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</si>
  <si>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</si>
  <si>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</si>
  <si>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</si>
  <si>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</si>
  <si>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</si>
  <si>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</si>
  <si>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</si>
  <si>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</si>
  <si>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</si>
  <si>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</si>
  <si>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</si>
  <si>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</si>
  <si>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</si>
  <si>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</si>
  <si>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</si>
  <si>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</si>
  <si>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</si>
  <si>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</si>
  <si>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</si>
  <si>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</si>
  <si>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</si>
  <si>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</si>
  <si>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</si>
  <si>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</si>
  <si>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</si>
  <si>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</si>
  <si>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</si>
  <si>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</si>
  <si>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</si>
  <si>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</si>
  <si>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</si>
  <si>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</si>
  <si>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</si>
  <si>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</si>
  <si>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</si>
  <si>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</si>
  <si>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</si>
  <si>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</si>
  <si>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</si>
  <si>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</si>
  <si>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</si>
  <si>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</si>
  <si>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</si>
  <si>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</si>
  <si>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</si>
  <si>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</si>
  <si>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</si>
  <si>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</si>
  <si>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</si>
  <si>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</si>
  <si>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</si>
  <si>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</si>
  <si>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</si>
  <si>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</si>
  <si>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</si>
  <si>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</si>
  <si>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</si>
  <si>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</si>
  <si>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</si>
  <si>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</si>
  <si>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</si>
  <si>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</si>
  <si>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</si>
  <si>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</si>
  <si>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</si>
  <si>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</si>
  <si>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</si>
  <si>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</si>
  <si>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</si>
  <si>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</si>
  <si>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</si>
  <si>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</si>
  <si>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</si>
  <si>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</si>
  <si>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</si>
  <si>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</si>
  <si>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</si>
  <si>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</si>
  <si>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</si>
  <si>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</si>
  <si>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</si>
  <si>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</si>
  <si>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</si>
  <si>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</si>
  <si>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</si>
  <si>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</si>
  <si>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</si>
  <si>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</si>
  <si>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</si>
  <si>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</si>
  <si>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</si>
  <si>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</si>
  <si>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</si>
  <si>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</si>
  <si>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</si>
  <si>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</si>
  <si>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</si>
  <si>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</si>
  <si>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</si>
  <si>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</si>
  <si>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</si>
  <si>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</si>
  <si>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</si>
  <si>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</si>
  <si>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</si>
  <si>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</si>
  <si>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</si>
  <si>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</si>
  <si>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</si>
  <si>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</si>
  <si>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</si>
  <si>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</si>
  <si>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</si>
  <si>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</si>
  <si>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</si>
  <si>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</si>
  <si>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</si>
  <si>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</si>
  <si>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</si>
  <si>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</si>
  <si>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</si>
  <si>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</si>
  <si>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</si>
  <si>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</si>
  <si>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</si>
  <si>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</si>
  <si>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</si>
  <si>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</si>
  <si>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</si>
  <si>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</si>
  <si>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</si>
  <si>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</si>
  <si>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</si>
  <si>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</si>
  <si>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</si>
  <si>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</si>
  <si>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</si>
  <si>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</si>
  <si>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</si>
  <si>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</si>
  <si>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</si>
  <si>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</si>
  <si>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</si>
  <si>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</si>
  <si>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</si>
  <si>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</si>
  <si>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</si>
  <si>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</si>
  <si>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</si>
  <si>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</si>
  <si>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</si>
  <si>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</si>
  <si>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</si>
  <si>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</si>
  <si>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</si>
  <si>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</si>
  <si>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</si>
  <si>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</si>
  <si>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</si>
  <si>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</si>
  <si>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</si>
  <si>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</si>
  <si>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</si>
  <si>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</si>
  <si>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</si>
  <si>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</si>
  <si>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</si>
  <si>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</si>
  <si>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</si>
  <si>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</si>
  <si>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</si>
  <si>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</si>
  <si>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</si>
  <si>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</si>
  <si>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</si>
  <si>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</si>
  <si>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</si>
  <si>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</si>
  <si>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</si>
  <si>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</si>
  <si>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</si>
  <si>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</si>
  <si>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</si>
  <si>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</si>
  <si>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</si>
  <si>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</si>
  <si>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</si>
  <si>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</si>
  <si>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</si>
  <si>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</si>
  <si>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</si>
  <si>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</si>
  <si>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</si>
  <si>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</si>
  <si>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</si>
  <si>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</si>
  <si>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</si>
  <si>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</si>
  <si>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</si>
  <si>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</si>
  <si>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</si>
  <si>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</si>
  <si>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</si>
  <si>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</si>
  <si>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</si>
  <si>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</si>
  <si>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</si>
  <si>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</si>
  <si>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</si>
  <si>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</si>
  <si>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</si>
  <si>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</si>
  <si>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</si>
  <si>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</si>
  <si>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</si>
  <si>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</si>
  <si>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</si>
  <si>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</si>
  <si>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</si>
  <si>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</si>
  <si>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</si>
  <si>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</si>
  <si>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</si>
  <si>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</si>
  <si>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</si>
  <si>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</si>
  <si>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</si>
  <si>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</si>
  <si>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</si>
  <si>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</si>
  <si>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</si>
  <si>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</si>
  <si>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</si>
  <si>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</si>
  <si>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</si>
  <si>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</si>
  <si>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</si>
  <si>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</si>
  <si>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</si>
  <si>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</si>
  <si>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</si>
  <si>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</si>
  <si>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</si>
  <si>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</si>
  <si>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</si>
  <si>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</si>
  <si>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</si>
  <si>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</si>
  <si>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</si>
  <si>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</si>
  <si>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</si>
  <si>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</si>
  <si>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</si>
  <si>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</si>
  <si>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</si>
  <si>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</si>
  <si>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</si>
  <si>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</si>
  <si>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</si>
  <si>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</si>
  <si>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</si>
  <si>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</si>
  <si>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</si>
  <si>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</si>
  <si>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</si>
  <si>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</si>
  <si>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</si>
  <si>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</si>
  <si>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</si>
  <si>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</si>
  <si>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</si>
  <si>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</si>
  <si>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</si>
  <si>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</si>
  <si>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</si>
  <si>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</si>
  <si>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</si>
  <si>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</si>
  <si>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</si>
  <si>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</si>
  <si>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</si>
  <si>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</si>
  <si>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</si>
  <si>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</si>
  <si>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</si>
  <si>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</si>
  <si>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</si>
  <si>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</si>
  <si>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</si>
  <si>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</si>
  <si>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</si>
  <si>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</si>
  <si>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</si>
  <si>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</si>
  <si>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</si>
  <si>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</si>
  <si>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</si>
  <si>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</si>
  <si>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</si>
  <si>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</si>
  <si>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</si>
  <si>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</si>
  <si>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</si>
  <si>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</si>
  <si>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</si>
  <si>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</si>
  <si>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</si>
  <si>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</si>
  <si>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</si>
  <si>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</si>
  <si>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</si>
  <si>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</si>
  <si>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</si>
  <si>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</si>
  <si>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</si>
  <si>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</si>
  <si>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</si>
  <si>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</si>
  <si>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</si>
  <si>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</si>
  <si>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</si>
  <si>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</si>
  <si>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</si>
  <si>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</si>
  <si>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</si>
  <si>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</si>
  <si>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</si>
  <si>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</si>
  <si>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</si>
  <si>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</si>
  <si>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</si>
  <si>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</si>
  <si>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</si>
  <si>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</si>
  <si>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</si>
  <si>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</si>
  <si>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</si>
  <si>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</si>
  <si>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</si>
  <si>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</si>
  <si>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</si>
  <si>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</si>
  <si>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</si>
  <si>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</si>
  <si>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</si>
  <si>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</si>
  <si>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</si>
  <si>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</si>
  <si>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</si>
  <si>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</si>
  <si>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</si>
  <si>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</si>
  <si>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</si>
  <si>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</si>
  <si>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</si>
  <si>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</si>
  <si>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</si>
  <si>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</si>
  <si>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</si>
  <si>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</si>
  <si>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</si>
  <si>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</si>
  <si>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</si>
  <si>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</si>
  <si>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</si>
  <si>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</si>
  <si>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</si>
  <si>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</si>
  <si>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</si>
  <si>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</si>
  <si>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</si>
  <si>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</si>
  <si>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</si>
  <si>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</si>
  <si>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</si>
  <si>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</si>
  <si>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</si>
  <si>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</si>
  <si>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</si>
  <si>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</si>
  <si>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</si>
  <si>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</si>
  <si>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</si>
  <si>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</si>
  <si>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</si>
  <si>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</si>
  <si>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</si>
  <si>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</si>
  <si>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</si>
  <si>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</si>
  <si>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</si>
  <si>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</si>
  <si>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</si>
  <si>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</si>
  <si>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</si>
  <si>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</si>
  <si>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</si>
  <si>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</si>
  <si>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</si>
  <si>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</si>
  <si>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</si>
  <si>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</si>
  <si>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</si>
  <si>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</si>
  <si>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</si>
  <si>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</si>
  <si>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</si>
  <si>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</si>
  <si>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</si>
  <si>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</si>
  <si>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</si>
  <si>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</si>
  <si>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</si>
  <si>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</si>
  <si>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</si>
  <si>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</si>
  <si>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</si>
  <si>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</si>
  <si>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</si>
  <si>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</si>
  <si>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</si>
  <si>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</si>
  <si>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</si>
  <si>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</si>
  <si>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</si>
  <si>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</si>
  <si>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</si>
  <si>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</si>
  <si>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</si>
  <si>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</si>
  <si>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</si>
  <si>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</si>
  <si>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</si>
  <si>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</si>
  <si>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</si>
  <si>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</si>
  <si>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</si>
  <si>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</si>
  <si>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</si>
  <si>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</si>
  <si>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</si>
  <si>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</si>
  <si>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</si>
  <si>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</si>
  <si>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</si>
  <si>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</si>
  <si>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</si>
  <si>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</si>
  <si>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</si>
  <si>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</si>
  <si>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</si>
  <si>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</si>
  <si>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</si>
  <si>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</si>
  <si>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</si>
  <si>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</si>
  <si>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</si>
  <si>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</si>
  <si>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</si>
  <si>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</si>
  <si>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</si>
  <si>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</si>
  <si>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</si>
  <si>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</si>
  <si>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</si>
  <si>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</si>
  <si>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</si>
  <si>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</si>
  <si>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</si>
  <si>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</si>
  <si>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</si>
  <si>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</si>
  <si>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</si>
  <si>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</si>
  <si>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</si>
  <si>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</si>
  <si>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</si>
  <si>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</si>
  <si>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</si>
  <si>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</si>
  <si>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</si>
  <si>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</si>
  <si>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</si>
  <si>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</si>
  <si>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</si>
  <si>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</si>
  <si>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</si>
  <si>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</si>
  <si>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</si>
  <si>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</si>
  <si>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</si>
  <si>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</si>
  <si>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</si>
  <si>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</si>
  <si>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</si>
  <si>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</si>
  <si>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</si>
  <si>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</si>
  <si>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</si>
  <si>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</si>
  <si>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</si>
  <si>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</si>
  <si>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</si>
  <si>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</si>
  <si>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</si>
  <si>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</si>
  <si>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</si>
  <si>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</si>
  <si>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</si>
  <si>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</si>
  <si>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</si>
  <si>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</si>
  <si>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</si>
  <si>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</si>
  <si>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</si>
  <si>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</si>
  <si>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</si>
  <si>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</si>
  <si>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</si>
  <si>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</si>
  <si>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</si>
  <si>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</si>
  <si>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</si>
  <si>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</si>
  <si>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</si>
  <si>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</si>
  <si>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</si>
  <si>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</si>
  <si>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</si>
  <si>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</si>
  <si>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</si>
  <si>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</si>
  <si>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</si>
  <si>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</si>
  <si>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</si>
  <si>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</si>
  <si>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</si>
  <si>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</si>
  <si>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</si>
  <si>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</si>
  <si>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</si>
  <si>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</si>
  <si>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</si>
  <si>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</si>
  <si>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</si>
  <si>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</si>
  <si>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</si>
  <si>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</si>
  <si>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</si>
  <si>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</si>
  <si>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</si>
  <si>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</si>
  <si>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</si>
  <si>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</si>
  <si>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</si>
  <si>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</si>
  <si>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</si>
  <si>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</si>
  <si>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</si>
  <si>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</si>
  <si>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</si>
  <si>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</si>
  <si>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</si>
  <si>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</si>
  <si>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</si>
  <si>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</si>
  <si>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</si>
  <si>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</si>
  <si>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</si>
  <si>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</si>
  <si>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</si>
  <si>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</si>
  <si>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</si>
  <si>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</si>
  <si>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</si>
  <si>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</si>
  <si>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</si>
  <si>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</si>
  <si>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</si>
  <si>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</si>
  <si>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</si>
  <si>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</si>
  <si>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</si>
  <si>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</si>
  <si>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</si>
  <si>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</si>
  <si>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</si>
  <si>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</si>
  <si>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</si>
  <si>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</si>
  <si>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</si>
  <si>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</si>
  <si>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</si>
  <si>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</si>
  <si>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</si>
  <si>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</si>
  <si>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</si>
  <si>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</si>
  <si>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</si>
  <si>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</si>
  <si>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</si>
  <si>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</si>
  <si>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</si>
  <si>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</si>
  <si>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</si>
  <si>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</si>
  <si>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</si>
  <si>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</si>
  <si>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</si>
  <si>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</si>
  <si>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</si>
  <si>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</si>
  <si>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</si>
  <si>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</si>
  <si>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</si>
  <si>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</si>
  <si>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</si>
  <si>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</si>
  <si>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</si>
  <si>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</si>
  <si>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</si>
  <si>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</si>
  <si>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</si>
  <si>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</si>
  <si>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</si>
  <si>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</si>
  <si>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</si>
  <si>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</si>
  <si>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</si>
  <si>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</si>
  <si>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</si>
  <si>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</si>
  <si>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</si>
  <si>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</si>
  <si>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</si>
  <si>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</si>
  <si>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</si>
  <si>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</si>
  <si>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</si>
  <si>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</si>
  <si>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</si>
  <si>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</si>
  <si>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</si>
  <si>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</si>
  <si>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</si>
  <si>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</si>
  <si>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</si>
  <si>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</si>
  <si>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</si>
  <si>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</si>
  <si>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</si>
  <si>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</si>
  <si>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</si>
  <si>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</si>
  <si>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</si>
  <si>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</si>
  <si>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</si>
  <si>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</si>
  <si>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</si>
  <si>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</si>
  <si>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</si>
  <si>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</si>
  <si>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</si>
  <si>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</si>
  <si>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</si>
  <si>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</si>
  <si>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</si>
  <si>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</si>
  <si>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</si>
  <si>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</si>
  <si>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</si>
  <si>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</si>
  <si>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</si>
  <si>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</si>
  <si>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</si>
  <si>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</si>
  <si>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</si>
  <si>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</si>
  <si>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</si>
  <si>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</si>
  <si>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</si>
  <si>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</si>
  <si>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</si>
  <si>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</si>
  <si>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</si>
  <si>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</si>
  <si>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</si>
  <si>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</si>
  <si>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</si>
  <si>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</si>
  <si>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</si>
  <si>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</si>
  <si>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</si>
  <si>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</si>
  <si>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</si>
  <si>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94-001-</t>
  </si>
  <si>
    <t>110F</t>
  </si>
  <si>
    <t>5089M</t>
  </si>
  <si>
    <t>6005FF</t>
  </si>
  <si>
    <t>6007</t>
  </si>
  <si>
    <t>6007T</t>
  </si>
  <si>
    <t>6089CM</t>
  </si>
  <si>
    <t>6089M</t>
  </si>
  <si>
    <t>6089MC</t>
  </si>
  <si>
    <t>6089MT</t>
  </si>
  <si>
    <t>6089TC</t>
  </si>
  <si>
    <t>6277</t>
  </si>
  <si>
    <t>6320</t>
  </si>
  <si>
    <t>6511</t>
  </si>
  <si>
    <t>6533</t>
  </si>
  <si>
    <t>6606</t>
  </si>
  <si>
    <t>1500KC</t>
  </si>
  <si>
    <t>1501KC</t>
  </si>
  <si>
    <t>1501P</t>
  </si>
  <si>
    <t>DARK GREY</t>
  </si>
  <si>
    <t>HEATHER GREY</t>
  </si>
  <si>
    <t>NAVY</t>
  </si>
  <si>
    <t>RED</t>
  </si>
  <si>
    <t>ROYAL</t>
  </si>
  <si>
    <t>WHITE</t>
  </si>
  <si>
    <t>BLACK</t>
  </si>
  <si>
    <t>GREY</t>
  </si>
  <si>
    <t>BLACK/PURPLE</t>
  </si>
  <si>
    <t>BLACK/RED</t>
  </si>
  <si>
    <t>BLACK/SILVER</t>
  </si>
  <si>
    <t>BLACK/TEAL</t>
  </si>
  <si>
    <t>NAVY/RED</t>
  </si>
  <si>
    <t>GREEN CAMO</t>
  </si>
  <si>
    <t>DARK HEATHER</t>
  </si>
  <si>
    <t>DARK NAVY</t>
  </si>
  <si>
    <t>MAROON</t>
  </si>
  <si>
    <t>ORANGE</t>
  </si>
  <si>
    <t>SILVER</t>
  </si>
  <si>
    <t>SPRUCE</t>
  </si>
  <si>
    <t>MULTICAM</t>
  </si>
  <si>
    <t>DARK HEATHER/BLACK</t>
  </si>
  <si>
    <t>DARK HEATHER/RED</t>
  </si>
  <si>
    <t>HEATHER/BLACK</t>
  </si>
  <si>
    <t>ROYAL/ORANGE</t>
  </si>
  <si>
    <t>CAMO/BLACK</t>
  </si>
  <si>
    <t>BROWN</t>
  </si>
  <si>
    <t>GOLD</t>
  </si>
  <si>
    <t>PURPLE</t>
  </si>
  <si>
    <t>EVERGREEN</t>
  </si>
  <si>
    <t>BABY PINK</t>
  </si>
  <si>
    <t>OLIVE</t>
  </si>
  <si>
    <t>BLAZE ORANGE</t>
  </si>
  <si>
    <t>CARAMEL</t>
  </si>
  <si>
    <t>CAROLINA BLUE</t>
  </si>
  <si>
    <t>SAND</t>
  </si>
  <si>
    <t>светло-серый / черный</t>
  </si>
  <si>
    <t>94-002-</t>
  </si>
  <si>
    <t>94-003-</t>
  </si>
  <si>
    <t>94-004-</t>
  </si>
  <si>
    <t>94-005-</t>
  </si>
  <si>
    <t>94-006-</t>
  </si>
  <si>
    <t>94-007-</t>
  </si>
  <si>
    <t>94-008-</t>
  </si>
  <si>
    <t>94-009-</t>
  </si>
  <si>
    <t>94-010-</t>
  </si>
  <si>
    <t>94-011-</t>
  </si>
  <si>
    <t>94-012-</t>
  </si>
  <si>
    <t>94-013-</t>
  </si>
  <si>
    <t>94-014-</t>
  </si>
  <si>
    <t>94-015-</t>
  </si>
  <si>
    <t>94-016-</t>
  </si>
  <si>
    <t>94-017-</t>
  </si>
  <si>
    <t>94-018-</t>
  </si>
  <si>
    <t>Вставить после словом:</t>
  </si>
  <si>
    <t>FLEXFIT</t>
  </si>
  <si>
    <t>YupoongInc; 174, Gurodong-ro, Guro-gu, 08285 Seoul, South Korea</t>
  </si>
  <si>
    <t>80% акрил - 20% шерсть</t>
  </si>
  <si>
    <t>100% акрил</t>
  </si>
  <si>
    <t>60% акрил - 40% полиэстер</t>
  </si>
  <si>
    <t>100% хлопок</t>
  </si>
  <si>
    <t>65% полиэстер - 35% хлопок</t>
  </si>
  <si>
    <t>98% хлопок - 2% полиуретан</t>
  </si>
  <si>
    <t>63% полиэстер - 34% хлопок - 3% полиуретан</t>
  </si>
  <si>
    <t>100% полиэстер</t>
  </si>
  <si>
    <t>55% полиэстер - 43% хлопок - 2% полиуретан</t>
  </si>
  <si>
    <t>44% полиэстер - 42% нейлон - 7% хлопок - 7% полиуретан</t>
  </si>
  <si>
    <t>100% гипоаллергенный акрил</t>
  </si>
  <si>
    <t>83% акрил - 15% шерсть - 2% полиуретан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</si>
</sst>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2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12" fontId="6" fillId="0" borderId="0" xfId="0" applyNumberFormat="1" applyFont="1" applyBorder="1" applyAlignment="1" applyProtection="1">
      <alignment horizontal="center" vertical="center" wrapText="1"/>
    </xf>
    <xf numFmtId="12" fontId="1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E1" zoomScale="65" zoomScaleNormal="65" workbookViewId="0">
      <pane ySplit="1" topLeftCell="A2" activePane="bottomLeft" state="frozen"/>
      <selection pane="bottomLeft" activeCell="AC7" sqref="AC7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5" width="6.7109375" style="58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820</v>
      </c>
      <c r="AK1" s="133" t="s">
        <v>821</v>
      </c>
      <c r="AL1" s="133" t="s">
        <v>822</v>
      </c>
      <c r="AM1" s="133" t="s">
        <v>823</v>
      </c>
      <c r="AN1" s="133" t="s">
        <v>824</v>
      </c>
      <c r="AO1" s="133" t="s">
        <v>825</v>
      </c>
      <c r="AP1" s="133" t="s">
        <v>826</v>
      </c>
      <c r="AQ1" s="133" t="s">
        <v>827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850</v>
      </c>
    </row>
    <row r="2" spans="1:59" s="42" customFormat="1" ht="22.15" hidden="1" customHeight="1">
      <c r="A2" s="65" t="str">
        <f t="shared" ref="A2:A88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FLEXFIT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88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88" ca="1" si="2">IF(AU2&lt;&gt;"",VLOOKUP(AU2,INDIRECT(SUBSTITUTE($J2," ","")&amp;"Manufactures"),3,0),"Требуется код страны")</f>
        <v>Требуется код страны</v>
      </c>
      <c r="AW2" s="56" t="str">
        <f t="shared" ref="AW2:AW88" ca="1" si="3">IF(AU2&lt;&gt;"",VLOOKUP(AU2,INDIRECT(SUBSTITUTE($J2," ","")&amp;"Manufactures"),2,0),"Требуется код страны")</f>
        <v>Требуется код страны</v>
      </c>
      <c r="AX2" s="141">
        <f t="shared" ref="AX2:AX88" si="4">0.05+0.05</f>
        <v>0.1</v>
      </c>
      <c r="AY2" s="56">
        <f t="shared" ref="AY2:AY88" si="5">IF(AX2&lt;&gt;"",AX2*1.5,"Требуется нетто")</f>
        <v>0.15000000000000002</v>
      </c>
      <c r="AZ2" s="56" t="str">
        <f t="shared" ref="AZ2:AZ88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88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:BC88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:BF88" si="9">IFERROR(IF(BE2,"-",IFERROR(IF(BD2&gt;0,0,1),"")),"")</f>
        <v/>
      </c>
      <c r="BG2" s="88"/>
    </row>
    <row r="3" spans="1:59" ht="98.1" customHeight="1">
      <c r="A3" s="43" t="str">
        <f t="shared" si="0"/>
        <v>110FDARK GREY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94-001-05</v>
      </c>
      <c r="C3" s="146" t="s">
        <v>854</v>
      </c>
      <c r="E3" s="43" t="str">
        <f>IF(F3&lt;&gt;"",IFERROR(VLOOKUP(F3,Категории!A:B,2,0),""),"Требуется категория")</f>
        <v>Бейсболки</v>
      </c>
      <c r="F3" s="43" t="s">
        <v>783</v>
      </c>
      <c r="G3" s="56" t="s">
        <v>927</v>
      </c>
      <c r="H3" s="43" t="s">
        <v>388</v>
      </c>
      <c r="I3" s="134"/>
      <c r="J3" s="57" t="str">
        <f>'1C'!$AJ$1</f>
        <v>FLEXFIT</v>
      </c>
      <c r="K3" s="99" t="s">
        <v>872</v>
      </c>
      <c r="L3" s="153" t="s">
        <v>277</v>
      </c>
      <c r="M3" s="62"/>
      <c r="N3" s="62"/>
      <c r="O3" s="62"/>
      <c r="P3" s="62"/>
      <c r="Q3" s="154" t="s">
        <v>940</v>
      </c>
      <c r="R3" s="64"/>
      <c r="S3" s="62" t="s">
        <v>46</v>
      </c>
      <c r="T3" s="58"/>
      <c r="U3" s="59" t="s">
        <v>382</v>
      </c>
      <c r="V3" s="58">
        <v>3</v>
      </c>
      <c r="Y3" s="58"/>
      <c r="AA3" s="58"/>
      <c r="AC3" s="58"/>
      <c r="AE3" s="58"/>
      <c r="AG3" s="58"/>
      <c r="AT3" s="57">
        <f t="shared" si="1"/>
        <v>3</v>
      </c>
      <c r="AU3" s="155" t="s">
        <v>438</v>
      </c>
      <c r="AV3" s="56" t="str">
        <f t="shared" ca="1" si="2"/>
        <v>YupoongInc; 174, Gurodong-ro, Guro-gu, 08285 Seoul, South Korea</v>
      </c>
      <c r="AW3" s="43" t="str">
        <f ca="1">IF(AU3&lt;&gt;"",VLOOKUP(AU3,INDIRECT(SUBSTITUTE($J3," ","")&amp;"Manufactures"),2,0),"Требуется код страны")</f>
        <v>Корея, Республика</v>
      </c>
      <c r="AX3" s="74">
        <f t="shared" si="4"/>
        <v>0.1</v>
      </c>
      <c r="AY3" s="43">
        <f t="shared" si="5"/>
        <v>0.15000000000000002</v>
      </c>
      <c r="AZ3" s="43">
        <f t="shared" si="6"/>
        <v>0.30000000000000004</v>
      </c>
      <c r="BA3" s="43">
        <f t="shared" si="7"/>
        <v>0.45000000000000007</v>
      </c>
      <c r="BB3" s="139">
        <v>772.22</v>
      </c>
      <c r="BC3" s="150">
        <f t="shared" si="8"/>
        <v>2316.66</v>
      </c>
      <c r="BD3" s="45">
        <f>IF(A3&lt;&gt;"",IF(_xlfn.XLOOKUP(A3,'1C'!A:A,'1C'!A:A,0,0)&gt;0,1,0),"")</f>
        <v>0</v>
      </c>
      <c r="BE3" s="145">
        <f>IF(C3&lt;&gt;"",IF(_xlfn.XLOOKUP(TEXT(C3,"###"),'1C'!W:W,'1C'!D:D,0,0)&gt;0,0,1),"")</f>
        <v>1</v>
      </c>
      <c r="BF3" s="72" t="str">
        <f t="shared" si="9"/>
        <v>-</v>
      </c>
    </row>
    <row r="4" spans="1:59" ht="98.1" customHeight="1">
      <c r="A4" s="43" t="str">
        <f t="shared" si="0"/>
        <v>110FHEATHER GREY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94-001-01</v>
      </c>
      <c r="C4" s="146" t="s">
        <v>854</v>
      </c>
      <c r="E4" s="43" t="str">
        <f>IF(F4&lt;&gt;"",IFERROR(VLOOKUP(F4,Категории!A:B,2,0),""),"Требуется категория")</f>
        <v>Бейсболки</v>
      </c>
      <c r="F4" s="43" t="s">
        <v>783</v>
      </c>
      <c r="G4" s="56" t="s">
        <v>927</v>
      </c>
      <c r="H4" s="43" t="s">
        <v>388</v>
      </c>
      <c r="J4" s="57" t="str">
        <f>'1C'!$AJ$1</f>
        <v>FLEXFIT</v>
      </c>
      <c r="K4" s="98" t="s">
        <v>873</v>
      </c>
      <c r="L4" s="148" t="s">
        <v>231</v>
      </c>
      <c r="M4" s="62"/>
      <c r="N4" s="62"/>
      <c r="O4" s="62"/>
      <c r="P4" s="62"/>
      <c r="Q4" s="154" t="s">
        <v>940</v>
      </c>
      <c r="R4" s="64"/>
      <c r="S4" s="62" t="s">
        <v>46</v>
      </c>
      <c r="T4" s="58"/>
      <c r="U4" s="59" t="s">
        <v>382</v>
      </c>
      <c r="V4" s="58">
        <v>6</v>
      </c>
      <c r="Y4" s="58"/>
      <c r="AA4" s="58"/>
      <c r="AC4" s="58"/>
      <c r="AE4" s="58"/>
      <c r="AG4" s="58"/>
      <c r="AT4" s="57">
        <f t="shared" si="1"/>
        <v>6</v>
      </c>
      <c r="AU4" s="155" t="s">
        <v>438</v>
      </c>
      <c r="AV4" s="56" t="str">
        <f t="shared" ca="1" si="2"/>
        <v>YupoongInc; 174, Gurodong-ro, Guro-gu, 08285 Seoul, South Korea</v>
      </c>
      <c r="AW4" s="43" t="str">
        <f t="shared" ca="1" si="3"/>
        <v>Корея, Республика</v>
      </c>
      <c r="AX4" s="74">
        <f t="shared" si="4"/>
        <v>0.1</v>
      </c>
      <c r="AY4" s="43">
        <f t="shared" si="5"/>
        <v>0.15000000000000002</v>
      </c>
      <c r="AZ4" s="43">
        <f t="shared" si="6"/>
        <v>0.60000000000000009</v>
      </c>
      <c r="BA4" s="43">
        <f t="shared" si="7"/>
        <v>0.90000000000000013</v>
      </c>
      <c r="BB4" s="139">
        <v>772.22</v>
      </c>
      <c r="BC4" s="150">
        <f t="shared" si="8"/>
        <v>4633.32</v>
      </c>
      <c r="BD4" s="45">
        <f>IF(A4&lt;&gt;"",IF(_xlfn.XLOOKUP(A4,'1C'!A:A,'1C'!A:A,0,0)&gt;0,1,0),"")</f>
        <v>0</v>
      </c>
      <c r="BE4" s="145">
        <f>IF(C4&lt;&gt;"",IF(_xlfn.XLOOKUP(TEXT(C4,"###"),'1C'!W:W,'1C'!D:D,0,0)&gt;0,0,1),"")</f>
        <v>1</v>
      </c>
      <c r="BF4" s="72" t="str">
        <f t="shared" si="9"/>
        <v>-</v>
      </c>
    </row>
    <row r="5" spans="1:59" ht="98.1" customHeight="1">
      <c r="A5" s="43" t="str">
        <f t="shared" si="0"/>
        <v>5089MDARK GREY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94-002-05</v>
      </c>
      <c r="C5" s="146" t="s">
        <v>855</v>
      </c>
      <c r="E5" s="43" t="str">
        <f>IF(F5&lt;&gt;"",IFERROR(VLOOKUP(F5,Категории!A:B,2,0),""),"Требуется категория")</f>
        <v>Бейсболки</v>
      </c>
      <c r="F5" s="43" t="s">
        <v>783</v>
      </c>
      <c r="G5" s="56" t="s">
        <v>927</v>
      </c>
      <c r="H5" s="43" t="s">
        <v>388</v>
      </c>
      <c r="J5" s="57" t="str">
        <f>'1C'!$AJ$1</f>
        <v>FLEXFIT</v>
      </c>
      <c r="K5" s="98" t="s">
        <v>872</v>
      </c>
      <c r="L5" s="148" t="s">
        <v>277</v>
      </c>
      <c r="M5" s="62"/>
      <c r="N5" s="62"/>
      <c r="O5" s="62"/>
      <c r="P5" s="62"/>
      <c r="Q5" s="154" t="s">
        <v>929</v>
      </c>
      <c r="R5" s="64"/>
      <c r="S5" s="62" t="s">
        <v>46</v>
      </c>
      <c r="T5" s="58"/>
      <c r="U5" s="59" t="s">
        <v>382</v>
      </c>
      <c r="V5" s="58">
        <v>8</v>
      </c>
      <c r="Y5" s="58"/>
      <c r="AA5" s="58"/>
      <c r="AC5" s="58"/>
      <c r="AE5" s="58"/>
      <c r="AG5" s="58"/>
      <c r="AT5" s="57">
        <f t="shared" si="1"/>
        <v>8</v>
      </c>
      <c r="AU5" s="155" t="s">
        <v>438</v>
      </c>
      <c r="AV5" s="56" t="str">
        <f t="shared" ca="1" si="2"/>
        <v>YupoongInc; 174, Gurodong-ro, Guro-gu, 08285 Seoul, South Korea</v>
      </c>
      <c r="AW5" s="43" t="str">
        <f t="shared" ca="1" si="3"/>
        <v>Корея, Республика</v>
      </c>
      <c r="AX5" s="74">
        <f t="shared" si="4"/>
        <v>0.1</v>
      </c>
      <c r="AY5" s="43">
        <f t="shared" si="5"/>
        <v>0.15000000000000002</v>
      </c>
      <c r="AZ5" s="43">
        <f t="shared" si="6"/>
        <v>0.8</v>
      </c>
      <c r="BA5" s="43">
        <f t="shared" si="7"/>
        <v>1.2000000000000002</v>
      </c>
      <c r="BB5" s="139">
        <v>716.67</v>
      </c>
      <c r="BC5" s="150">
        <f t="shared" si="8"/>
        <v>5733.36</v>
      </c>
      <c r="BD5" s="45">
        <f>IF(A5&lt;&gt;"",IF(_xlfn.XLOOKUP(A5,'1C'!A:A,'1C'!A:A,0,0)&gt;0,1,0),"")</f>
        <v>0</v>
      </c>
      <c r="BE5" s="145">
        <f>IF(C5&lt;&gt;"",IF(_xlfn.XLOOKUP(TEXT(C5,"###"),'1C'!W:W,'1C'!D:D,0,0)&gt;0,0,1),"")</f>
        <v>1</v>
      </c>
      <c r="BF5" s="72" t="str">
        <f t="shared" si="9"/>
        <v>-</v>
      </c>
    </row>
    <row r="6" spans="1:59" ht="98.1" customHeight="1">
      <c r="A6" s="43" t="str">
        <f t="shared" si="0"/>
        <v>5089MNAVY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94-002-16</v>
      </c>
      <c r="C6" s="147" t="s">
        <v>855</v>
      </c>
      <c r="E6" s="43" t="str">
        <f>IF(F6&lt;&gt;"",IFERROR(VLOOKUP(F6,Категории!A:B,2,0),""),"Требуется категория")</f>
        <v>Бейсболки</v>
      </c>
      <c r="F6" s="43" t="s">
        <v>783</v>
      </c>
      <c r="G6" s="56" t="s">
        <v>927</v>
      </c>
      <c r="H6" s="43" t="s">
        <v>388</v>
      </c>
      <c r="J6" s="57" t="str">
        <f>'1C'!$AJ$1</f>
        <v>FLEXFIT</v>
      </c>
      <c r="K6" s="100" t="s">
        <v>874</v>
      </c>
      <c r="L6" s="148" t="s">
        <v>55</v>
      </c>
      <c r="M6" s="62"/>
      <c r="N6" s="62"/>
      <c r="O6" s="62"/>
      <c r="P6" s="62"/>
      <c r="Q6" s="154" t="s">
        <v>929</v>
      </c>
      <c r="R6" s="64"/>
      <c r="S6" s="62" t="s">
        <v>46</v>
      </c>
      <c r="T6" s="58"/>
      <c r="U6" s="59" t="s">
        <v>382</v>
      </c>
      <c r="V6" s="58">
        <v>4</v>
      </c>
      <c r="Y6" s="58"/>
      <c r="AA6" s="58"/>
      <c r="AC6" s="58"/>
      <c r="AE6" s="58"/>
      <c r="AG6" s="58"/>
      <c r="AT6" s="57">
        <f t="shared" si="1"/>
        <v>4</v>
      </c>
      <c r="AU6" s="155" t="s">
        <v>438</v>
      </c>
      <c r="AV6" s="56" t="str">
        <f t="shared" ca="1" si="2"/>
        <v>YupoongInc; 174, Gurodong-ro, Guro-gu, 08285 Seoul, South Korea</v>
      </c>
      <c r="AW6" s="43" t="str">
        <f t="shared" ca="1" si="3"/>
        <v>Корея, Республика</v>
      </c>
      <c r="AX6" s="74">
        <f t="shared" si="4"/>
        <v>0.1</v>
      </c>
      <c r="AY6" s="43">
        <f t="shared" si="5"/>
        <v>0.15000000000000002</v>
      </c>
      <c r="AZ6" s="43">
        <f t="shared" si="6"/>
        <v>0.4</v>
      </c>
      <c r="BA6" s="43">
        <f t="shared" si="7"/>
        <v>0.60000000000000009</v>
      </c>
      <c r="BB6" s="139">
        <v>716.67</v>
      </c>
      <c r="BC6" s="150">
        <f t="shared" si="8"/>
        <v>2866.68</v>
      </c>
      <c r="BD6" s="45">
        <f>IF(A6&lt;&gt;"",IF(_xlfn.XLOOKUP(A6,'1C'!A:A,'1C'!A:A,0,0)&gt;0,1,0),"")</f>
        <v>0</v>
      </c>
      <c r="BE6" s="145">
        <f>IF(C6&lt;&gt;"",IF(_xlfn.XLOOKUP(TEXT(C6,"###"),'1C'!W:W,'1C'!D:D,0,0)&gt;0,0,1),"")</f>
        <v>1</v>
      </c>
      <c r="BF6" s="72" t="str">
        <f t="shared" si="9"/>
        <v>-</v>
      </c>
    </row>
    <row r="7" spans="1:59" ht="98.1" customHeight="1">
      <c r="A7" s="43" t="str">
        <f t="shared" si="0"/>
        <v>5089MRED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94-002-18</v>
      </c>
      <c r="C7" s="147" t="s">
        <v>855</v>
      </c>
      <c r="E7" s="43" t="str">
        <f>IF(F7&lt;&gt;"",IFERROR(VLOOKUP(F7,Категории!A:B,2,0),""),"Требуется категория")</f>
        <v>Бейсболки</v>
      </c>
      <c r="F7" s="43" t="s">
        <v>783</v>
      </c>
      <c r="G7" s="56" t="s">
        <v>927</v>
      </c>
      <c r="H7" s="43" t="s">
        <v>388</v>
      </c>
      <c r="J7" s="57" t="str">
        <f>'1C'!$AJ$1</f>
        <v>FLEXFIT</v>
      </c>
      <c r="K7" s="100" t="s">
        <v>875</v>
      </c>
      <c r="L7" s="148" t="s">
        <v>78</v>
      </c>
      <c r="M7" s="62"/>
      <c r="N7" s="62"/>
      <c r="O7" s="62"/>
      <c r="P7" s="62"/>
      <c r="Q7" s="154" t="s">
        <v>929</v>
      </c>
      <c r="R7" s="64"/>
      <c r="S7" s="62" t="s">
        <v>46</v>
      </c>
      <c r="T7" s="58"/>
      <c r="U7" s="59" t="s">
        <v>382</v>
      </c>
      <c r="V7" s="58">
        <v>4</v>
      </c>
      <c r="Y7" s="58"/>
      <c r="AA7" s="58"/>
      <c r="AC7" s="58"/>
      <c r="AE7" s="58"/>
      <c r="AG7" s="58"/>
      <c r="AT7" s="57">
        <f t="shared" si="1"/>
        <v>4</v>
      </c>
      <c r="AU7" s="155" t="s">
        <v>438</v>
      </c>
      <c r="AV7" s="56" t="str">
        <f t="shared" ca="1" si="2"/>
        <v>YupoongInc; 174, Gurodong-ro, Guro-gu, 08285 Seoul, South Korea</v>
      </c>
      <c r="AW7" s="43" t="str">
        <f t="shared" ca="1" si="3"/>
        <v>Корея, Республика</v>
      </c>
      <c r="AX7" s="74">
        <f t="shared" si="4"/>
        <v>0.1</v>
      </c>
      <c r="AY7" s="43">
        <f t="shared" si="5"/>
        <v>0.15000000000000002</v>
      </c>
      <c r="AZ7" s="43">
        <f t="shared" si="6"/>
        <v>0.4</v>
      </c>
      <c r="BA7" s="43">
        <f t="shared" si="7"/>
        <v>0.60000000000000009</v>
      </c>
      <c r="BB7" s="139">
        <v>716.67</v>
      </c>
      <c r="BC7" s="150">
        <f t="shared" si="8"/>
        <v>2866.68</v>
      </c>
      <c r="BD7" s="45">
        <f>IF(A7&lt;&gt;"",IF(_xlfn.XLOOKUP(A7,'1C'!A:A,'1C'!A:A,0,0)&gt;0,1,0),"")</f>
        <v>0</v>
      </c>
      <c r="BE7" s="145">
        <f>IF(C7&lt;&gt;"",IF(_xlfn.XLOOKUP(TEXT(C7,"###"),'1C'!W:W,'1C'!D:D,0,0)&gt;0,0,1),"")</f>
        <v>1</v>
      </c>
      <c r="BF7" s="72" t="str">
        <f t="shared" si="9"/>
        <v>-</v>
      </c>
    </row>
    <row r="8" spans="1:59" ht="98.1" customHeight="1">
      <c r="A8" s="43" t="str">
        <f t="shared" si="0"/>
        <v>5089MROYAL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94-002-06</v>
      </c>
      <c r="C8" s="147" t="s">
        <v>855</v>
      </c>
      <c r="E8" s="43" t="str">
        <f>IF(F8&lt;&gt;"",IFERROR(VLOOKUP(F8,Категории!A:B,2,0),""),"Требуется категория")</f>
        <v>Бейсболки</v>
      </c>
      <c r="F8" s="43" t="s">
        <v>783</v>
      </c>
      <c r="G8" s="56" t="s">
        <v>927</v>
      </c>
      <c r="H8" s="43" t="s">
        <v>388</v>
      </c>
      <c r="J8" s="57" t="str">
        <f>'1C'!$AJ$1</f>
        <v>FLEXFIT</v>
      </c>
      <c r="K8" s="100" t="s">
        <v>876</v>
      </c>
      <c r="L8" s="148" t="s">
        <v>71</v>
      </c>
      <c r="M8" s="62"/>
      <c r="N8" s="62"/>
      <c r="O8" s="62"/>
      <c r="P8" s="62"/>
      <c r="Q8" s="154" t="s">
        <v>929</v>
      </c>
      <c r="R8" s="64"/>
      <c r="S8" s="62" t="s">
        <v>46</v>
      </c>
      <c r="T8" s="58"/>
      <c r="U8" s="59" t="s">
        <v>382</v>
      </c>
      <c r="V8" s="58">
        <v>3</v>
      </c>
      <c r="Y8" s="58"/>
      <c r="AA8" s="58"/>
      <c r="AC8" s="58"/>
      <c r="AE8" s="58"/>
      <c r="AG8" s="58"/>
      <c r="AT8" s="57">
        <f t="shared" si="1"/>
        <v>3</v>
      </c>
      <c r="AU8" s="155" t="s">
        <v>438</v>
      </c>
      <c r="AV8" s="56" t="str">
        <f t="shared" ca="1" si="2"/>
        <v>YupoongInc; 174, Gurodong-ro, Guro-gu, 08285 Seoul, South Korea</v>
      </c>
      <c r="AW8" s="43" t="str">
        <f t="shared" ca="1" si="3"/>
        <v>Корея, Республика</v>
      </c>
      <c r="AX8" s="74">
        <f t="shared" si="4"/>
        <v>0.1</v>
      </c>
      <c r="AY8" s="43">
        <f t="shared" si="5"/>
        <v>0.15000000000000002</v>
      </c>
      <c r="AZ8" s="43">
        <f t="shared" si="6"/>
        <v>0.30000000000000004</v>
      </c>
      <c r="BA8" s="43">
        <f t="shared" si="7"/>
        <v>0.45000000000000007</v>
      </c>
      <c r="BB8" s="139">
        <v>716.67</v>
      </c>
      <c r="BC8" s="150">
        <f t="shared" si="8"/>
        <v>2150.0099999999998</v>
      </c>
      <c r="BD8" s="45">
        <f>IF(A8&lt;&gt;"",IF(_xlfn.XLOOKUP(A8,'1C'!A:A,'1C'!A:A,0,0)&gt;0,1,0),"")</f>
        <v>0</v>
      </c>
      <c r="BE8" s="145">
        <f>IF(C8&lt;&gt;"",IF(_xlfn.XLOOKUP(TEXT(C8,"###"),'1C'!W:W,'1C'!D:D,0,0)&gt;0,0,1),"")</f>
        <v>1</v>
      </c>
      <c r="BF8" s="72" t="str">
        <f t="shared" si="9"/>
        <v>-</v>
      </c>
    </row>
    <row r="9" spans="1:59" ht="98.1" customHeight="1">
      <c r="A9" s="43" t="str">
        <f t="shared" si="0"/>
        <v>5089MWHITE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94-002-17</v>
      </c>
      <c r="C9" s="147" t="s">
        <v>855</v>
      </c>
      <c r="E9" s="43" t="str">
        <f>IF(F9&lt;&gt;"",IFERROR(VLOOKUP(F9,Категории!A:B,2,0),""),"Требуется категория")</f>
        <v>Бейсболки</v>
      </c>
      <c r="F9" s="43" t="s">
        <v>783</v>
      </c>
      <c r="G9" s="56" t="s">
        <v>927</v>
      </c>
      <c r="H9" s="43" t="s">
        <v>388</v>
      </c>
      <c r="J9" s="57" t="str">
        <f>'1C'!$AJ$1</f>
        <v>FLEXFIT</v>
      </c>
      <c r="K9" s="100" t="s">
        <v>877</v>
      </c>
      <c r="L9" s="148" t="s">
        <v>57</v>
      </c>
      <c r="M9" s="62"/>
      <c r="N9" s="62"/>
      <c r="O9" s="62"/>
      <c r="P9" s="62"/>
      <c r="Q9" s="154" t="s">
        <v>930</v>
      </c>
      <c r="R9" s="64"/>
      <c r="S9" s="62" t="s">
        <v>46</v>
      </c>
      <c r="T9" s="58"/>
      <c r="U9" s="59" t="s">
        <v>382</v>
      </c>
      <c r="V9" s="58">
        <v>3</v>
      </c>
      <c r="Y9" s="58"/>
      <c r="AA9" s="58"/>
      <c r="AC9" s="58"/>
      <c r="AE9" s="58"/>
      <c r="AG9" s="58"/>
      <c r="AT9" s="57">
        <f t="shared" si="1"/>
        <v>3</v>
      </c>
      <c r="AU9" s="155" t="s">
        <v>438</v>
      </c>
      <c r="AV9" s="56" t="str">
        <f t="shared" ca="1" si="2"/>
        <v>YupoongInc; 174, Gurodong-ro, Guro-gu, 08285 Seoul, South Korea</v>
      </c>
      <c r="AW9" s="43" t="str">
        <f t="shared" ca="1" si="3"/>
        <v>Корея, Республика</v>
      </c>
      <c r="AX9" s="74">
        <f t="shared" si="4"/>
        <v>0.1</v>
      </c>
      <c r="AY9" s="43">
        <f t="shared" si="5"/>
        <v>0.15000000000000002</v>
      </c>
      <c r="AZ9" s="43">
        <f t="shared" si="6"/>
        <v>0.30000000000000004</v>
      </c>
      <c r="BA9" s="43">
        <f t="shared" si="7"/>
        <v>0.45000000000000007</v>
      </c>
      <c r="BB9" s="139">
        <v>716.67</v>
      </c>
      <c r="BC9" s="150">
        <f t="shared" si="8"/>
        <v>2150.0099999999998</v>
      </c>
      <c r="BD9" s="45">
        <f>IF(A9&lt;&gt;"",IF(_xlfn.XLOOKUP(A9,'1C'!A:A,'1C'!A:A,0,0)&gt;0,1,0),"")</f>
        <v>0</v>
      </c>
      <c r="BE9" s="145">
        <f>IF(C9&lt;&gt;"",IF(_xlfn.XLOOKUP(TEXT(C9,"###"),'1C'!W:W,'1C'!D:D,0,0)&gt;0,0,1),"")</f>
        <v>1</v>
      </c>
      <c r="BF9" s="72" t="str">
        <f t="shared" si="9"/>
        <v>-</v>
      </c>
    </row>
    <row r="10" spans="1:59" ht="98.1" customHeight="1">
      <c r="A10" s="43" t="str">
        <f t="shared" si="0"/>
        <v>6005FFBLACK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94-003-09</v>
      </c>
      <c r="C10" s="147" t="s">
        <v>856</v>
      </c>
      <c r="E10" s="43" t="str">
        <f>IF(F10&lt;&gt;"",IFERROR(VLOOKUP(F10,Категории!A:B,2,0),""),"Требуется категория")</f>
        <v>Бейсболки</v>
      </c>
      <c r="F10" s="43" t="s">
        <v>783</v>
      </c>
      <c r="G10" s="56" t="s">
        <v>927</v>
      </c>
      <c r="H10" s="43" t="s">
        <v>388</v>
      </c>
      <c r="J10" s="57" t="str">
        <f>'1C'!$AJ$1</f>
        <v>FLEXFIT</v>
      </c>
      <c r="K10" s="100" t="s">
        <v>878</v>
      </c>
      <c r="L10" s="148" t="s">
        <v>53</v>
      </c>
      <c r="M10" s="62"/>
      <c r="N10" s="62"/>
      <c r="O10" s="62"/>
      <c r="P10" s="62"/>
      <c r="Q10" s="154" t="s">
        <v>931</v>
      </c>
      <c r="R10" s="64"/>
      <c r="S10" s="62" t="s">
        <v>46</v>
      </c>
      <c r="T10" s="58"/>
      <c r="U10" s="59" t="s">
        <v>382</v>
      </c>
      <c r="V10" s="58">
        <v>4</v>
      </c>
      <c r="Y10" s="58"/>
      <c r="AA10" s="58"/>
      <c r="AC10" s="58"/>
      <c r="AE10" s="58"/>
      <c r="AG10" s="58"/>
      <c r="AT10" s="57">
        <f t="shared" si="1"/>
        <v>4</v>
      </c>
      <c r="AU10" s="155" t="s">
        <v>438</v>
      </c>
      <c r="AV10" s="56" t="str">
        <f t="shared" ca="1" si="2"/>
        <v>YupoongInc; 174, Gurodong-ro, Guro-gu, 08285 Seoul, South Korea</v>
      </c>
      <c r="AW10" s="43" t="str">
        <f t="shared" ca="1" si="3"/>
        <v>Корея, Республика</v>
      </c>
      <c r="AX10" s="74">
        <f t="shared" si="4"/>
        <v>0.1</v>
      </c>
      <c r="AY10" s="43">
        <f t="shared" si="5"/>
        <v>0.15000000000000002</v>
      </c>
      <c r="AZ10" s="43">
        <f t="shared" si="6"/>
        <v>0.4</v>
      </c>
      <c r="BA10" s="43">
        <f t="shared" si="7"/>
        <v>0.60000000000000009</v>
      </c>
      <c r="BB10" s="139">
        <v>605.55999999999995</v>
      </c>
      <c r="BC10" s="150">
        <f t="shared" si="8"/>
        <v>2422.2399999999998</v>
      </c>
      <c r="BD10" s="45">
        <f>IF(A10&lt;&gt;"",IF(_xlfn.XLOOKUP(A10,'1C'!A:A,'1C'!A:A,0,0)&gt;0,1,0),"")</f>
        <v>0</v>
      </c>
      <c r="BE10" s="145">
        <f>IF(C10&lt;&gt;"",IF(_xlfn.XLOOKUP(TEXT(C10,"###"),'1C'!W:W,'1C'!D:D,0,0)&gt;0,0,1),"")</f>
        <v>1</v>
      </c>
      <c r="BF10" s="72" t="str">
        <f t="shared" si="9"/>
        <v>-</v>
      </c>
    </row>
    <row r="11" spans="1:59" ht="98.1" customHeight="1">
      <c r="A11" s="43" t="str">
        <f t="shared" si="0"/>
        <v>6005FFNAVY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94-003-16</v>
      </c>
      <c r="C11" s="147" t="s">
        <v>856</v>
      </c>
      <c r="E11" s="43" t="str">
        <f>IF(F11&lt;&gt;"",IFERROR(VLOOKUP(F11,Категории!A:B,2,0),""),"Требуется категория")</f>
        <v>Бейсболки</v>
      </c>
      <c r="F11" s="43" t="s">
        <v>783</v>
      </c>
      <c r="G11" s="56" t="s">
        <v>927</v>
      </c>
      <c r="H11" s="43" t="s">
        <v>388</v>
      </c>
      <c r="J11" s="57" t="str">
        <f>'1C'!$AJ$1</f>
        <v>FLEXFIT</v>
      </c>
      <c r="K11" s="100" t="s">
        <v>874</v>
      </c>
      <c r="L11" s="148" t="s">
        <v>55</v>
      </c>
      <c r="M11" s="62"/>
      <c r="N11" s="62"/>
      <c r="O11" s="62"/>
      <c r="P11" s="62"/>
      <c r="Q11" s="154" t="s">
        <v>931</v>
      </c>
      <c r="R11" s="64"/>
      <c r="S11" s="62" t="s">
        <v>46</v>
      </c>
      <c r="T11" s="58"/>
      <c r="U11" s="59" t="s">
        <v>382</v>
      </c>
      <c r="V11" s="58">
        <v>3</v>
      </c>
      <c r="Y11" s="58"/>
      <c r="AA11" s="58"/>
      <c r="AC11" s="58"/>
      <c r="AE11" s="58"/>
      <c r="AG11" s="58"/>
      <c r="AT11" s="57">
        <f t="shared" si="1"/>
        <v>3</v>
      </c>
      <c r="AU11" s="155" t="s">
        <v>438</v>
      </c>
      <c r="AV11" s="56" t="str">
        <f t="shared" ca="1" si="2"/>
        <v>YupoongInc; 174, Gurodong-ro, Guro-gu, 08285 Seoul, South Korea</v>
      </c>
      <c r="AW11" s="43" t="str">
        <f t="shared" ca="1" si="3"/>
        <v>Корея, Республика</v>
      </c>
      <c r="AX11" s="74">
        <f t="shared" si="4"/>
        <v>0.1</v>
      </c>
      <c r="AY11" s="43">
        <f t="shared" si="5"/>
        <v>0.15000000000000002</v>
      </c>
      <c r="AZ11" s="43">
        <f t="shared" si="6"/>
        <v>0.30000000000000004</v>
      </c>
      <c r="BA11" s="43">
        <f t="shared" si="7"/>
        <v>0.45000000000000007</v>
      </c>
      <c r="BB11" s="139">
        <v>605.55999999999995</v>
      </c>
      <c r="BC11" s="150">
        <f t="shared" si="8"/>
        <v>1816.6799999999998</v>
      </c>
      <c r="BD11" s="45">
        <f>IF(A11&lt;&gt;"",IF(_xlfn.XLOOKUP(A11,'1C'!A:A,'1C'!A:A,0,0)&gt;0,1,0),"")</f>
        <v>0</v>
      </c>
      <c r="BE11" s="145">
        <f>IF(C11&lt;&gt;"",IF(_xlfn.XLOOKUP(TEXT(C11,"###"),'1C'!W:W,'1C'!D:D,0,0)&gt;0,0,1),"")</f>
        <v>1</v>
      </c>
      <c r="BF11" s="72" t="str">
        <f t="shared" si="9"/>
        <v>-</v>
      </c>
    </row>
    <row r="12" spans="1:59" ht="98.1" customHeight="1">
      <c r="A12" s="43" t="str">
        <f t="shared" si="0"/>
        <v>6005FFRED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94-003-18</v>
      </c>
      <c r="C12" s="147" t="s">
        <v>856</v>
      </c>
      <c r="E12" s="43" t="str">
        <f>IF(F12&lt;&gt;"",IFERROR(VLOOKUP(F12,Категории!A:B,2,0),""),"Требуется категория")</f>
        <v>Бейсболки</v>
      </c>
      <c r="F12" s="43" t="s">
        <v>783</v>
      </c>
      <c r="G12" s="56" t="s">
        <v>927</v>
      </c>
      <c r="H12" s="43" t="s">
        <v>388</v>
      </c>
      <c r="J12" s="57" t="str">
        <f>'1C'!$AJ$1</f>
        <v>FLEXFIT</v>
      </c>
      <c r="K12" s="100" t="s">
        <v>875</v>
      </c>
      <c r="L12" s="148" t="s">
        <v>78</v>
      </c>
      <c r="M12" s="62"/>
      <c r="N12" s="62"/>
      <c r="O12" s="62"/>
      <c r="P12" s="62"/>
      <c r="Q12" s="154" t="s">
        <v>931</v>
      </c>
      <c r="R12" s="64"/>
      <c r="S12" s="62" t="s">
        <v>46</v>
      </c>
      <c r="T12" s="58"/>
      <c r="U12" s="59" t="s">
        <v>382</v>
      </c>
      <c r="V12" s="58">
        <v>2</v>
      </c>
      <c r="Y12" s="58"/>
      <c r="AA12" s="58"/>
      <c r="AC12" s="58"/>
      <c r="AE12" s="58"/>
      <c r="AG12" s="58"/>
      <c r="AT12" s="57">
        <f t="shared" si="1"/>
        <v>2</v>
      </c>
      <c r="AU12" s="155" t="s">
        <v>438</v>
      </c>
      <c r="AV12" s="56" t="str">
        <f t="shared" ca="1" si="2"/>
        <v>YupoongInc; 174, Gurodong-ro, Guro-gu, 08285 Seoul, South Korea</v>
      </c>
      <c r="AW12" s="43" t="str">
        <f t="shared" ca="1" si="3"/>
        <v>Корея, Республика</v>
      </c>
      <c r="AX12" s="74">
        <f t="shared" si="4"/>
        <v>0.1</v>
      </c>
      <c r="AY12" s="43">
        <f t="shared" si="5"/>
        <v>0.15000000000000002</v>
      </c>
      <c r="AZ12" s="43">
        <f t="shared" si="6"/>
        <v>0.2</v>
      </c>
      <c r="BA12" s="43">
        <f t="shared" si="7"/>
        <v>0.30000000000000004</v>
      </c>
      <c r="BB12" s="139">
        <v>605.55999999999995</v>
      </c>
      <c r="BC12" s="150">
        <f t="shared" si="8"/>
        <v>1211.1199999999999</v>
      </c>
      <c r="BD12" s="45">
        <f>IF(A12&lt;&gt;"",IF(_xlfn.XLOOKUP(A12,'1C'!A:A,'1C'!A:A,0,0)&gt;0,1,0),"")</f>
        <v>0</v>
      </c>
      <c r="BE12" s="145">
        <f>IF(C12&lt;&gt;"",IF(_xlfn.XLOOKUP(TEXT(C12,"###"),'1C'!W:W,'1C'!D:D,0,0)&gt;0,0,1),"")</f>
        <v>1</v>
      </c>
      <c r="BF12" s="72" t="str">
        <f t="shared" si="9"/>
        <v>-</v>
      </c>
    </row>
    <row r="13" spans="1:59" ht="98.1" customHeight="1">
      <c r="A13" s="43" t="str">
        <f t="shared" si="0"/>
        <v>6005FFROYAL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94-003-06</v>
      </c>
      <c r="C13" s="147" t="s">
        <v>856</v>
      </c>
      <c r="E13" s="43" t="str">
        <f>IF(F13&lt;&gt;"",IFERROR(VLOOKUP(F13,Категории!A:B,2,0),""),"Требуется категория")</f>
        <v>Бейсболки</v>
      </c>
      <c r="F13" s="43" t="s">
        <v>783</v>
      </c>
      <c r="G13" s="56" t="s">
        <v>927</v>
      </c>
      <c r="H13" s="43" t="s">
        <v>388</v>
      </c>
      <c r="J13" s="57" t="str">
        <f>'1C'!$AJ$1</f>
        <v>FLEXFIT</v>
      </c>
      <c r="K13" s="100" t="s">
        <v>876</v>
      </c>
      <c r="L13" s="148" t="s">
        <v>71</v>
      </c>
      <c r="M13" s="62"/>
      <c r="N13" s="62"/>
      <c r="O13" s="62"/>
      <c r="P13" s="62"/>
      <c r="Q13" s="154" t="s">
        <v>931</v>
      </c>
      <c r="R13" s="64"/>
      <c r="S13" s="62" t="s">
        <v>46</v>
      </c>
      <c r="T13" s="58"/>
      <c r="U13" s="59" t="s">
        <v>382</v>
      </c>
      <c r="V13" s="58">
        <v>2</v>
      </c>
      <c r="Y13" s="58"/>
      <c r="AA13" s="58"/>
      <c r="AC13" s="58"/>
      <c r="AE13" s="58"/>
      <c r="AG13" s="58"/>
      <c r="AT13" s="57">
        <f t="shared" si="1"/>
        <v>2</v>
      </c>
      <c r="AU13" s="155" t="s">
        <v>438</v>
      </c>
      <c r="AV13" s="56" t="str">
        <f t="shared" ca="1" si="2"/>
        <v>YupoongInc; 174, Gurodong-ro, Guro-gu, 08285 Seoul, South Korea</v>
      </c>
      <c r="AW13" s="43" t="str">
        <f t="shared" ca="1" si="3"/>
        <v>Корея, Республика</v>
      </c>
      <c r="AX13" s="74">
        <f t="shared" si="4"/>
        <v>0.1</v>
      </c>
      <c r="AY13" s="43">
        <f t="shared" si="5"/>
        <v>0.15000000000000002</v>
      </c>
      <c r="AZ13" s="43">
        <f t="shared" si="6"/>
        <v>0.2</v>
      </c>
      <c r="BA13" s="43">
        <f t="shared" si="7"/>
        <v>0.30000000000000004</v>
      </c>
      <c r="BB13" s="139">
        <v>605.55999999999995</v>
      </c>
      <c r="BC13" s="150">
        <f t="shared" si="8"/>
        <v>1211.1199999999999</v>
      </c>
      <c r="BD13" s="45">
        <f>IF(A13&lt;&gt;"",IF(_xlfn.XLOOKUP(A13,'1C'!A:A,'1C'!A:A,0,0)&gt;0,1,0),"")</f>
        <v>0</v>
      </c>
      <c r="BE13" s="145">
        <f>IF(C13&lt;&gt;"",IF(_xlfn.XLOOKUP(TEXT(C13,"###"),'1C'!W:W,'1C'!D:D,0,0)&gt;0,0,1),"")</f>
        <v>1</v>
      </c>
      <c r="BF13" s="72" t="str">
        <f t="shared" si="9"/>
        <v>-</v>
      </c>
    </row>
    <row r="14" spans="1:59" ht="98.1" customHeight="1">
      <c r="A14" s="43" t="str">
        <f t="shared" si="0"/>
        <v>6007BLACK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94-004-09</v>
      </c>
      <c r="C14" s="147" t="s">
        <v>857</v>
      </c>
      <c r="E14" s="43" t="str">
        <f>IF(F14&lt;&gt;"",IFERROR(VLOOKUP(F14,Категории!A:B,2,0),""),"Требуется категория")</f>
        <v>Бейсболки</v>
      </c>
      <c r="F14" s="43" t="s">
        <v>783</v>
      </c>
      <c r="G14" s="56" t="s">
        <v>927</v>
      </c>
      <c r="H14" s="43" t="s">
        <v>388</v>
      </c>
      <c r="J14" s="57" t="str">
        <f>'1C'!$AJ$1</f>
        <v>FLEXFIT</v>
      </c>
      <c r="K14" s="100" t="s">
        <v>878</v>
      </c>
      <c r="L14" s="148" t="s">
        <v>53</v>
      </c>
      <c r="M14" s="62"/>
      <c r="N14" s="62"/>
      <c r="O14" s="62"/>
      <c r="P14" s="62"/>
      <c r="Q14" s="154" t="s">
        <v>932</v>
      </c>
      <c r="R14" s="64"/>
      <c r="S14" s="62" t="s">
        <v>43</v>
      </c>
      <c r="T14" s="59" t="str">
        <f>IF(S14&lt;&gt;"",IFERROR(VLOOKUP(S14,MaterialsTypes!F:G,2,0),IFERROR(VLOOKUP(Q14,MaterialsTypes100,2,0),"")),IFERROR(VLOOKUP(Q14,MaterialsTypes100,2,0),""))</f>
        <v>Текстиль, ткань</v>
      </c>
      <c r="U14" s="59" t="s">
        <v>382</v>
      </c>
      <c r="V14" s="58">
        <v>12</v>
      </c>
      <c r="Y14" s="58"/>
      <c r="AA14" s="58"/>
      <c r="AC14" s="58"/>
      <c r="AE14" s="58"/>
      <c r="AG14" s="58"/>
      <c r="AT14" s="57">
        <f t="shared" si="1"/>
        <v>12</v>
      </c>
      <c r="AU14" s="155" t="s">
        <v>438</v>
      </c>
      <c r="AV14" s="56" t="str">
        <f t="shared" ca="1" si="2"/>
        <v>YupoongInc; 174, Gurodong-ro, Guro-gu, 08285 Seoul, South Korea</v>
      </c>
      <c r="AW14" s="43" t="str">
        <f t="shared" ca="1" si="3"/>
        <v>Корея, Республика</v>
      </c>
      <c r="AX14" s="74">
        <f t="shared" si="4"/>
        <v>0.1</v>
      </c>
      <c r="AY14" s="43">
        <f t="shared" si="5"/>
        <v>0.15000000000000002</v>
      </c>
      <c r="AZ14" s="43">
        <f t="shared" si="6"/>
        <v>1.2000000000000002</v>
      </c>
      <c r="BA14" s="43">
        <f t="shared" si="7"/>
        <v>1.8000000000000003</v>
      </c>
      <c r="BB14" s="139">
        <v>661.11</v>
      </c>
      <c r="BC14" s="150">
        <f t="shared" si="8"/>
        <v>7933.32</v>
      </c>
      <c r="BD14" s="45">
        <f>IF(A14&lt;&gt;"",IF(_xlfn.XLOOKUP(A14,'1C'!A:A,'1C'!A:A,0,0)&gt;0,1,0),"")</f>
        <v>0</v>
      </c>
      <c r="BE14" s="145">
        <f>IF(C14&lt;&gt;"",IF(_xlfn.XLOOKUP(TEXT(C14,"###"),'1C'!W:W,'1C'!D:D,0,0)&gt;0,0,1),"")</f>
        <v>1</v>
      </c>
      <c r="BF14" s="72" t="str">
        <f t="shared" si="9"/>
        <v>-</v>
      </c>
    </row>
    <row r="15" spans="1:59" ht="98.1" customHeight="1">
      <c r="A15" s="43" t="str">
        <f t="shared" si="0"/>
        <v>6007DARK GREY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94-004-05</v>
      </c>
      <c r="C15" s="147" t="s">
        <v>857</v>
      </c>
      <c r="E15" s="43" t="str">
        <f>IF(F15&lt;&gt;"",IFERROR(VLOOKUP(F15,Категории!A:B,2,0),""),"Требуется категория")</f>
        <v>Бейсболки</v>
      </c>
      <c r="F15" s="43" t="s">
        <v>783</v>
      </c>
      <c r="G15" s="56" t="s">
        <v>927</v>
      </c>
      <c r="H15" s="43" t="s">
        <v>388</v>
      </c>
      <c r="J15" s="57" t="str">
        <f>'1C'!$AJ$1</f>
        <v>FLEXFIT</v>
      </c>
      <c r="K15" s="100" t="s">
        <v>872</v>
      </c>
      <c r="L15" s="148" t="s">
        <v>277</v>
      </c>
      <c r="M15" s="62"/>
      <c r="N15" s="62"/>
      <c r="O15" s="62"/>
      <c r="P15" s="62"/>
      <c r="Q15" s="154" t="s">
        <v>932</v>
      </c>
      <c r="R15" s="64"/>
      <c r="S15" s="62" t="s">
        <v>43</v>
      </c>
      <c r="T15" s="59" t="str">
        <f>IF(S15&lt;&gt;"",IFERROR(VLOOKUP(S15,MaterialsTypes!F:G,2,0),IFERROR(VLOOKUP(Q15,MaterialsTypes100,2,0),"")),IFERROR(VLOOKUP(Q15,MaterialsTypes100,2,0),""))</f>
        <v>Текстиль, ткань</v>
      </c>
      <c r="U15" s="59" t="s">
        <v>382</v>
      </c>
      <c r="V15" s="58">
        <v>8</v>
      </c>
      <c r="Y15" s="58"/>
      <c r="AA15" s="58"/>
      <c r="AC15" s="58"/>
      <c r="AE15" s="58"/>
      <c r="AG15" s="58"/>
      <c r="AT15" s="57">
        <f t="shared" si="1"/>
        <v>8</v>
      </c>
      <c r="AU15" s="155" t="s">
        <v>438</v>
      </c>
      <c r="AV15" s="56" t="str">
        <f t="shared" ca="1" si="2"/>
        <v>YupoongInc; 174, Gurodong-ro, Guro-gu, 08285 Seoul, South Korea</v>
      </c>
      <c r="AW15" s="43" t="str">
        <f t="shared" ca="1" si="3"/>
        <v>Корея, Республика</v>
      </c>
      <c r="AX15" s="74">
        <f t="shared" si="4"/>
        <v>0.1</v>
      </c>
      <c r="AY15" s="43">
        <f t="shared" si="5"/>
        <v>0.15000000000000002</v>
      </c>
      <c r="AZ15" s="43">
        <f t="shared" si="6"/>
        <v>0.8</v>
      </c>
      <c r="BA15" s="43">
        <f t="shared" si="7"/>
        <v>1.2000000000000002</v>
      </c>
      <c r="BB15" s="139">
        <v>661.11</v>
      </c>
      <c r="BC15" s="150">
        <f t="shared" si="8"/>
        <v>5288.88</v>
      </c>
      <c r="BD15" s="45">
        <f>IF(A15&lt;&gt;"",IF(_xlfn.XLOOKUP(A15,'1C'!A:A,'1C'!A:A,0,0)&gt;0,1,0),"")</f>
        <v>0</v>
      </c>
      <c r="BE15" s="145">
        <f>IF(C15&lt;&gt;"",IF(_xlfn.XLOOKUP(TEXT(C15,"###"),'1C'!W:W,'1C'!D:D,0,0)&gt;0,0,1),"")</f>
        <v>1</v>
      </c>
      <c r="BF15" s="72" t="str">
        <f t="shared" si="9"/>
        <v>-</v>
      </c>
    </row>
    <row r="16" spans="1:59" ht="98.1" customHeight="1">
      <c r="A16" s="43" t="str">
        <f t="shared" si="0"/>
        <v>6007GREY</v>
      </c>
      <c r="B16" s="4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94-004-08</v>
      </c>
      <c r="C16" s="147" t="s">
        <v>857</v>
      </c>
      <c r="E16" s="43" t="str">
        <f>IF(F16&lt;&gt;"",IFERROR(VLOOKUP(F16,Категории!A:B,2,0),""),"Требуется категория")</f>
        <v>Бейсболки</v>
      </c>
      <c r="F16" s="43" t="s">
        <v>783</v>
      </c>
      <c r="G16" s="56" t="s">
        <v>927</v>
      </c>
      <c r="H16" s="43" t="s">
        <v>388</v>
      </c>
      <c r="J16" s="57" t="str">
        <f>'1C'!$AJ$1</f>
        <v>FLEXFIT</v>
      </c>
      <c r="K16" s="100" t="s">
        <v>879</v>
      </c>
      <c r="L16" s="148" t="s">
        <v>83</v>
      </c>
      <c r="M16" s="62"/>
      <c r="N16" s="62"/>
      <c r="O16" s="62"/>
      <c r="P16" s="62"/>
      <c r="Q16" s="154" t="s">
        <v>932</v>
      </c>
      <c r="R16" s="64"/>
      <c r="S16" s="62" t="s">
        <v>43</v>
      </c>
      <c r="T16" s="59" t="str">
        <f>IF(S16&lt;&gt;"",IFERROR(VLOOKUP(S16,MaterialsTypes!F:G,2,0),IFERROR(VLOOKUP(Q16,MaterialsTypes100,2,0),"")),IFERROR(VLOOKUP(Q16,MaterialsTypes100,2,0),""))</f>
        <v>Текстиль, ткань</v>
      </c>
      <c r="U16" s="59" t="s">
        <v>382</v>
      </c>
      <c r="V16" s="58">
        <v>6</v>
      </c>
      <c r="Y16" s="58"/>
      <c r="AA16" s="58"/>
      <c r="AC16" s="58"/>
      <c r="AE16" s="58"/>
      <c r="AG16" s="58"/>
      <c r="AT16" s="57">
        <f t="shared" si="1"/>
        <v>6</v>
      </c>
      <c r="AU16" s="155" t="s">
        <v>438</v>
      </c>
      <c r="AV16" s="56" t="str">
        <f t="shared" ca="1" si="2"/>
        <v>YupoongInc; 174, Gurodong-ro, Guro-gu, 08285 Seoul, South Korea</v>
      </c>
      <c r="AW16" s="43" t="str">
        <f t="shared" ca="1" si="3"/>
        <v>Корея, Республика</v>
      </c>
      <c r="AX16" s="74">
        <f t="shared" si="4"/>
        <v>0.1</v>
      </c>
      <c r="AY16" s="43">
        <f t="shared" si="5"/>
        <v>0.15000000000000002</v>
      </c>
      <c r="AZ16" s="43">
        <f t="shared" si="6"/>
        <v>0.60000000000000009</v>
      </c>
      <c r="BA16" s="43">
        <f t="shared" si="7"/>
        <v>0.90000000000000013</v>
      </c>
      <c r="BB16" s="139">
        <v>661.11</v>
      </c>
      <c r="BC16" s="150">
        <f t="shared" si="8"/>
        <v>3966.66</v>
      </c>
      <c r="BD16" s="45">
        <f>IF(A16&lt;&gt;"",IF(_xlfn.XLOOKUP(A16,'1C'!A:A,'1C'!A:A,0,0)&gt;0,1,0),"")</f>
        <v>0</v>
      </c>
      <c r="BE16" s="145">
        <f>IF(C16&lt;&gt;"",IF(_xlfn.XLOOKUP(TEXT(C16,"###"),'1C'!W:W,'1C'!D:D,0,0)&gt;0,0,1),"")</f>
        <v>1</v>
      </c>
      <c r="BF16" s="72" t="str">
        <f t="shared" si="9"/>
        <v>-</v>
      </c>
    </row>
    <row r="17" spans="1:58" ht="98.1" customHeight="1">
      <c r="A17" s="43" t="str">
        <f t="shared" si="0"/>
        <v>6007NAVY</v>
      </c>
      <c r="B17" s="4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94-004-16</v>
      </c>
      <c r="C17" s="147" t="s">
        <v>857</v>
      </c>
      <c r="E17" s="43" t="str">
        <f>IF(F17&lt;&gt;"",IFERROR(VLOOKUP(F17,Категории!A:B,2,0),""),"Требуется категория")</f>
        <v>Бейсболки</v>
      </c>
      <c r="F17" s="43" t="s">
        <v>783</v>
      </c>
      <c r="G17" s="56" t="s">
        <v>927</v>
      </c>
      <c r="H17" s="43" t="s">
        <v>388</v>
      </c>
      <c r="J17" s="57" t="str">
        <f>'1C'!$AJ$1</f>
        <v>FLEXFIT</v>
      </c>
      <c r="K17" s="100" t="s">
        <v>874</v>
      </c>
      <c r="L17" s="148" t="s">
        <v>55</v>
      </c>
      <c r="M17" s="62"/>
      <c r="N17" s="62"/>
      <c r="O17" s="62"/>
      <c r="P17" s="62"/>
      <c r="Q17" s="154" t="s">
        <v>932</v>
      </c>
      <c r="R17" s="64"/>
      <c r="S17" s="62" t="s">
        <v>43</v>
      </c>
      <c r="T17" s="59" t="str">
        <f>IF(S17&lt;&gt;"",IFERROR(VLOOKUP(S17,MaterialsTypes!F:G,2,0),IFERROR(VLOOKUP(Q17,MaterialsTypes100,2,0),"")),IFERROR(VLOOKUP(Q17,MaterialsTypes100,2,0),""))</f>
        <v>Текстиль, ткань</v>
      </c>
      <c r="U17" s="59" t="s">
        <v>382</v>
      </c>
      <c r="V17" s="58">
        <v>8</v>
      </c>
      <c r="Y17" s="58"/>
      <c r="AA17" s="58"/>
      <c r="AC17" s="58"/>
      <c r="AE17" s="58"/>
      <c r="AG17" s="58"/>
      <c r="AT17" s="57">
        <f t="shared" si="1"/>
        <v>8</v>
      </c>
      <c r="AU17" s="155" t="s">
        <v>438</v>
      </c>
      <c r="AV17" s="56" t="str">
        <f t="shared" ca="1" si="2"/>
        <v>YupoongInc; 174, Gurodong-ro, Guro-gu, 08285 Seoul, South Korea</v>
      </c>
      <c r="AW17" s="43" t="str">
        <f t="shared" ca="1" si="3"/>
        <v>Корея, Республика</v>
      </c>
      <c r="AX17" s="74">
        <f t="shared" si="4"/>
        <v>0.1</v>
      </c>
      <c r="AY17" s="43">
        <f t="shared" si="5"/>
        <v>0.15000000000000002</v>
      </c>
      <c r="AZ17" s="43">
        <f t="shared" si="6"/>
        <v>0.8</v>
      </c>
      <c r="BA17" s="43">
        <f t="shared" si="7"/>
        <v>1.2000000000000002</v>
      </c>
      <c r="BB17" s="139">
        <v>661.11</v>
      </c>
      <c r="BC17" s="150">
        <f t="shared" si="8"/>
        <v>5288.88</v>
      </c>
      <c r="BD17" s="45">
        <f>IF(A17&lt;&gt;"",IF(_xlfn.XLOOKUP(A17,'1C'!A:A,'1C'!A:A,0,0)&gt;0,1,0),"")</f>
        <v>0</v>
      </c>
      <c r="BE17" s="145">
        <f>IF(C17&lt;&gt;"",IF(_xlfn.XLOOKUP(TEXT(C17,"###"),'1C'!W:W,'1C'!D:D,0,0)&gt;0,0,1),"")</f>
        <v>1</v>
      </c>
      <c r="BF17" s="72" t="str">
        <f t="shared" si="9"/>
        <v>-</v>
      </c>
    </row>
    <row r="18" spans="1:58" ht="98.1" customHeight="1">
      <c r="A18" s="43" t="str">
        <f t="shared" si="0"/>
        <v>6007RED</v>
      </c>
      <c r="B18" s="4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94-004-18</v>
      </c>
      <c r="C18" s="147" t="s">
        <v>857</v>
      </c>
      <c r="E18" s="43" t="str">
        <f>IF(F18&lt;&gt;"",IFERROR(VLOOKUP(F18,Категории!A:B,2,0),""),"Требуется категория")</f>
        <v>Бейсболки</v>
      </c>
      <c r="F18" s="43" t="s">
        <v>783</v>
      </c>
      <c r="G18" s="56" t="s">
        <v>927</v>
      </c>
      <c r="H18" s="43" t="s">
        <v>388</v>
      </c>
      <c r="J18" s="57" t="str">
        <f>'1C'!$AJ$1</f>
        <v>FLEXFIT</v>
      </c>
      <c r="K18" s="100" t="s">
        <v>875</v>
      </c>
      <c r="L18" s="148" t="s">
        <v>78</v>
      </c>
      <c r="M18" s="62"/>
      <c r="N18" s="62"/>
      <c r="O18" s="62"/>
      <c r="P18" s="62"/>
      <c r="Q18" s="154" t="s">
        <v>932</v>
      </c>
      <c r="R18" s="64"/>
      <c r="S18" s="62" t="s">
        <v>43</v>
      </c>
      <c r="T18" s="59" t="str">
        <f>IF(S18&lt;&gt;"",IFERROR(VLOOKUP(S18,MaterialsTypes!F:G,2,0),IFERROR(VLOOKUP(Q18,MaterialsTypes100,2,0),"")),IFERROR(VLOOKUP(Q18,MaterialsTypes100,2,0),""))</f>
        <v>Текстиль, ткань</v>
      </c>
      <c r="U18" s="59" t="s">
        <v>382</v>
      </c>
      <c r="V18" s="58">
        <v>4</v>
      </c>
      <c r="Y18" s="58"/>
      <c r="AA18" s="58"/>
      <c r="AC18" s="58"/>
      <c r="AE18" s="58"/>
      <c r="AG18" s="58"/>
      <c r="AT18" s="57">
        <f t="shared" si="1"/>
        <v>4</v>
      </c>
      <c r="AU18" s="155" t="s">
        <v>438</v>
      </c>
      <c r="AV18" s="56" t="str">
        <f t="shared" ca="1" si="2"/>
        <v>YupoongInc; 174, Gurodong-ro, Guro-gu, 08285 Seoul, South Korea</v>
      </c>
      <c r="AW18" s="43" t="str">
        <f t="shared" ca="1" si="3"/>
        <v>Корея, Республика</v>
      </c>
      <c r="AX18" s="74">
        <f t="shared" si="4"/>
        <v>0.1</v>
      </c>
      <c r="AY18" s="43">
        <f t="shared" si="5"/>
        <v>0.15000000000000002</v>
      </c>
      <c r="AZ18" s="43">
        <f t="shared" si="6"/>
        <v>0.4</v>
      </c>
      <c r="BA18" s="43">
        <f t="shared" si="7"/>
        <v>0.60000000000000009</v>
      </c>
      <c r="BB18" s="139">
        <v>661.11</v>
      </c>
      <c r="BC18" s="150">
        <f t="shared" si="8"/>
        <v>2644.44</v>
      </c>
      <c r="BD18" s="45">
        <f>IF(A18&lt;&gt;"",IF(_xlfn.XLOOKUP(A18,'1C'!A:A,'1C'!A:A,0,0)&gt;0,1,0),"")</f>
        <v>0</v>
      </c>
      <c r="BE18" s="145">
        <f>IF(C18&lt;&gt;"",IF(_xlfn.XLOOKUP(TEXT(C18,"###"),'1C'!W:W,'1C'!D:D,0,0)&gt;0,0,1),"")</f>
        <v>1</v>
      </c>
      <c r="BF18" s="72" t="str">
        <f t="shared" si="9"/>
        <v>-</v>
      </c>
    </row>
    <row r="19" spans="1:58" ht="98.1" customHeight="1">
      <c r="A19" s="43" t="str">
        <f t="shared" si="0"/>
        <v>6007WHITE</v>
      </c>
      <c r="B19" s="4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94-004-17</v>
      </c>
      <c r="C19" s="147" t="s">
        <v>857</v>
      </c>
      <c r="E19" s="43" t="str">
        <f>IF(F19&lt;&gt;"",IFERROR(VLOOKUP(F19,Категории!A:B,2,0),""),"Требуется категория")</f>
        <v>Бейсболки</v>
      </c>
      <c r="F19" s="43" t="s">
        <v>783</v>
      </c>
      <c r="G19" s="56" t="s">
        <v>927</v>
      </c>
      <c r="H19" s="43" t="s">
        <v>388</v>
      </c>
      <c r="J19" s="57" t="str">
        <f>'1C'!$AJ$1</f>
        <v>FLEXFIT</v>
      </c>
      <c r="K19" s="100" t="s">
        <v>877</v>
      </c>
      <c r="L19" s="148" t="s">
        <v>57</v>
      </c>
      <c r="M19" s="62"/>
      <c r="N19" s="62"/>
      <c r="O19" s="62"/>
      <c r="P19" s="62"/>
      <c r="Q19" s="154" t="s">
        <v>932</v>
      </c>
      <c r="R19" s="64"/>
      <c r="S19" s="62" t="s">
        <v>43</v>
      </c>
      <c r="T19" s="59" t="str">
        <f>IF(S19&lt;&gt;"",IFERROR(VLOOKUP(S19,MaterialsTypes!F:G,2,0),IFERROR(VLOOKUP(Q19,MaterialsTypes100,2,0),"")),IFERROR(VLOOKUP(Q19,MaterialsTypes100,2,0),""))</f>
        <v>Текстиль, ткань</v>
      </c>
      <c r="U19" s="59" t="s">
        <v>382</v>
      </c>
      <c r="V19" s="58">
        <v>2</v>
      </c>
      <c r="Y19" s="58"/>
      <c r="AA19" s="58"/>
      <c r="AC19" s="58"/>
      <c r="AE19" s="58"/>
      <c r="AG19" s="58"/>
      <c r="AT19" s="57">
        <f t="shared" si="1"/>
        <v>2</v>
      </c>
      <c r="AU19" s="155" t="s">
        <v>438</v>
      </c>
      <c r="AV19" s="56" t="str">
        <f t="shared" ca="1" si="2"/>
        <v>YupoongInc; 174, Gurodong-ro, Guro-gu, 08285 Seoul, South Korea</v>
      </c>
      <c r="AW19" s="43" t="str">
        <f t="shared" ca="1" si="3"/>
        <v>Корея, Республика</v>
      </c>
      <c r="AX19" s="74">
        <f t="shared" si="4"/>
        <v>0.1</v>
      </c>
      <c r="AY19" s="43">
        <f t="shared" si="5"/>
        <v>0.15000000000000002</v>
      </c>
      <c r="AZ19" s="43">
        <f t="shared" si="6"/>
        <v>0.2</v>
      </c>
      <c r="BA19" s="43">
        <f t="shared" si="7"/>
        <v>0.30000000000000004</v>
      </c>
      <c r="BB19" s="139">
        <v>661.11</v>
      </c>
      <c r="BC19" s="150">
        <f t="shared" si="8"/>
        <v>1322.22</v>
      </c>
      <c r="BD19" s="45">
        <f>IF(A19&lt;&gt;"",IF(_xlfn.XLOOKUP(A19,'1C'!A:A,'1C'!A:A,0,0)&gt;0,1,0),"")</f>
        <v>0</v>
      </c>
      <c r="BE19" s="145">
        <f>IF(C19&lt;&gt;"",IF(_xlfn.XLOOKUP(TEXT(C19,"###"),'1C'!W:W,'1C'!D:D,0,0)&gt;0,0,1),"")</f>
        <v>1</v>
      </c>
      <c r="BF19" s="72" t="str">
        <f t="shared" si="9"/>
        <v>-</v>
      </c>
    </row>
    <row r="20" spans="1:58" ht="98.1" customHeight="1">
      <c r="A20" s="43" t="str">
        <f t="shared" si="0"/>
        <v>6007TBLACK/PURPLE</v>
      </c>
      <c r="B20" s="4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94-005-09</v>
      </c>
      <c r="C20" s="147" t="s">
        <v>858</v>
      </c>
      <c r="E20" s="43" t="str">
        <f>IF(F20&lt;&gt;"",IFERROR(VLOOKUP(F20,Категории!A:B,2,0),""),"Требуется категория")</f>
        <v>Бейсболки</v>
      </c>
      <c r="F20" s="43" t="s">
        <v>783</v>
      </c>
      <c r="G20" s="56" t="s">
        <v>927</v>
      </c>
      <c r="H20" s="43" t="s">
        <v>388</v>
      </c>
      <c r="J20" s="57" t="str">
        <f>'1C'!$AJ$1</f>
        <v>FLEXFIT</v>
      </c>
      <c r="K20" s="100" t="s">
        <v>880</v>
      </c>
      <c r="L20" s="148" t="s">
        <v>595</v>
      </c>
      <c r="M20" s="62"/>
      <c r="N20" s="62"/>
      <c r="O20" s="62"/>
      <c r="P20" s="62"/>
      <c r="Q20" s="154" t="s">
        <v>932</v>
      </c>
      <c r="R20" s="64"/>
      <c r="S20" s="62" t="s">
        <v>43</v>
      </c>
      <c r="T20" s="59" t="str">
        <f>IF(S20&lt;&gt;"",IFERROR(VLOOKUP(S20,MaterialsTypes!F:G,2,0),IFERROR(VLOOKUP(Q20,MaterialsTypes100,2,0),"")),IFERROR(VLOOKUP(Q20,MaterialsTypes100,2,0),""))</f>
        <v>Текстиль, ткань</v>
      </c>
      <c r="U20" s="59" t="s">
        <v>382</v>
      </c>
      <c r="V20" s="58">
        <v>4</v>
      </c>
      <c r="Y20" s="58"/>
      <c r="AA20" s="58"/>
      <c r="AC20" s="58"/>
      <c r="AE20" s="58"/>
      <c r="AG20" s="58"/>
      <c r="AT20" s="57">
        <f t="shared" si="1"/>
        <v>4</v>
      </c>
      <c r="AU20" s="155" t="s">
        <v>438</v>
      </c>
      <c r="AV20" s="56" t="str">
        <f t="shared" ca="1" si="2"/>
        <v>YupoongInc; 174, Gurodong-ro, Guro-gu, 08285 Seoul, South Korea</v>
      </c>
      <c r="AW20" s="43" t="str">
        <f t="shared" ca="1" si="3"/>
        <v>Корея, Республика</v>
      </c>
      <c r="AX20" s="74">
        <f t="shared" si="4"/>
        <v>0.1</v>
      </c>
      <c r="AY20" s="43">
        <f t="shared" si="5"/>
        <v>0.15000000000000002</v>
      </c>
      <c r="AZ20" s="43">
        <f t="shared" si="6"/>
        <v>0.4</v>
      </c>
      <c r="BA20" s="43">
        <f t="shared" si="7"/>
        <v>0.60000000000000009</v>
      </c>
      <c r="BB20" s="139">
        <v>661.11</v>
      </c>
      <c r="BC20" s="150">
        <f t="shared" si="8"/>
        <v>2644.44</v>
      </c>
      <c r="BD20" s="45">
        <f>IF(A20&lt;&gt;"",IF(_xlfn.XLOOKUP(A20,'1C'!A:A,'1C'!A:A,0,0)&gt;0,1,0),"")</f>
        <v>0</v>
      </c>
      <c r="BE20" s="145">
        <f>IF(C20&lt;&gt;"",IF(_xlfn.XLOOKUP(TEXT(C20,"###"),'1C'!W:W,'1C'!D:D,0,0)&gt;0,0,1),"")</f>
        <v>1</v>
      </c>
      <c r="BF20" s="72" t="str">
        <f t="shared" si="9"/>
        <v>-</v>
      </c>
    </row>
    <row r="21" spans="1:58" ht="98.1" customHeight="1">
      <c r="A21" s="43" t="str">
        <f t="shared" si="0"/>
        <v>6007TBLACK/RED</v>
      </c>
      <c r="B21" s="4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94-005-72</v>
      </c>
      <c r="C21" s="147" t="s">
        <v>858</v>
      </c>
      <c r="E21" s="43" t="str">
        <f>IF(F21&lt;&gt;"",IFERROR(VLOOKUP(F21,Категории!A:B,2,0),""),"Требуется категория")</f>
        <v>Бейсболки</v>
      </c>
      <c r="F21" s="43" t="s">
        <v>783</v>
      </c>
      <c r="G21" s="56" t="s">
        <v>927</v>
      </c>
      <c r="H21" s="43" t="s">
        <v>388</v>
      </c>
      <c r="J21" s="57" t="str">
        <f>'1C'!$AJ$1</f>
        <v>FLEXFIT</v>
      </c>
      <c r="K21" s="100" t="s">
        <v>881</v>
      </c>
      <c r="L21" s="148" t="s">
        <v>302</v>
      </c>
      <c r="M21" s="62"/>
      <c r="N21" s="62"/>
      <c r="O21" s="62"/>
      <c r="P21" s="62"/>
      <c r="Q21" s="154" t="s">
        <v>932</v>
      </c>
      <c r="R21" s="64"/>
      <c r="S21" s="62" t="s">
        <v>43</v>
      </c>
      <c r="T21" s="59" t="str">
        <f>IF(S21&lt;&gt;"",IFERROR(VLOOKUP(S21,MaterialsTypes!F:G,2,0),IFERROR(VLOOKUP(Q21,MaterialsTypes100,2,0),"")),IFERROR(VLOOKUP(Q21,MaterialsTypes100,2,0),""))</f>
        <v>Текстиль, ткань</v>
      </c>
      <c r="U21" s="59" t="s">
        <v>382</v>
      </c>
      <c r="V21" s="58">
        <v>2</v>
      </c>
      <c r="Y21" s="58"/>
      <c r="AA21" s="58"/>
      <c r="AC21" s="58"/>
      <c r="AE21" s="58"/>
      <c r="AG21" s="58"/>
      <c r="AT21" s="57">
        <f t="shared" si="1"/>
        <v>2</v>
      </c>
      <c r="AU21" s="155" t="s">
        <v>438</v>
      </c>
      <c r="AV21" s="56" t="str">
        <f t="shared" ca="1" si="2"/>
        <v>YupoongInc; 174, Gurodong-ro, Guro-gu, 08285 Seoul, South Korea</v>
      </c>
      <c r="AW21" s="43" t="str">
        <f t="shared" ca="1" si="3"/>
        <v>Корея, Республика</v>
      </c>
      <c r="AX21" s="74">
        <f t="shared" si="4"/>
        <v>0.1</v>
      </c>
      <c r="AY21" s="43">
        <f t="shared" si="5"/>
        <v>0.15000000000000002</v>
      </c>
      <c r="AZ21" s="43">
        <f t="shared" si="6"/>
        <v>0.2</v>
      </c>
      <c r="BA21" s="43">
        <f t="shared" si="7"/>
        <v>0.30000000000000004</v>
      </c>
      <c r="BB21" s="139">
        <v>661.11</v>
      </c>
      <c r="BC21" s="150">
        <f t="shared" si="8"/>
        <v>1322.22</v>
      </c>
      <c r="BD21" s="45">
        <f>IF(A21&lt;&gt;"",IF(_xlfn.XLOOKUP(A21,'1C'!A:A,'1C'!A:A,0,0)&gt;0,1,0),"")</f>
        <v>0</v>
      </c>
      <c r="BE21" s="145">
        <f>IF(C21&lt;&gt;"",IF(_xlfn.XLOOKUP(TEXT(C21,"###"),'1C'!W:W,'1C'!D:D,0,0)&gt;0,0,1),"")</f>
        <v>1</v>
      </c>
      <c r="BF21" s="72" t="str">
        <f t="shared" si="9"/>
        <v>-</v>
      </c>
    </row>
    <row r="22" spans="1:58" ht="98.1" customHeight="1">
      <c r="A22" s="43" t="str">
        <f t="shared" si="0"/>
        <v>6007TBLACK/SILVER</v>
      </c>
      <c r="B22" s="4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94-005-10</v>
      </c>
      <c r="C22" s="147" t="s">
        <v>858</v>
      </c>
      <c r="E22" s="43" t="str">
        <f>IF(F22&lt;&gt;"",IFERROR(VLOOKUP(F22,Категории!A:B,2,0),""),"Требуется категория")</f>
        <v>Бейсболки</v>
      </c>
      <c r="F22" s="43" t="s">
        <v>783</v>
      </c>
      <c r="G22" s="56" t="s">
        <v>927</v>
      </c>
      <c r="H22" s="43" t="s">
        <v>388</v>
      </c>
      <c r="J22" s="57" t="str">
        <f>'1C'!$AJ$1</f>
        <v>FLEXFIT</v>
      </c>
      <c r="K22" s="100" t="s">
        <v>882</v>
      </c>
      <c r="L22" s="148" t="s">
        <v>308</v>
      </c>
      <c r="M22" s="62"/>
      <c r="N22" s="62"/>
      <c r="O22" s="62"/>
      <c r="P22" s="62"/>
      <c r="Q22" s="154" t="s">
        <v>932</v>
      </c>
      <c r="R22" s="64"/>
      <c r="S22" s="62" t="s">
        <v>43</v>
      </c>
      <c r="T22" s="59" t="str">
        <f>IF(S22&lt;&gt;"",IFERROR(VLOOKUP(S22,MaterialsTypes!F:G,2,0),IFERROR(VLOOKUP(Q22,MaterialsTypes100,2,0),"")),IFERROR(VLOOKUP(Q22,MaterialsTypes100,2,0),""))</f>
        <v>Текстиль, ткань</v>
      </c>
      <c r="U22" s="59" t="s">
        <v>382</v>
      </c>
      <c r="V22" s="58">
        <v>6</v>
      </c>
      <c r="Y22" s="58"/>
      <c r="AA22" s="58"/>
      <c r="AC22" s="58"/>
      <c r="AE22" s="58"/>
      <c r="AG22" s="58"/>
      <c r="AT22" s="57">
        <f t="shared" si="1"/>
        <v>6</v>
      </c>
      <c r="AU22" s="155" t="s">
        <v>438</v>
      </c>
      <c r="AV22" s="56" t="str">
        <f t="shared" ca="1" si="2"/>
        <v>YupoongInc; 174, Gurodong-ro, Guro-gu, 08285 Seoul, South Korea</v>
      </c>
      <c r="AW22" s="43" t="str">
        <f t="shared" ca="1" si="3"/>
        <v>Корея, Республика</v>
      </c>
      <c r="AX22" s="74">
        <f t="shared" si="4"/>
        <v>0.1</v>
      </c>
      <c r="AY22" s="43">
        <f t="shared" si="5"/>
        <v>0.15000000000000002</v>
      </c>
      <c r="AZ22" s="43">
        <f t="shared" si="6"/>
        <v>0.60000000000000009</v>
      </c>
      <c r="BA22" s="43">
        <f t="shared" si="7"/>
        <v>0.90000000000000013</v>
      </c>
      <c r="BB22" s="139">
        <v>661.11</v>
      </c>
      <c r="BC22" s="150">
        <f t="shared" si="8"/>
        <v>3966.66</v>
      </c>
      <c r="BD22" s="45">
        <f>IF(A22&lt;&gt;"",IF(_xlfn.XLOOKUP(A22,'1C'!A:A,'1C'!A:A,0,0)&gt;0,1,0),"")</f>
        <v>0</v>
      </c>
      <c r="BE22" s="145">
        <f>IF(C22&lt;&gt;"",IF(_xlfn.XLOOKUP(TEXT(C22,"###"),'1C'!W:W,'1C'!D:D,0,0)&gt;0,0,1),"")</f>
        <v>1</v>
      </c>
      <c r="BF22" s="72" t="str">
        <f t="shared" si="9"/>
        <v>-</v>
      </c>
    </row>
    <row r="23" spans="1:58" ht="98.1" customHeight="1">
      <c r="A23" s="43" t="str">
        <f t="shared" si="0"/>
        <v>6007TBLACK/TEAL</v>
      </c>
      <c r="B23" s="4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94-005-78</v>
      </c>
      <c r="C23" s="147" t="s">
        <v>858</v>
      </c>
      <c r="E23" s="43" t="str">
        <f>IF(F23&lt;&gt;"",IFERROR(VLOOKUP(F23,Категории!A:B,2,0),""),"Требуется категория")</f>
        <v>Бейсболки</v>
      </c>
      <c r="F23" s="43" t="s">
        <v>783</v>
      </c>
      <c r="G23" s="56" t="s">
        <v>927</v>
      </c>
      <c r="H23" s="43" t="s">
        <v>388</v>
      </c>
      <c r="J23" s="57" t="str">
        <f>'1C'!$AJ$1</f>
        <v>FLEXFIT</v>
      </c>
      <c r="K23" s="100" t="s">
        <v>883</v>
      </c>
      <c r="L23" s="148" t="s">
        <v>309</v>
      </c>
      <c r="M23" s="62"/>
      <c r="N23" s="62"/>
      <c r="O23" s="62"/>
      <c r="P23" s="62"/>
      <c r="Q23" s="154" t="s">
        <v>932</v>
      </c>
      <c r="R23" s="64"/>
      <c r="S23" s="62" t="s">
        <v>43</v>
      </c>
      <c r="T23" s="59" t="str">
        <f>IF(S23&lt;&gt;"",IFERROR(VLOOKUP(S23,MaterialsTypes!F:G,2,0),IFERROR(VLOOKUP(Q23,MaterialsTypes100,2,0),"")),IFERROR(VLOOKUP(Q23,MaterialsTypes100,2,0),""))</f>
        <v>Текстиль, ткань</v>
      </c>
      <c r="U23" s="59" t="s">
        <v>382</v>
      </c>
      <c r="V23" s="58">
        <v>4</v>
      </c>
      <c r="Y23" s="58"/>
      <c r="AA23" s="58"/>
      <c r="AC23" s="58"/>
      <c r="AE23" s="58"/>
      <c r="AG23" s="58"/>
      <c r="AT23" s="57">
        <f t="shared" si="1"/>
        <v>4</v>
      </c>
      <c r="AU23" s="155" t="s">
        <v>438</v>
      </c>
      <c r="AV23" s="56" t="str">
        <f t="shared" ca="1" si="2"/>
        <v>YupoongInc; 174, Gurodong-ro, Guro-gu, 08285 Seoul, South Korea</v>
      </c>
      <c r="AW23" s="43" t="str">
        <f t="shared" ca="1" si="3"/>
        <v>Корея, Республика</v>
      </c>
      <c r="AX23" s="74">
        <f t="shared" si="4"/>
        <v>0.1</v>
      </c>
      <c r="AY23" s="43">
        <f t="shared" si="5"/>
        <v>0.15000000000000002</v>
      </c>
      <c r="AZ23" s="43">
        <f t="shared" si="6"/>
        <v>0.4</v>
      </c>
      <c r="BA23" s="43">
        <f t="shared" si="7"/>
        <v>0.60000000000000009</v>
      </c>
      <c r="BB23" s="139">
        <v>661.11</v>
      </c>
      <c r="BC23" s="150">
        <f t="shared" si="8"/>
        <v>2644.44</v>
      </c>
      <c r="BD23" s="45">
        <f>IF(A23&lt;&gt;"",IF(_xlfn.XLOOKUP(A23,'1C'!A:A,'1C'!A:A,0,0)&gt;0,1,0),"")</f>
        <v>0</v>
      </c>
      <c r="BE23" s="145">
        <f>IF(C23&lt;&gt;"",IF(_xlfn.XLOOKUP(TEXT(C23,"###"),'1C'!W:W,'1C'!D:D,0,0)&gt;0,0,1),"")</f>
        <v>1</v>
      </c>
      <c r="BF23" s="72" t="str">
        <f t="shared" si="9"/>
        <v>-</v>
      </c>
    </row>
    <row r="24" spans="1:58" ht="98.1" customHeight="1">
      <c r="A24" s="43" t="str">
        <f t="shared" si="0"/>
        <v>6007TNAVY/RED</v>
      </c>
      <c r="B24" s="4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94-005-71</v>
      </c>
      <c r="C24" s="147" t="s">
        <v>858</v>
      </c>
      <c r="E24" s="43" t="str">
        <f>IF(F24&lt;&gt;"",IFERROR(VLOOKUP(F24,Категории!A:B,2,0),""),"Требуется категория")</f>
        <v>Бейсболки</v>
      </c>
      <c r="F24" s="43" t="s">
        <v>783</v>
      </c>
      <c r="G24" s="56" t="s">
        <v>927</v>
      </c>
      <c r="H24" s="43" t="s">
        <v>388</v>
      </c>
      <c r="J24" s="57" t="str">
        <f>'1C'!$AJ$1</f>
        <v>FLEXFIT</v>
      </c>
      <c r="K24" s="100" t="s">
        <v>884</v>
      </c>
      <c r="L24" s="148" t="s">
        <v>592</v>
      </c>
      <c r="M24" s="62"/>
      <c r="N24" s="62"/>
      <c r="O24" s="62"/>
      <c r="P24" s="62"/>
      <c r="Q24" s="154" t="s">
        <v>932</v>
      </c>
      <c r="R24" s="64"/>
      <c r="S24" s="62" t="s">
        <v>43</v>
      </c>
      <c r="T24" s="59" t="str">
        <f>IF(S24&lt;&gt;"",IFERROR(VLOOKUP(S24,MaterialsTypes!F:G,2,0),IFERROR(VLOOKUP(Q24,MaterialsTypes100,2,0),"")),IFERROR(VLOOKUP(Q24,MaterialsTypes100,2,0),""))</f>
        <v>Текстиль, ткань</v>
      </c>
      <c r="U24" s="59" t="s">
        <v>382</v>
      </c>
      <c r="V24" s="58">
        <v>4</v>
      </c>
      <c r="Y24" s="58"/>
      <c r="AA24" s="58"/>
      <c r="AC24" s="58"/>
      <c r="AE24" s="58"/>
      <c r="AG24" s="58"/>
      <c r="AT24" s="57">
        <f t="shared" si="1"/>
        <v>4</v>
      </c>
      <c r="AU24" s="155" t="s">
        <v>438</v>
      </c>
      <c r="AV24" s="56" t="str">
        <f t="shared" ca="1" si="2"/>
        <v>YupoongInc; 174, Gurodong-ro, Guro-gu, 08285 Seoul, South Korea</v>
      </c>
      <c r="AW24" s="43" t="str">
        <f t="shared" ca="1" si="3"/>
        <v>Корея, Республика</v>
      </c>
      <c r="AX24" s="74">
        <f t="shared" si="4"/>
        <v>0.1</v>
      </c>
      <c r="AY24" s="43">
        <f t="shared" si="5"/>
        <v>0.15000000000000002</v>
      </c>
      <c r="AZ24" s="43">
        <f t="shared" si="6"/>
        <v>0.4</v>
      </c>
      <c r="BA24" s="43">
        <f t="shared" si="7"/>
        <v>0.60000000000000009</v>
      </c>
      <c r="BB24" s="139">
        <v>661.11</v>
      </c>
      <c r="BC24" s="150">
        <f t="shared" si="8"/>
        <v>2644.44</v>
      </c>
      <c r="BD24" s="45">
        <f>IF(A24&lt;&gt;"",IF(_xlfn.XLOOKUP(A24,'1C'!A:A,'1C'!A:A,0,0)&gt;0,1,0),"")</f>
        <v>0</v>
      </c>
      <c r="BE24" s="145">
        <f>IF(C24&lt;&gt;"",IF(_xlfn.XLOOKUP(TEXT(C24,"###"),'1C'!W:W,'1C'!D:D,0,0)&gt;0,0,1),"")</f>
        <v>1</v>
      </c>
      <c r="BF24" s="72" t="str">
        <f t="shared" si="9"/>
        <v>-</v>
      </c>
    </row>
    <row r="25" spans="1:58" ht="98.1" customHeight="1">
      <c r="A25" s="43" t="str">
        <f t="shared" si="0"/>
        <v>6089CMGREEN CAMO</v>
      </c>
      <c r="B25" s="4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94-006-00</v>
      </c>
      <c r="C25" s="147" t="s">
        <v>859</v>
      </c>
      <c r="E25" s="43" t="str">
        <f>IF(F25&lt;&gt;"",IFERROR(VLOOKUP(F25,Категории!A:B,2,0),""),"Требуется категория")</f>
        <v>Бейсболки</v>
      </c>
      <c r="F25" s="43" t="s">
        <v>783</v>
      </c>
      <c r="G25" s="56" t="s">
        <v>927</v>
      </c>
      <c r="H25" s="43" t="s">
        <v>388</v>
      </c>
      <c r="J25" s="57" t="str">
        <f>'1C'!$AJ$1</f>
        <v>FLEXFIT</v>
      </c>
      <c r="K25" s="100" t="s">
        <v>885</v>
      </c>
      <c r="L25" s="148" t="s">
        <v>158</v>
      </c>
      <c r="M25" s="62"/>
      <c r="N25" s="62"/>
      <c r="O25" s="62"/>
      <c r="P25" s="62"/>
      <c r="Q25" s="154" t="s">
        <v>933</v>
      </c>
      <c r="R25" s="64"/>
      <c r="S25" s="62"/>
      <c r="T25" s="58"/>
      <c r="U25" s="59" t="s">
        <v>382</v>
      </c>
      <c r="V25" s="58">
        <v>6</v>
      </c>
      <c r="Y25" s="58"/>
      <c r="AA25" s="58"/>
      <c r="AC25" s="58"/>
      <c r="AE25" s="58"/>
      <c r="AG25" s="58"/>
      <c r="AT25" s="57">
        <f t="shared" si="1"/>
        <v>6</v>
      </c>
      <c r="AU25" s="155" t="s">
        <v>438</v>
      </c>
      <c r="AV25" s="56" t="str">
        <f t="shared" ca="1" si="2"/>
        <v>YupoongInc; 174, Gurodong-ro, Guro-gu, 08285 Seoul, South Korea</v>
      </c>
      <c r="AW25" s="43" t="str">
        <f t="shared" ca="1" si="3"/>
        <v>Корея, Республика</v>
      </c>
      <c r="AX25" s="74">
        <f t="shared" si="4"/>
        <v>0.1</v>
      </c>
      <c r="AY25" s="43">
        <f t="shared" si="5"/>
        <v>0.15000000000000002</v>
      </c>
      <c r="AZ25" s="43">
        <f t="shared" si="6"/>
        <v>0.60000000000000009</v>
      </c>
      <c r="BA25" s="43">
        <f t="shared" si="7"/>
        <v>0.90000000000000013</v>
      </c>
      <c r="BB25" s="139">
        <v>661.11</v>
      </c>
      <c r="BC25" s="150">
        <f t="shared" si="8"/>
        <v>3966.66</v>
      </c>
      <c r="BD25" s="45">
        <f>IF(A25&lt;&gt;"",IF(_xlfn.XLOOKUP(A25,'1C'!A:A,'1C'!A:A,0,0)&gt;0,1,0),"")</f>
        <v>0</v>
      </c>
      <c r="BE25" s="145">
        <f>IF(C25&lt;&gt;"",IF(_xlfn.XLOOKUP(TEXT(C25,"###"),'1C'!W:W,'1C'!D:D,0,0)&gt;0,0,1),"")</f>
        <v>1</v>
      </c>
      <c r="BF25" s="72" t="str">
        <f t="shared" si="9"/>
        <v>-</v>
      </c>
    </row>
    <row r="26" spans="1:58" ht="98.1" customHeight="1">
      <c r="A26" s="43" t="str">
        <f t="shared" si="0"/>
        <v>6089MBLACK</v>
      </c>
      <c r="B26" s="4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94-007-09</v>
      </c>
      <c r="C26" s="147" t="s">
        <v>860</v>
      </c>
      <c r="E26" s="43" t="str">
        <f>IF(F26&lt;&gt;"",IFERROR(VLOOKUP(F26,Категории!A:B,2,0),""),"Требуется категория")</f>
        <v>Бейсболки</v>
      </c>
      <c r="F26" s="43" t="s">
        <v>783</v>
      </c>
      <c r="G26" s="56" t="s">
        <v>927</v>
      </c>
      <c r="H26" s="43" t="s">
        <v>388</v>
      </c>
      <c r="J26" s="57" t="str">
        <f>'1C'!$AJ$1</f>
        <v>FLEXFIT</v>
      </c>
      <c r="K26" s="100" t="s">
        <v>878</v>
      </c>
      <c r="L26" s="148" t="s">
        <v>53</v>
      </c>
      <c r="M26" s="62"/>
      <c r="N26" s="62"/>
      <c r="O26" s="62"/>
      <c r="P26" s="62"/>
      <c r="Q26" s="154" t="s">
        <v>929</v>
      </c>
      <c r="R26" s="64"/>
      <c r="S26" s="62"/>
      <c r="T26" s="58"/>
      <c r="U26" s="59" t="s">
        <v>382</v>
      </c>
      <c r="V26" s="58">
        <v>2</v>
      </c>
      <c r="Y26" s="58"/>
      <c r="AA26" s="58"/>
      <c r="AC26" s="58"/>
      <c r="AE26" s="58"/>
      <c r="AG26" s="58"/>
      <c r="AT26" s="57">
        <f t="shared" si="1"/>
        <v>2</v>
      </c>
      <c r="AU26" s="155" t="s">
        <v>438</v>
      </c>
      <c r="AV26" s="56" t="str">
        <f t="shared" ca="1" si="2"/>
        <v>YupoongInc; 174, Gurodong-ro, Guro-gu, 08285 Seoul, South Korea</v>
      </c>
      <c r="AW26" s="43" t="str">
        <f t="shared" ca="1" si="3"/>
        <v>Корея, Республика</v>
      </c>
      <c r="AX26" s="74">
        <f t="shared" si="4"/>
        <v>0.1</v>
      </c>
      <c r="AY26" s="43">
        <f t="shared" si="5"/>
        <v>0.15000000000000002</v>
      </c>
      <c r="AZ26" s="43">
        <f t="shared" si="6"/>
        <v>0.2</v>
      </c>
      <c r="BA26" s="43">
        <f t="shared" si="7"/>
        <v>0.30000000000000004</v>
      </c>
      <c r="BB26" s="139">
        <v>661.11</v>
      </c>
      <c r="BC26" s="150">
        <f t="shared" si="8"/>
        <v>1322.22</v>
      </c>
      <c r="BD26" s="45">
        <f>IF(A26&lt;&gt;"",IF(_xlfn.XLOOKUP(A26,'1C'!A:A,'1C'!A:A,0,0)&gt;0,1,0),"")</f>
        <v>0</v>
      </c>
      <c r="BE26" s="145">
        <f>IF(C26&lt;&gt;"",IF(_xlfn.XLOOKUP(TEXT(C26,"###"),'1C'!W:W,'1C'!D:D,0,0)&gt;0,0,1),"")</f>
        <v>1</v>
      </c>
      <c r="BF26" s="72" t="str">
        <f t="shared" si="9"/>
        <v>-</v>
      </c>
    </row>
    <row r="27" spans="1:58" ht="98.1" customHeight="1">
      <c r="A27" s="43" t="str">
        <f t="shared" si="0"/>
        <v>6089MDARK GREY</v>
      </c>
      <c r="B27" s="4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94-007-05</v>
      </c>
      <c r="C27" s="147" t="s">
        <v>860</v>
      </c>
      <c r="E27" s="43" t="str">
        <f>IF(F27&lt;&gt;"",IFERROR(VLOOKUP(F27,Категории!A:B,2,0),""),"Требуется категория")</f>
        <v>Бейсболки</v>
      </c>
      <c r="F27" s="43" t="s">
        <v>783</v>
      </c>
      <c r="G27" s="56" t="s">
        <v>927</v>
      </c>
      <c r="H27" s="43" t="s">
        <v>388</v>
      </c>
      <c r="J27" s="57" t="str">
        <f>'1C'!$AJ$1</f>
        <v>FLEXFIT</v>
      </c>
      <c r="K27" s="100" t="s">
        <v>872</v>
      </c>
      <c r="L27" s="148" t="s">
        <v>277</v>
      </c>
      <c r="M27" s="62"/>
      <c r="N27" s="62"/>
      <c r="O27" s="62"/>
      <c r="P27" s="62"/>
      <c r="Q27" s="154" t="s">
        <v>929</v>
      </c>
      <c r="R27" s="64"/>
      <c r="S27" s="62"/>
      <c r="T27" s="58"/>
      <c r="U27" s="59" t="s">
        <v>382</v>
      </c>
      <c r="V27" s="58">
        <v>16</v>
      </c>
      <c r="Y27" s="58"/>
      <c r="AA27" s="58"/>
      <c r="AC27" s="58"/>
      <c r="AE27" s="58"/>
      <c r="AG27" s="58"/>
      <c r="AT27" s="57">
        <f t="shared" si="1"/>
        <v>16</v>
      </c>
      <c r="AU27" s="155" t="s">
        <v>438</v>
      </c>
      <c r="AV27" s="56" t="str">
        <f t="shared" ca="1" si="2"/>
        <v>YupoongInc; 174, Gurodong-ro, Guro-gu, 08285 Seoul, South Korea</v>
      </c>
      <c r="AW27" s="43" t="str">
        <f t="shared" ca="1" si="3"/>
        <v>Корея, Республика</v>
      </c>
      <c r="AX27" s="74">
        <f t="shared" si="4"/>
        <v>0.1</v>
      </c>
      <c r="AY27" s="43">
        <f t="shared" si="5"/>
        <v>0.15000000000000002</v>
      </c>
      <c r="AZ27" s="43">
        <f t="shared" si="6"/>
        <v>1.6</v>
      </c>
      <c r="BA27" s="43">
        <f t="shared" si="7"/>
        <v>2.4000000000000004</v>
      </c>
      <c r="BB27" s="139">
        <v>661.11</v>
      </c>
      <c r="BC27" s="150">
        <f t="shared" si="8"/>
        <v>10577.76</v>
      </c>
      <c r="BD27" s="45">
        <f>IF(A27&lt;&gt;"",IF(_xlfn.XLOOKUP(A27,'1C'!A:A,'1C'!A:A,0,0)&gt;0,1,0),"")</f>
        <v>0</v>
      </c>
      <c r="BE27" s="145">
        <f>IF(C27&lt;&gt;"",IF(_xlfn.XLOOKUP(TEXT(C27,"###"),'1C'!W:W,'1C'!D:D,0,0)&gt;0,0,1),"")</f>
        <v>1</v>
      </c>
      <c r="BF27" s="72" t="str">
        <f t="shared" si="9"/>
        <v>-</v>
      </c>
    </row>
    <row r="28" spans="1:58" ht="98.1" customHeight="1">
      <c r="A28" s="43" t="str">
        <f t="shared" si="0"/>
        <v>6089MDARK HEATHER</v>
      </c>
      <c r="B28" s="4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94-007-01</v>
      </c>
      <c r="C28" s="147" t="s">
        <v>860</v>
      </c>
      <c r="E28" s="43" t="str">
        <f>IF(F28&lt;&gt;"",IFERROR(VLOOKUP(F28,Категории!A:B,2,0),""),"Требуется категория")</f>
        <v>Бейсболки</v>
      </c>
      <c r="F28" s="43" t="s">
        <v>783</v>
      </c>
      <c r="G28" s="56" t="s">
        <v>927</v>
      </c>
      <c r="H28" s="43" t="s">
        <v>388</v>
      </c>
      <c r="J28" s="57" t="str">
        <f>'1C'!$AJ$1</f>
        <v>FLEXFIT</v>
      </c>
      <c r="K28" s="100" t="s">
        <v>886</v>
      </c>
      <c r="L28" s="148" t="s">
        <v>231</v>
      </c>
      <c r="M28" s="62"/>
      <c r="N28" s="62"/>
      <c r="O28" s="62"/>
      <c r="P28" s="62"/>
      <c r="Q28" s="154" t="s">
        <v>929</v>
      </c>
      <c r="R28" s="64"/>
      <c r="S28" s="62"/>
      <c r="T28" s="58"/>
      <c r="U28" s="59" t="s">
        <v>382</v>
      </c>
      <c r="V28" s="58">
        <v>14</v>
      </c>
      <c r="Y28" s="58"/>
      <c r="AA28" s="58"/>
      <c r="AC28" s="58"/>
      <c r="AE28" s="58"/>
      <c r="AG28" s="58"/>
      <c r="AT28" s="57">
        <f t="shared" si="1"/>
        <v>14</v>
      </c>
      <c r="AU28" s="155" t="s">
        <v>438</v>
      </c>
      <c r="AV28" s="56" t="str">
        <f t="shared" ca="1" si="2"/>
        <v>YupoongInc; 174, Gurodong-ro, Guro-gu, 08285 Seoul, South Korea</v>
      </c>
      <c r="AW28" s="43" t="str">
        <f t="shared" ca="1" si="3"/>
        <v>Корея, Республика</v>
      </c>
      <c r="AX28" s="74">
        <f t="shared" si="4"/>
        <v>0.1</v>
      </c>
      <c r="AY28" s="43">
        <f t="shared" si="5"/>
        <v>0.15000000000000002</v>
      </c>
      <c r="AZ28" s="43">
        <f t="shared" si="6"/>
        <v>1.4000000000000001</v>
      </c>
      <c r="BA28" s="43">
        <f t="shared" si="7"/>
        <v>2.1000000000000005</v>
      </c>
      <c r="BB28" s="139">
        <v>661.11</v>
      </c>
      <c r="BC28" s="150">
        <f t="shared" si="8"/>
        <v>9255.5400000000009</v>
      </c>
      <c r="BD28" s="45">
        <f>IF(A28&lt;&gt;"",IF(_xlfn.XLOOKUP(A28,'1C'!A:A,'1C'!A:A,0,0)&gt;0,1,0),"")</f>
        <v>0</v>
      </c>
      <c r="BE28" s="145">
        <f>IF(C28&lt;&gt;"",IF(_xlfn.XLOOKUP(TEXT(C28,"###"),'1C'!W:W,'1C'!D:D,0,0)&gt;0,0,1),"")</f>
        <v>1</v>
      </c>
      <c r="BF28" s="72" t="str">
        <f t="shared" si="9"/>
        <v>-</v>
      </c>
    </row>
    <row r="29" spans="1:58" ht="98.1" customHeight="1">
      <c r="A29" s="43" t="str">
        <f t="shared" si="0"/>
        <v>6089MDARK NAVY</v>
      </c>
      <c r="B29" s="4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94-007-19</v>
      </c>
      <c r="C29" s="147" t="s">
        <v>860</v>
      </c>
      <c r="E29" s="43" t="str">
        <f>IF(F29&lt;&gt;"",IFERROR(VLOOKUP(F29,Категории!A:B,2,0),""),"Требуется категория")</f>
        <v>Бейсболки</v>
      </c>
      <c r="F29" s="43" t="s">
        <v>783</v>
      </c>
      <c r="G29" s="56" t="s">
        <v>927</v>
      </c>
      <c r="H29" s="43" t="s">
        <v>388</v>
      </c>
      <c r="J29" s="57" t="str">
        <f>'1C'!$AJ$1</f>
        <v>FLEXFIT</v>
      </c>
      <c r="K29" s="100" t="s">
        <v>887</v>
      </c>
      <c r="L29" s="148" t="s">
        <v>233</v>
      </c>
      <c r="M29" s="62"/>
      <c r="N29" s="62"/>
      <c r="O29" s="62"/>
      <c r="P29" s="62"/>
      <c r="Q29" s="154" t="s">
        <v>929</v>
      </c>
      <c r="R29" s="64"/>
      <c r="S29" s="62"/>
      <c r="T29" s="58"/>
      <c r="U29" s="59" t="s">
        <v>382</v>
      </c>
      <c r="V29" s="58">
        <v>16</v>
      </c>
      <c r="Y29" s="58"/>
      <c r="AA29" s="58"/>
      <c r="AC29" s="58"/>
      <c r="AE29" s="58"/>
      <c r="AG29" s="58"/>
      <c r="AT29" s="57">
        <f t="shared" si="1"/>
        <v>16</v>
      </c>
      <c r="AU29" s="155" t="s">
        <v>438</v>
      </c>
      <c r="AV29" s="56" t="str">
        <f t="shared" ca="1" si="2"/>
        <v>YupoongInc; 174, Gurodong-ro, Guro-gu, 08285 Seoul, South Korea</v>
      </c>
      <c r="AW29" s="43" t="str">
        <f t="shared" ca="1" si="3"/>
        <v>Корея, Республика</v>
      </c>
      <c r="AX29" s="74">
        <f t="shared" si="4"/>
        <v>0.1</v>
      </c>
      <c r="AY29" s="43">
        <f t="shared" si="5"/>
        <v>0.15000000000000002</v>
      </c>
      <c r="AZ29" s="43">
        <f t="shared" si="6"/>
        <v>1.6</v>
      </c>
      <c r="BA29" s="43">
        <f t="shared" si="7"/>
        <v>2.4000000000000004</v>
      </c>
      <c r="BB29" s="139">
        <v>661.11</v>
      </c>
      <c r="BC29" s="150">
        <f t="shared" si="8"/>
        <v>10577.76</v>
      </c>
      <c r="BD29" s="45">
        <f>IF(A29&lt;&gt;"",IF(_xlfn.XLOOKUP(A29,'1C'!A:A,'1C'!A:A,0,0)&gt;0,1,0),"")</f>
        <v>0</v>
      </c>
      <c r="BE29" s="145">
        <f>IF(C29&lt;&gt;"",IF(_xlfn.XLOOKUP(TEXT(C29,"###"),'1C'!W:W,'1C'!D:D,0,0)&gt;0,0,1),"")</f>
        <v>1</v>
      </c>
      <c r="BF29" s="72" t="str">
        <f t="shared" si="9"/>
        <v>-</v>
      </c>
    </row>
    <row r="30" spans="1:58" ht="98.1" customHeight="1">
      <c r="A30" s="43" t="str">
        <f t="shared" si="0"/>
        <v>6089MMAROON</v>
      </c>
      <c r="B30" s="4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94-007-12</v>
      </c>
      <c r="C30" s="147" t="s">
        <v>860</v>
      </c>
      <c r="E30" s="43" t="str">
        <f>IF(F30&lt;&gt;"",IFERROR(VLOOKUP(F30,Категории!A:B,2,0),""),"Требуется категория")</f>
        <v>Бейсболки</v>
      </c>
      <c r="F30" s="43" t="s">
        <v>783</v>
      </c>
      <c r="G30" s="56" t="s">
        <v>927</v>
      </c>
      <c r="H30" s="43" t="s">
        <v>388</v>
      </c>
      <c r="J30" s="59" t="str">
        <f>'1C'!$AJ$1</f>
        <v>FLEXFIT</v>
      </c>
      <c r="K30" s="100" t="s">
        <v>888</v>
      </c>
      <c r="L30" s="148" t="s">
        <v>121</v>
      </c>
      <c r="M30" s="62"/>
      <c r="N30" s="62"/>
      <c r="O30" s="62"/>
      <c r="P30" s="62"/>
      <c r="Q30" s="154" t="s">
        <v>929</v>
      </c>
      <c r="R30" s="64"/>
      <c r="S30" s="62"/>
      <c r="T30" s="58"/>
      <c r="U30" s="59" t="s">
        <v>382</v>
      </c>
      <c r="V30" s="58">
        <v>7</v>
      </c>
      <c r="Y30" s="58"/>
      <c r="AA30" s="58"/>
      <c r="AC30" s="58"/>
      <c r="AE30" s="58"/>
      <c r="AG30" s="58"/>
      <c r="AT30" s="57">
        <f t="shared" si="1"/>
        <v>7</v>
      </c>
      <c r="AU30" s="155" t="s">
        <v>438</v>
      </c>
      <c r="AV30" s="56" t="str">
        <f t="shared" ca="1" si="2"/>
        <v>YupoongInc; 174, Gurodong-ro, Guro-gu, 08285 Seoul, South Korea</v>
      </c>
      <c r="AW30" s="43" t="str">
        <f t="shared" ca="1" si="3"/>
        <v>Корея, Республика</v>
      </c>
      <c r="AX30" s="74">
        <f t="shared" si="4"/>
        <v>0.1</v>
      </c>
      <c r="AY30" s="43">
        <f t="shared" si="5"/>
        <v>0.15000000000000002</v>
      </c>
      <c r="AZ30" s="43">
        <f t="shared" si="6"/>
        <v>0.70000000000000007</v>
      </c>
      <c r="BA30" s="43">
        <f t="shared" si="7"/>
        <v>1.0500000000000003</v>
      </c>
      <c r="BB30" s="139">
        <v>661.11</v>
      </c>
      <c r="BC30" s="150">
        <f t="shared" si="8"/>
        <v>4627.7700000000004</v>
      </c>
      <c r="BD30" s="45">
        <f>IF(A30&lt;&gt;"",IF(_xlfn.XLOOKUP(A30,'1C'!A:A,'1C'!A:A,0,0)&gt;0,1,0),"")</f>
        <v>0</v>
      </c>
      <c r="BE30" s="145">
        <f>IF(C30&lt;&gt;"",IF(_xlfn.XLOOKUP(TEXT(C30,"###"),'1C'!W:W,'1C'!D:D,0,0)&gt;0,0,1),"")</f>
        <v>1</v>
      </c>
      <c r="BF30" s="72" t="str">
        <f t="shared" si="9"/>
        <v>-</v>
      </c>
    </row>
    <row r="31" spans="1:58" ht="98.1" customHeight="1">
      <c r="A31" s="43" t="str">
        <f t="shared" si="0"/>
        <v>6089MNAVY</v>
      </c>
      <c r="B31" s="4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94-007-16</v>
      </c>
      <c r="C31" s="147" t="s">
        <v>860</v>
      </c>
      <c r="E31" s="43" t="str">
        <f>IF(F31&lt;&gt;"",IFERROR(VLOOKUP(F31,Категории!A:B,2,0),""),"Требуется категория")</f>
        <v>Бейсболки</v>
      </c>
      <c r="F31" s="43" t="s">
        <v>783</v>
      </c>
      <c r="G31" s="56" t="s">
        <v>927</v>
      </c>
      <c r="H31" s="43" t="s">
        <v>388</v>
      </c>
      <c r="J31" s="59" t="str">
        <f>'1C'!$AJ$1</f>
        <v>FLEXFIT</v>
      </c>
      <c r="K31" s="100" t="s">
        <v>874</v>
      </c>
      <c r="L31" s="148" t="s">
        <v>55</v>
      </c>
      <c r="M31" s="62"/>
      <c r="N31" s="62"/>
      <c r="O31" s="62"/>
      <c r="P31" s="62"/>
      <c r="Q31" s="154" t="s">
        <v>929</v>
      </c>
      <c r="R31" s="64"/>
      <c r="S31" s="62"/>
      <c r="T31" s="58"/>
      <c r="U31" s="59" t="s">
        <v>382</v>
      </c>
      <c r="V31" s="58">
        <v>10</v>
      </c>
      <c r="Y31" s="58"/>
      <c r="AA31" s="58"/>
      <c r="AC31" s="58"/>
      <c r="AE31" s="58"/>
      <c r="AG31" s="58"/>
      <c r="AT31" s="57">
        <f t="shared" si="1"/>
        <v>10</v>
      </c>
      <c r="AU31" s="155" t="s">
        <v>438</v>
      </c>
      <c r="AV31" s="56" t="str">
        <f t="shared" ca="1" si="2"/>
        <v>YupoongInc; 174, Gurodong-ro, Guro-gu, 08285 Seoul, South Korea</v>
      </c>
      <c r="AW31" s="43" t="str">
        <f t="shared" ca="1" si="3"/>
        <v>Корея, Республика</v>
      </c>
      <c r="AX31" s="74">
        <f t="shared" si="4"/>
        <v>0.1</v>
      </c>
      <c r="AY31" s="43">
        <f t="shared" si="5"/>
        <v>0.15000000000000002</v>
      </c>
      <c r="AZ31" s="43">
        <f t="shared" si="6"/>
        <v>1</v>
      </c>
      <c r="BA31" s="43">
        <f t="shared" si="7"/>
        <v>1.5000000000000002</v>
      </c>
      <c r="BB31" s="139">
        <v>661.11</v>
      </c>
      <c r="BC31" s="150">
        <f t="shared" si="8"/>
        <v>6611.1</v>
      </c>
      <c r="BD31" s="45">
        <f>IF(A31&lt;&gt;"",IF(_xlfn.XLOOKUP(A31,'1C'!A:A,'1C'!A:A,0,0)&gt;0,1,0),"")</f>
        <v>0</v>
      </c>
      <c r="BE31" s="145">
        <f>IF(C31&lt;&gt;"",IF(_xlfn.XLOOKUP(TEXT(C31,"###"),'1C'!W:W,'1C'!D:D,0,0)&gt;0,0,1),"")</f>
        <v>1</v>
      </c>
      <c r="BF31" s="72" t="str">
        <f t="shared" si="9"/>
        <v>-</v>
      </c>
    </row>
    <row r="32" spans="1:58" ht="98.1" customHeight="1">
      <c r="A32" s="43" t="str">
        <f t="shared" si="0"/>
        <v>6089MORANGE</v>
      </c>
      <c r="B32" s="4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94-007-13</v>
      </c>
      <c r="C32" s="147" t="s">
        <v>860</v>
      </c>
      <c r="E32" s="43" t="str">
        <f>IF(F32&lt;&gt;"",IFERROR(VLOOKUP(F32,Категории!A:B,2,0),""),"Требуется категория")</f>
        <v>Бейсболки</v>
      </c>
      <c r="F32" s="43" t="s">
        <v>783</v>
      </c>
      <c r="G32" s="56" t="s">
        <v>927</v>
      </c>
      <c r="H32" s="43" t="s">
        <v>388</v>
      </c>
      <c r="J32" s="59" t="str">
        <f>'1C'!$AJ$1</f>
        <v>FLEXFIT</v>
      </c>
      <c r="K32" s="100" t="s">
        <v>889</v>
      </c>
      <c r="L32" s="148" t="s">
        <v>199</v>
      </c>
      <c r="M32" s="62"/>
      <c r="N32" s="62"/>
      <c r="O32" s="62"/>
      <c r="P32" s="62"/>
      <c r="Q32" s="154" t="s">
        <v>929</v>
      </c>
      <c r="R32" s="64"/>
      <c r="S32" s="62"/>
      <c r="T32" s="58"/>
      <c r="U32" s="59" t="s">
        <v>382</v>
      </c>
      <c r="V32" s="58">
        <v>4</v>
      </c>
      <c r="Y32" s="58"/>
      <c r="AA32" s="58"/>
      <c r="AC32" s="58"/>
      <c r="AE32" s="58"/>
      <c r="AG32" s="58"/>
      <c r="AT32" s="57">
        <f t="shared" si="1"/>
        <v>4</v>
      </c>
      <c r="AU32" s="155" t="s">
        <v>438</v>
      </c>
      <c r="AV32" s="56" t="str">
        <f t="shared" ca="1" si="2"/>
        <v>YupoongInc; 174, Gurodong-ro, Guro-gu, 08285 Seoul, South Korea</v>
      </c>
      <c r="AW32" s="43" t="str">
        <f t="shared" ca="1" si="3"/>
        <v>Корея, Республика</v>
      </c>
      <c r="AX32" s="74">
        <f t="shared" si="4"/>
        <v>0.1</v>
      </c>
      <c r="AY32" s="43">
        <f t="shared" si="5"/>
        <v>0.15000000000000002</v>
      </c>
      <c r="AZ32" s="43">
        <f t="shared" si="6"/>
        <v>0.4</v>
      </c>
      <c r="BA32" s="43">
        <f t="shared" si="7"/>
        <v>0.60000000000000009</v>
      </c>
      <c r="BB32" s="139">
        <v>661.11</v>
      </c>
      <c r="BC32" s="150">
        <f t="shared" si="8"/>
        <v>2644.44</v>
      </c>
      <c r="BD32" s="45">
        <f>IF(A32&lt;&gt;"",IF(_xlfn.XLOOKUP(A32,'1C'!A:A,'1C'!A:A,0,0)&gt;0,1,0),"")</f>
        <v>0</v>
      </c>
      <c r="BE32" s="145">
        <f>IF(C32&lt;&gt;"",IF(_xlfn.XLOOKUP(TEXT(C32,"###"),'1C'!W:W,'1C'!D:D,0,0)&gt;0,0,1),"")</f>
        <v>1</v>
      </c>
      <c r="BF32" s="72" t="str">
        <f t="shared" si="9"/>
        <v>-</v>
      </c>
    </row>
    <row r="33" spans="1:58" ht="98.1" customHeight="1">
      <c r="A33" s="43" t="str">
        <f t="shared" si="0"/>
        <v>6089MRED</v>
      </c>
      <c r="B33" s="4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94-007-18</v>
      </c>
      <c r="C33" s="147" t="s">
        <v>860</v>
      </c>
      <c r="E33" s="43" t="str">
        <f>IF(F33&lt;&gt;"",IFERROR(VLOOKUP(F33,Категории!A:B,2,0),""),"Требуется категория")</f>
        <v>Бейсболки</v>
      </c>
      <c r="F33" s="43" t="s">
        <v>783</v>
      </c>
      <c r="G33" s="56" t="s">
        <v>927</v>
      </c>
      <c r="H33" s="43" t="s">
        <v>388</v>
      </c>
      <c r="J33" s="59" t="str">
        <f>'1C'!$AJ$1</f>
        <v>FLEXFIT</v>
      </c>
      <c r="K33" s="100" t="s">
        <v>875</v>
      </c>
      <c r="L33" s="148" t="s">
        <v>78</v>
      </c>
      <c r="M33" s="62"/>
      <c r="N33" s="62"/>
      <c r="O33" s="62"/>
      <c r="P33" s="62"/>
      <c r="Q33" s="154" t="s">
        <v>929</v>
      </c>
      <c r="R33" s="64"/>
      <c r="S33" s="62"/>
      <c r="T33" s="58"/>
      <c r="U33" s="59" t="s">
        <v>382</v>
      </c>
      <c r="V33" s="58">
        <v>4</v>
      </c>
      <c r="Y33" s="58"/>
      <c r="AA33" s="58"/>
      <c r="AC33" s="58"/>
      <c r="AE33" s="58"/>
      <c r="AG33" s="58"/>
      <c r="AT33" s="57">
        <f t="shared" si="1"/>
        <v>4</v>
      </c>
      <c r="AU33" s="155" t="s">
        <v>438</v>
      </c>
      <c r="AV33" s="56" t="str">
        <f t="shared" ca="1" si="2"/>
        <v>YupoongInc; 174, Gurodong-ro, Guro-gu, 08285 Seoul, South Korea</v>
      </c>
      <c r="AW33" s="43" t="str">
        <f t="shared" ca="1" si="3"/>
        <v>Корея, Республика</v>
      </c>
      <c r="AX33" s="74">
        <f t="shared" si="4"/>
        <v>0.1</v>
      </c>
      <c r="AY33" s="43">
        <f t="shared" si="5"/>
        <v>0.15000000000000002</v>
      </c>
      <c r="AZ33" s="43">
        <f t="shared" si="6"/>
        <v>0.4</v>
      </c>
      <c r="BA33" s="43">
        <f t="shared" si="7"/>
        <v>0.60000000000000009</v>
      </c>
      <c r="BB33" s="139">
        <v>661.11</v>
      </c>
      <c r="BC33" s="150">
        <f t="shared" si="8"/>
        <v>2644.44</v>
      </c>
      <c r="BD33" s="45">
        <f>IF(A33&lt;&gt;"",IF(_xlfn.XLOOKUP(A33,'1C'!A:A,'1C'!A:A,0,0)&gt;0,1,0),"")</f>
        <v>0</v>
      </c>
      <c r="BE33" s="145">
        <f>IF(C33&lt;&gt;"",IF(_xlfn.XLOOKUP(TEXT(C33,"###"),'1C'!W:W,'1C'!D:D,0,0)&gt;0,0,1),"")</f>
        <v>1</v>
      </c>
      <c r="BF33" s="72" t="str">
        <f t="shared" si="9"/>
        <v>-</v>
      </c>
    </row>
    <row r="34" spans="1:58" ht="98.1" customHeight="1">
      <c r="A34" s="43" t="str">
        <f t="shared" si="0"/>
        <v>6089MROYAL</v>
      </c>
      <c r="B34" s="4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94-007-06</v>
      </c>
      <c r="C34" s="147" t="s">
        <v>860</v>
      </c>
      <c r="E34" s="43" t="str">
        <f>IF(F34&lt;&gt;"",IFERROR(VLOOKUP(F34,Категории!A:B,2,0),""),"Требуется категория")</f>
        <v>Бейсболки</v>
      </c>
      <c r="F34" s="43" t="s">
        <v>783</v>
      </c>
      <c r="G34" s="56" t="s">
        <v>927</v>
      </c>
      <c r="H34" s="43" t="s">
        <v>388</v>
      </c>
      <c r="J34" s="59" t="str">
        <f>'1C'!$AJ$1</f>
        <v>FLEXFIT</v>
      </c>
      <c r="K34" s="100" t="s">
        <v>876</v>
      </c>
      <c r="L34" s="148" t="s">
        <v>71</v>
      </c>
      <c r="M34" s="62"/>
      <c r="N34" s="62"/>
      <c r="O34" s="62"/>
      <c r="P34" s="62"/>
      <c r="Q34" s="154" t="s">
        <v>929</v>
      </c>
      <c r="R34" s="64"/>
      <c r="S34" s="62"/>
      <c r="T34" s="58"/>
      <c r="U34" s="59" t="s">
        <v>382</v>
      </c>
      <c r="V34" s="58">
        <v>4</v>
      </c>
      <c r="Y34" s="58"/>
      <c r="AA34" s="58"/>
      <c r="AC34" s="58"/>
      <c r="AE34" s="58"/>
      <c r="AG34" s="58"/>
      <c r="AT34" s="57">
        <f t="shared" si="1"/>
        <v>4</v>
      </c>
      <c r="AU34" s="155" t="s">
        <v>438</v>
      </c>
      <c r="AV34" s="56" t="str">
        <f t="shared" ca="1" si="2"/>
        <v>YupoongInc; 174, Gurodong-ro, Guro-gu, 08285 Seoul, South Korea</v>
      </c>
      <c r="AW34" s="43" t="str">
        <f t="shared" ca="1" si="3"/>
        <v>Корея, Республика</v>
      </c>
      <c r="AX34" s="74">
        <f t="shared" si="4"/>
        <v>0.1</v>
      </c>
      <c r="AY34" s="43">
        <f t="shared" si="5"/>
        <v>0.15000000000000002</v>
      </c>
      <c r="AZ34" s="43">
        <f t="shared" si="6"/>
        <v>0.4</v>
      </c>
      <c r="BA34" s="43">
        <f t="shared" si="7"/>
        <v>0.60000000000000009</v>
      </c>
      <c r="BB34" s="139">
        <v>661.11</v>
      </c>
      <c r="BC34" s="150">
        <f t="shared" si="8"/>
        <v>2644.44</v>
      </c>
      <c r="BD34" s="45">
        <f>IF(A34&lt;&gt;"",IF(_xlfn.XLOOKUP(A34,'1C'!A:A,'1C'!A:A,0,0)&gt;0,1,0),"")</f>
        <v>0</v>
      </c>
      <c r="BE34" s="145">
        <f>IF(C34&lt;&gt;"",IF(_xlfn.XLOOKUP(TEXT(C34,"###"),'1C'!W:W,'1C'!D:D,0,0)&gt;0,0,1),"")</f>
        <v>1</v>
      </c>
      <c r="BF34" s="72" t="str">
        <f t="shared" si="9"/>
        <v>-</v>
      </c>
    </row>
    <row r="35" spans="1:58" ht="98.1" customHeight="1">
      <c r="A35" s="43" t="str">
        <f t="shared" si="0"/>
        <v>6089MSILVER</v>
      </c>
      <c r="B35" s="4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94-007-08</v>
      </c>
      <c r="C35" s="147" t="s">
        <v>860</v>
      </c>
      <c r="E35" s="43" t="str">
        <f>IF(F35&lt;&gt;"",IFERROR(VLOOKUP(F35,Категории!A:B,2,0),""),"Требуется категория")</f>
        <v>Бейсболки</v>
      </c>
      <c r="F35" s="43" t="s">
        <v>783</v>
      </c>
      <c r="G35" s="56" t="s">
        <v>927</v>
      </c>
      <c r="H35" s="43" t="s">
        <v>388</v>
      </c>
      <c r="J35" s="59" t="str">
        <f>'1C'!$AJ$1</f>
        <v>FLEXFIT</v>
      </c>
      <c r="K35" s="100" t="s">
        <v>890</v>
      </c>
      <c r="L35" s="148" t="s">
        <v>83</v>
      </c>
      <c r="M35" s="62"/>
      <c r="N35" s="62"/>
      <c r="O35" s="62"/>
      <c r="P35" s="62"/>
      <c r="Q35" s="154" t="s">
        <v>929</v>
      </c>
      <c r="R35" s="64"/>
      <c r="S35" s="62"/>
      <c r="T35" s="58"/>
      <c r="U35" s="59" t="s">
        <v>382</v>
      </c>
      <c r="V35" s="58">
        <v>4</v>
      </c>
      <c r="Y35" s="58"/>
      <c r="AA35" s="58"/>
      <c r="AC35" s="58"/>
      <c r="AE35" s="58"/>
      <c r="AG35" s="58"/>
      <c r="AT35" s="57">
        <f t="shared" si="1"/>
        <v>4</v>
      </c>
      <c r="AU35" s="155" t="s">
        <v>438</v>
      </c>
      <c r="AV35" s="56" t="str">
        <f t="shared" ca="1" si="2"/>
        <v>YupoongInc; 174, Gurodong-ro, Guro-gu, 08285 Seoul, South Korea</v>
      </c>
      <c r="AW35" s="43" t="str">
        <f t="shared" ca="1" si="3"/>
        <v>Корея, Республика</v>
      </c>
      <c r="AX35" s="74">
        <f t="shared" si="4"/>
        <v>0.1</v>
      </c>
      <c r="AY35" s="43">
        <f t="shared" si="5"/>
        <v>0.15000000000000002</v>
      </c>
      <c r="AZ35" s="43">
        <f t="shared" si="6"/>
        <v>0.4</v>
      </c>
      <c r="BA35" s="43">
        <f t="shared" si="7"/>
        <v>0.60000000000000009</v>
      </c>
      <c r="BB35" s="139">
        <v>661.11</v>
      </c>
      <c r="BC35" s="150">
        <f t="shared" si="8"/>
        <v>2644.44</v>
      </c>
      <c r="BD35" s="45">
        <f>IF(A35&lt;&gt;"",IF(_xlfn.XLOOKUP(A35,'1C'!A:A,'1C'!A:A,0,0)&gt;0,1,0),"")</f>
        <v>0</v>
      </c>
      <c r="BE35" s="145">
        <f>IF(C35&lt;&gt;"",IF(_xlfn.XLOOKUP(TEXT(C35,"###"),'1C'!W:W,'1C'!D:D,0,0)&gt;0,0,1),"")</f>
        <v>1</v>
      </c>
      <c r="BF35" s="72" t="str">
        <f t="shared" si="9"/>
        <v>-</v>
      </c>
    </row>
    <row r="36" spans="1:58" ht="98.1" customHeight="1">
      <c r="A36" s="43" t="str">
        <f t="shared" si="0"/>
        <v>6089MSPRUCE</v>
      </c>
      <c r="B36" s="4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94-007-11</v>
      </c>
      <c r="C36" s="147" t="s">
        <v>860</v>
      </c>
      <c r="E36" s="43" t="str">
        <f>IF(F36&lt;&gt;"",IFERROR(VLOOKUP(F36,Категории!A:B,2,0),""),"Требуется категория")</f>
        <v>Бейсболки</v>
      </c>
      <c r="F36" s="43" t="s">
        <v>783</v>
      </c>
      <c r="G36" s="56" t="s">
        <v>927</v>
      </c>
      <c r="H36" s="43" t="s">
        <v>388</v>
      </c>
      <c r="J36" s="59" t="str">
        <f>'1C'!$AJ$1</f>
        <v>FLEXFIT</v>
      </c>
      <c r="K36" s="100" t="s">
        <v>891</v>
      </c>
      <c r="L36" s="148" t="s">
        <v>60</v>
      </c>
      <c r="M36" s="62"/>
      <c r="N36" s="62"/>
      <c r="O36" s="62"/>
      <c r="P36" s="62"/>
      <c r="Q36" s="154" t="s">
        <v>929</v>
      </c>
      <c r="R36" s="64"/>
      <c r="S36" s="62"/>
      <c r="T36" s="58"/>
      <c r="U36" s="59" t="s">
        <v>382</v>
      </c>
      <c r="V36" s="58">
        <v>4</v>
      </c>
      <c r="Y36" s="58"/>
      <c r="AA36" s="58"/>
      <c r="AC36" s="58"/>
      <c r="AE36" s="58"/>
      <c r="AG36" s="58"/>
      <c r="AT36" s="59">
        <f t="shared" si="1"/>
        <v>4</v>
      </c>
      <c r="AU36" s="155" t="s">
        <v>438</v>
      </c>
      <c r="AV36" s="56" t="str">
        <f t="shared" ca="1" si="2"/>
        <v>YupoongInc; 174, Gurodong-ro, Guro-gu, 08285 Seoul, South Korea</v>
      </c>
      <c r="AW36" s="43" t="str">
        <f t="shared" ca="1" si="3"/>
        <v>Корея, Республика</v>
      </c>
      <c r="AX36" s="74">
        <f t="shared" si="4"/>
        <v>0.1</v>
      </c>
      <c r="AY36" s="43">
        <f t="shared" si="5"/>
        <v>0.15000000000000002</v>
      </c>
      <c r="AZ36" s="43">
        <f t="shared" si="6"/>
        <v>0.4</v>
      </c>
      <c r="BA36" s="43">
        <f t="shared" si="7"/>
        <v>0.60000000000000009</v>
      </c>
      <c r="BB36" s="139">
        <v>661.11</v>
      </c>
      <c r="BC36" s="150">
        <f t="shared" si="8"/>
        <v>2644.44</v>
      </c>
      <c r="BD36" s="45">
        <f>IF(A36&lt;&gt;"",IF(_xlfn.XLOOKUP(A36,'1C'!A:A,'1C'!A:A,0,0)&gt;0,1,0),"")</f>
        <v>0</v>
      </c>
      <c r="BE36" s="145">
        <f>IF(C36&lt;&gt;"",IF(_xlfn.XLOOKUP(TEXT(C36,"###"),'1C'!W:W,'1C'!D:D,0,0)&gt;0,0,1),"")</f>
        <v>1</v>
      </c>
      <c r="BF36" s="72" t="str">
        <f t="shared" si="9"/>
        <v>-</v>
      </c>
    </row>
    <row r="37" spans="1:58" ht="98.1" customHeight="1">
      <c r="A37" s="43" t="str">
        <f t="shared" si="0"/>
        <v>6089MWHITE</v>
      </c>
      <c r="B37" s="4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94-007-17</v>
      </c>
      <c r="C37" s="147" t="s">
        <v>860</v>
      </c>
      <c r="E37" s="43" t="str">
        <f>IF(F37&lt;&gt;"",IFERROR(VLOOKUP(F37,Категории!A:B,2,0),""),"Требуется категория")</f>
        <v>Бейсболки</v>
      </c>
      <c r="F37" s="43" t="s">
        <v>783</v>
      </c>
      <c r="G37" s="56" t="s">
        <v>927</v>
      </c>
      <c r="H37" s="43" t="s">
        <v>388</v>
      </c>
      <c r="J37" s="43" t="str">
        <f>'1C'!$AJ$1</f>
        <v>FLEXFIT</v>
      </c>
      <c r="K37" s="101" t="s">
        <v>877</v>
      </c>
      <c r="L37" s="148" t="s">
        <v>57</v>
      </c>
      <c r="M37" s="62"/>
      <c r="N37" s="62"/>
      <c r="O37" s="62"/>
      <c r="P37" s="62"/>
      <c r="Q37" s="154" t="s">
        <v>930</v>
      </c>
      <c r="R37" s="64"/>
      <c r="S37" s="62" t="s">
        <v>46</v>
      </c>
      <c r="T37" s="58"/>
      <c r="U37" s="59" t="s">
        <v>382</v>
      </c>
      <c r="V37" s="58">
        <v>4</v>
      </c>
      <c r="Y37" s="58"/>
      <c r="AA37" s="58"/>
      <c r="AC37" s="58"/>
      <c r="AE37" s="58"/>
      <c r="AG37" s="58"/>
      <c r="AT37" s="59">
        <f t="shared" si="1"/>
        <v>4</v>
      </c>
      <c r="AU37" s="155" t="s">
        <v>438</v>
      </c>
      <c r="AV37" s="56" t="str">
        <f t="shared" ca="1" si="2"/>
        <v>YupoongInc; 174, Gurodong-ro, Guro-gu, 08285 Seoul, South Korea</v>
      </c>
      <c r="AW37" s="43" t="str">
        <f t="shared" ca="1" si="3"/>
        <v>Корея, Республика</v>
      </c>
      <c r="AX37" s="74">
        <f t="shared" si="4"/>
        <v>0.1</v>
      </c>
      <c r="AY37" s="43">
        <f t="shared" si="5"/>
        <v>0.15000000000000002</v>
      </c>
      <c r="AZ37" s="43">
        <f t="shared" si="6"/>
        <v>0.4</v>
      </c>
      <c r="BA37" s="43">
        <f t="shared" si="7"/>
        <v>0.60000000000000009</v>
      </c>
      <c r="BB37" s="139">
        <v>661.11</v>
      </c>
      <c r="BC37" s="150">
        <f t="shared" si="8"/>
        <v>2644.44</v>
      </c>
      <c r="BD37" s="45">
        <f>IF(A37&lt;&gt;"",IF(_xlfn.XLOOKUP(A37,'1C'!A:A,'1C'!A:A,0,0)&gt;0,1,0),"")</f>
        <v>0</v>
      </c>
      <c r="BE37" s="145">
        <f>IF(C37&lt;&gt;"",IF(_xlfn.XLOOKUP(TEXT(C37,"###"),'1C'!W:W,'1C'!D:D,0,0)&gt;0,0,1),"")</f>
        <v>1</v>
      </c>
      <c r="BF37" s="72" t="str">
        <f t="shared" si="9"/>
        <v>-</v>
      </c>
    </row>
    <row r="38" spans="1:58" ht="98.1" customHeight="1">
      <c r="A38" s="43" t="str">
        <f t="shared" si="0"/>
        <v>6089MCMULTICAM</v>
      </c>
      <c r="B38" s="4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94-008-00</v>
      </c>
      <c r="C38" s="147" t="s">
        <v>861</v>
      </c>
      <c r="E38" s="43" t="str">
        <f>IF(F38&lt;&gt;"",IFERROR(VLOOKUP(F38,Категории!A:B,2,0),""),"Требуется категория")</f>
        <v>Бейсболки</v>
      </c>
      <c r="F38" s="43" t="s">
        <v>783</v>
      </c>
      <c r="G38" s="56" t="s">
        <v>927</v>
      </c>
      <c r="H38" s="43" t="s">
        <v>388</v>
      </c>
      <c r="J38" s="43" t="str">
        <f>'1C'!$AJ$1</f>
        <v>FLEXFIT</v>
      </c>
      <c r="K38" s="101" t="s">
        <v>892</v>
      </c>
      <c r="L38" s="148" t="s">
        <v>158</v>
      </c>
      <c r="M38" s="62"/>
      <c r="N38" s="62"/>
      <c r="O38" s="62"/>
      <c r="P38" s="62"/>
      <c r="Q38" s="154" t="s">
        <v>934</v>
      </c>
      <c r="R38" s="64"/>
      <c r="S38" s="62" t="s">
        <v>43</v>
      </c>
      <c r="T38" s="58"/>
      <c r="U38" s="59" t="s">
        <v>382</v>
      </c>
      <c r="V38" s="58">
        <v>6</v>
      </c>
      <c r="Y38" s="58"/>
      <c r="AA38" s="58"/>
      <c r="AC38" s="58"/>
      <c r="AE38" s="58"/>
      <c r="AG38" s="58"/>
      <c r="AT38" s="59">
        <f t="shared" si="1"/>
        <v>6</v>
      </c>
      <c r="AU38" s="155" t="s">
        <v>438</v>
      </c>
      <c r="AV38" s="56" t="str">
        <f t="shared" ca="1" si="2"/>
        <v>YupoongInc; 174, Gurodong-ro, Guro-gu, 08285 Seoul, South Korea</v>
      </c>
      <c r="AW38" s="43" t="str">
        <f t="shared" ca="1" si="3"/>
        <v>Корея, Республика</v>
      </c>
      <c r="AX38" s="74">
        <f t="shared" si="4"/>
        <v>0.1</v>
      </c>
      <c r="AY38" s="43">
        <f t="shared" si="5"/>
        <v>0.15000000000000002</v>
      </c>
      <c r="AZ38" s="43">
        <f t="shared" si="6"/>
        <v>0.60000000000000009</v>
      </c>
      <c r="BA38" s="43">
        <f t="shared" si="7"/>
        <v>0.90000000000000013</v>
      </c>
      <c r="BB38" s="139">
        <v>716.67</v>
      </c>
      <c r="BC38" s="150">
        <f t="shared" si="8"/>
        <v>4300.0199999999995</v>
      </c>
      <c r="BD38" s="45">
        <f>IF(A38&lt;&gt;"",IF(_xlfn.XLOOKUP(A38,'1C'!A:A,'1C'!A:A,0,0)&gt;0,1,0),"")</f>
        <v>0</v>
      </c>
      <c r="BE38" s="145">
        <f>IF(C38&lt;&gt;"",IF(_xlfn.XLOOKUP(TEXT(C38,"###"),'1C'!W:W,'1C'!D:D,0,0)&gt;0,0,1),"")</f>
        <v>1</v>
      </c>
      <c r="BF38" s="72" t="str">
        <f t="shared" si="9"/>
        <v>-</v>
      </c>
    </row>
    <row r="39" spans="1:58" ht="98.1" customHeight="1">
      <c r="A39" s="43" t="str">
        <f t="shared" si="0"/>
        <v>6089MTBLACK/RED</v>
      </c>
      <c r="B39" s="4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94-009-72</v>
      </c>
      <c r="C39" s="147" t="s">
        <v>862</v>
      </c>
      <c r="E39" s="43" t="str">
        <f>IF(F39&lt;&gt;"",IFERROR(VLOOKUP(F39,Категории!A:B,2,0),""),"Требуется категория")</f>
        <v>Бейсболки</v>
      </c>
      <c r="F39" s="43" t="s">
        <v>783</v>
      </c>
      <c r="G39" s="56" t="s">
        <v>927</v>
      </c>
      <c r="H39" s="43" t="s">
        <v>388</v>
      </c>
      <c r="J39" s="43" t="str">
        <f>'1C'!$AJ$1</f>
        <v>FLEXFIT</v>
      </c>
      <c r="K39" s="101" t="s">
        <v>881</v>
      </c>
      <c r="L39" s="148" t="s">
        <v>302</v>
      </c>
      <c r="M39" s="62"/>
      <c r="N39" s="62"/>
      <c r="O39" s="62"/>
      <c r="P39" s="62"/>
      <c r="Q39" s="154" t="s">
        <v>929</v>
      </c>
      <c r="R39" s="64"/>
      <c r="S39" s="62" t="s">
        <v>46</v>
      </c>
      <c r="T39" s="58"/>
      <c r="U39" s="59" t="s">
        <v>382</v>
      </c>
      <c r="V39" s="58">
        <v>4</v>
      </c>
      <c r="Y39" s="58"/>
      <c r="AA39" s="58"/>
      <c r="AC39" s="58"/>
      <c r="AE39" s="58"/>
      <c r="AG39" s="58"/>
      <c r="AT39" s="59">
        <f t="shared" si="1"/>
        <v>4</v>
      </c>
      <c r="AU39" s="155" t="s">
        <v>438</v>
      </c>
      <c r="AV39" s="56" t="str">
        <f t="shared" ca="1" si="2"/>
        <v>YupoongInc; 174, Gurodong-ro, Guro-gu, 08285 Seoul, South Korea</v>
      </c>
      <c r="AW39" s="43" t="str">
        <f t="shared" ca="1" si="3"/>
        <v>Корея, Республика</v>
      </c>
      <c r="AX39" s="74">
        <f t="shared" si="4"/>
        <v>0.1</v>
      </c>
      <c r="AY39" s="43">
        <f t="shared" si="5"/>
        <v>0.15000000000000002</v>
      </c>
      <c r="AZ39" s="43">
        <f t="shared" si="6"/>
        <v>0.4</v>
      </c>
      <c r="BA39" s="43">
        <f t="shared" si="7"/>
        <v>0.60000000000000009</v>
      </c>
      <c r="BB39" s="139">
        <v>661.11</v>
      </c>
      <c r="BC39" s="150">
        <f t="shared" si="8"/>
        <v>2644.44</v>
      </c>
      <c r="BD39" s="45">
        <f>IF(A39&lt;&gt;"",IF(_xlfn.XLOOKUP(A39,'1C'!A:A,'1C'!A:A,0,0)&gt;0,1,0),"")</f>
        <v>0</v>
      </c>
      <c r="BE39" s="145">
        <f>IF(C39&lt;&gt;"",IF(_xlfn.XLOOKUP(TEXT(C39,"###"),'1C'!W:W,'1C'!D:D,0,0)&gt;0,0,1),"")</f>
        <v>1</v>
      </c>
      <c r="BF39" s="72" t="str">
        <f t="shared" si="9"/>
        <v>-</v>
      </c>
    </row>
    <row r="40" spans="1:58" ht="98.1" customHeight="1">
      <c r="A40" s="43" t="str">
        <f t="shared" si="0"/>
        <v>6089MTBLACK/SILVER</v>
      </c>
      <c r="B40" s="4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94-009-10</v>
      </c>
      <c r="C40" s="147" t="s">
        <v>862</v>
      </c>
      <c r="E40" s="43" t="str">
        <f>IF(F40&lt;&gt;"",IFERROR(VLOOKUP(F40,Категории!A:B,2,0),""),"Требуется категория")</f>
        <v>Бейсболки</v>
      </c>
      <c r="F40" s="43" t="s">
        <v>783</v>
      </c>
      <c r="G40" s="56" t="s">
        <v>927</v>
      </c>
      <c r="H40" s="43" t="s">
        <v>388</v>
      </c>
      <c r="J40" s="43" t="str">
        <f>'1C'!$AJ$1</f>
        <v>FLEXFIT</v>
      </c>
      <c r="K40" s="101" t="s">
        <v>882</v>
      </c>
      <c r="L40" s="148" t="s">
        <v>308</v>
      </c>
      <c r="M40" s="62"/>
      <c r="N40" s="62"/>
      <c r="O40" s="62"/>
      <c r="P40" s="62"/>
      <c r="Q40" s="154" t="s">
        <v>929</v>
      </c>
      <c r="R40" s="64"/>
      <c r="S40" s="62" t="s">
        <v>46</v>
      </c>
      <c r="T40" s="58"/>
      <c r="U40" s="59" t="s">
        <v>382</v>
      </c>
      <c r="V40" s="58">
        <v>8</v>
      </c>
      <c r="Y40" s="58"/>
      <c r="AA40" s="58"/>
      <c r="AC40" s="58"/>
      <c r="AE40" s="58"/>
      <c r="AG40" s="58"/>
      <c r="AT40" s="59">
        <f t="shared" si="1"/>
        <v>8</v>
      </c>
      <c r="AU40" s="155" t="s">
        <v>438</v>
      </c>
      <c r="AV40" s="56" t="str">
        <f t="shared" ca="1" si="2"/>
        <v>YupoongInc; 174, Gurodong-ro, Guro-gu, 08285 Seoul, South Korea</v>
      </c>
      <c r="AW40" s="43" t="str">
        <f t="shared" ca="1" si="3"/>
        <v>Корея, Республика</v>
      </c>
      <c r="AX40" s="74">
        <f t="shared" si="4"/>
        <v>0.1</v>
      </c>
      <c r="AY40" s="43">
        <f t="shared" si="5"/>
        <v>0.15000000000000002</v>
      </c>
      <c r="AZ40" s="43">
        <f t="shared" si="6"/>
        <v>0.8</v>
      </c>
      <c r="BA40" s="43">
        <f t="shared" si="7"/>
        <v>1.2000000000000002</v>
      </c>
      <c r="BB40" s="139">
        <v>661.11</v>
      </c>
      <c r="BC40" s="150">
        <f t="shared" si="8"/>
        <v>5288.88</v>
      </c>
      <c r="BD40" s="45">
        <f>IF(A40&lt;&gt;"",IF(_xlfn.XLOOKUP(A40,'1C'!A:A,'1C'!A:A,0,0)&gt;0,1,0),"")</f>
        <v>0</v>
      </c>
      <c r="BE40" s="145">
        <f>IF(C40&lt;&gt;"",IF(_xlfn.XLOOKUP(TEXT(C40,"###"),'1C'!W:W,'1C'!D:D,0,0)&gt;0,0,1),"")</f>
        <v>1</v>
      </c>
      <c r="BF40" s="72" t="str">
        <f t="shared" si="9"/>
        <v>-</v>
      </c>
    </row>
    <row r="41" spans="1:58" ht="98.1" customHeight="1">
      <c r="A41" s="43" t="str">
        <f t="shared" si="0"/>
        <v>6089MTDARK HEATHER/BLACK</v>
      </c>
      <c r="B41" s="4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94-009-09</v>
      </c>
      <c r="C41" s="147" t="s">
        <v>862</v>
      </c>
      <c r="E41" s="43" t="str">
        <f>IF(F41&lt;&gt;"",IFERROR(VLOOKUP(F41,Категории!A:B,2,0),""),"Требуется категория")</f>
        <v>Бейсболки</v>
      </c>
      <c r="F41" s="43" t="s">
        <v>783</v>
      </c>
      <c r="G41" s="56" t="s">
        <v>927</v>
      </c>
      <c r="H41" s="43" t="s">
        <v>388</v>
      </c>
      <c r="J41" s="43" t="str">
        <f>'1C'!$AJ$1</f>
        <v>FLEXFIT</v>
      </c>
      <c r="K41" s="101" t="s">
        <v>893</v>
      </c>
      <c r="L41" s="149" t="s">
        <v>246</v>
      </c>
      <c r="M41" s="62"/>
      <c r="N41" s="62"/>
      <c r="O41" s="62"/>
      <c r="P41" s="62"/>
      <c r="Q41" s="154" t="s">
        <v>929</v>
      </c>
      <c r="R41" s="64"/>
      <c r="S41" s="62" t="s">
        <v>46</v>
      </c>
      <c r="T41" s="58"/>
      <c r="U41" s="59" t="s">
        <v>382</v>
      </c>
      <c r="V41" s="58">
        <v>6</v>
      </c>
      <c r="Y41" s="58"/>
      <c r="AA41" s="58"/>
      <c r="AC41" s="58"/>
      <c r="AE41" s="58"/>
      <c r="AG41" s="58"/>
      <c r="AT41" s="59">
        <f t="shared" si="1"/>
        <v>6</v>
      </c>
      <c r="AU41" s="155" t="s">
        <v>438</v>
      </c>
      <c r="AV41" s="56" t="str">
        <f t="shared" ca="1" si="2"/>
        <v>YupoongInc; 174, Gurodong-ro, Guro-gu, 08285 Seoul, South Korea</v>
      </c>
      <c r="AW41" s="43" t="str">
        <f t="shared" ca="1" si="3"/>
        <v>Корея, Республика</v>
      </c>
      <c r="AX41" s="74">
        <f t="shared" si="4"/>
        <v>0.1</v>
      </c>
      <c r="AY41" s="43">
        <f t="shared" si="5"/>
        <v>0.15000000000000002</v>
      </c>
      <c r="AZ41" s="43">
        <f t="shared" si="6"/>
        <v>0.60000000000000009</v>
      </c>
      <c r="BA41" s="43">
        <f t="shared" si="7"/>
        <v>0.90000000000000013</v>
      </c>
      <c r="BB41" s="139">
        <v>661.11</v>
      </c>
      <c r="BC41" s="150">
        <f t="shared" si="8"/>
        <v>3966.66</v>
      </c>
      <c r="BD41" s="45">
        <f>IF(A41&lt;&gt;"",IF(_xlfn.XLOOKUP(A41,'1C'!A:A,'1C'!A:A,0,0)&gt;0,1,0),"")</f>
        <v>0</v>
      </c>
      <c r="BE41" s="145">
        <f>IF(C41&lt;&gt;"",IF(_xlfn.XLOOKUP(TEXT(C41,"###"),'1C'!W:W,'1C'!D:D,0,0)&gt;0,0,1),"")</f>
        <v>1</v>
      </c>
      <c r="BF41" s="72" t="str">
        <f t="shared" si="9"/>
        <v>-</v>
      </c>
    </row>
    <row r="42" spans="1:58" ht="98.1" customHeight="1">
      <c r="A42" s="43" t="str">
        <f t="shared" si="0"/>
        <v>6089MTDARK HEATHER/RED</v>
      </c>
      <c r="B42" s="4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94-009-08</v>
      </c>
      <c r="C42" s="147" t="s">
        <v>862</v>
      </c>
      <c r="E42" s="43" t="str">
        <f>IF(F42&lt;&gt;"",IFERROR(VLOOKUP(F42,Категории!A:B,2,0),""),"Требуется категория")</f>
        <v>Бейсболки</v>
      </c>
      <c r="F42" s="43" t="s">
        <v>783</v>
      </c>
      <c r="G42" s="56" t="s">
        <v>927</v>
      </c>
      <c r="H42" s="43" t="s">
        <v>388</v>
      </c>
      <c r="J42" s="43" t="str">
        <f>'1C'!$AJ$1</f>
        <v>FLEXFIT</v>
      </c>
      <c r="K42" s="101" t="s">
        <v>894</v>
      </c>
      <c r="L42" s="148" t="s">
        <v>241</v>
      </c>
      <c r="M42" s="62"/>
      <c r="N42" s="62"/>
      <c r="O42" s="62"/>
      <c r="P42" s="62"/>
      <c r="Q42" s="154" t="s">
        <v>929</v>
      </c>
      <c r="R42" s="64"/>
      <c r="S42" s="62" t="s">
        <v>46</v>
      </c>
      <c r="T42" s="58"/>
      <c r="U42" s="59" t="s">
        <v>382</v>
      </c>
      <c r="V42" s="58">
        <v>4</v>
      </c>
      <c r="Y42" s="58"/>
      <c r="AA42" s="58"/>
      <c r="AC42" s="58"/>
      <c r="AE42" s="58"/>
      <c r="AG42" s="58"/>
      <c r="AT42" s="59">
        <f t="shared" si="1"/>
        <v>4</v>
      </c>
      <c r="AU42" s="155" t="s">
        <v>438</v>
      </c>
      <c r="AV42" s="56" t="str">
        <f t="shared" ca="1" si="2"/>
        <v>YupoongInc; 174, Gurodong-ro, Guro-gu, 08285 Seoul, South Korea</v>
      </c>
      <c r="AW42" s="43" t="str">
        <f t="shared" ca="1" si="3"/>
        <v>Корея, Республика</v>
      </c>
      <c r="AX42" s="74">
        <f t="shared" si="4"/>
        <v>0.1</v>
      </c>
      <c r="AY42" s="43">
        <f t="shared" si="5"/>
        <v>0.15000000000000002</v>
      </c>
      <c r="AZ42" s="43">
        <f t="shared" si="6"/>
        <v>0.4</v>
      </c>
      <c r="BA42" s="43">
        <f t="shared" si="7"/>
        <v>0.60000000000000009</v>
      </c>
      <c r="BB42" s="139">
        <v>661.11</v>
      </c>
      <c r="BC42" s="150">
        <f t="shared" si="8"/>
        <v>2644.44</v>
      </c>
      <c r="BD42" s="45">
        <f>IF(A42&lt;&gt;"",IF(_xlfn.XLOOKUP(A42,'1C'!A:A,'1C'!A:A,0,0)&gt;0,1,0),"")</f>
        <v>0</v>
      </c>
      <c r="BE42" s="145">
        <f>IF(C42&lt;&gt;"",IF(_xlfn.XLOOKUP(TEXT(C42,"###"),'1C'!W:W,'1C'!D:D,0,0)&gt;0,0,1),"")</f>
        <v>1</v>
      </c>
      <c r="BF42" s="72" t="str">
        <f t="shared" si="9"/>
        <v>-</v>
      </c>
    </row>
    <row r="43" spans="1:58" ht="98.1" customHeight="1">
      <c r="A43" s="43" t="str">
        <f t="shared" si="0"/>
        <v>6089MTHEATHER/BLACK</v>
      </c>
      <c r="B43" s="4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94-009-11</v>
      </c>
      <c r="C43" s="147" t="s">
        <v>862</v>
      </c>
      <c r="E43" s="43" t="str">
        <f>IF(F43&lt;&gt;"",IFERROR(VLOOKUP(F43,Категории!A:B,2,0),""),"Требуется категория")</f>
        <v>Бейсболки</v>
      </c>
      <c r="F43" s="43" t="s">
        <v>783</v>
      </c>
      <c r="G43" s="56" t="s">
        <v>927</v>
      </c>
      <c r="H43" s="43" t="s">
        <v>388</v>
      </c>
      <c r="J43" s="43" t="str">
        <f>'1C'!$AJ$1</f>
        <v>FLEXFIT</v>
      </c>
      <c r="K43" s="101" t="s">
        <v>895</v>
      </c>
      <c r="L43" s="148" t="s">
        <v>908</v>
      </c>
      <c r="M43" s="62"/>
      <c r="N43" s="62"/>
      <c r="O43" s="62"/>
      <c r="P43" s="62"/>
      <c r="Q43" s="154" t="s">
        <v>929</v>
      </c>
      <c r="R43" s="64"/>
      <c r="S43" s="62" t="s">
        <v>46</v>
      </c>
      <c r="T43" s="58"/>
      <c r="U43" s="59" t="s">
        <v>382</v>
      </c>
      <c r="V43" s="58">
        <v>6</v>
      </c>
      <c r="Y43" s="58"/>
      <c r="AA43" s="58"/>
      <c r="AC43" s="58"/>
      <c r="AE43" s="58"/>
      <c r="AG43" s="58"/>
      <c r="AT43" s="59">
        <f t="shared" si="1"/>
        <v>6</v>
      </c>
      <c r="AU43" s="155" t="s">
        <v>438</v>
      </c>
      <c r="AV43" s="56" t="str">
        <f t="shared" ca="1" si="2"/>
        <v>YupoongInc; 174, Gurodong-ro, Guro-gu, 08285 Seoul, South Korea</v>
      </c>
      <c r="AW43" s="43" t="str">
        <f t="shared" ca="1" si="3"/>
        <v>Корея, Республика</v>
      </c>
      <c r="AX43" s="74">
        <f t="shared" si="4"/>
        <v>0.1</v>
      </c>
      <c r="AY43" s="43">
        <f t="shared" si="5"/>
        <v>0.15000000000000002</v>
      </c>
      <c r="AZ43" s="43">
        <f t="shared" si="6"/>
        <v>0.60000000000000009</v>
      </c>
      <c r="BA43" s="43">
        <f t="shared" si="7"/>
        <v>0.90000000000000013</v>
      </c>
      <c r="BB43" s="139">
        <v>661.11</v>
      </c>
      <c r="BC43" s="150">
        <f t="shared" si="8"/>
        <v>3966.66</v>
      </c>
      <c r="BD43" s="45">
        <f>IF(A43&lt;&gt;"",IF(_xlfn.XLOOKUP(A43,'1C'!A:A,'1C'!A:A,0,0)&gt;0,1,0),"")</f>
        <v>0</v>
      </c>
      <c r="BE43" s="145">
        <f>IF(C43&lt;&gt;"",IF(_xlfn.XLOOKUP(TEXT(C43,"###"),'1C'!W:W,'1C'!D:D,0,0)&gt;0,0,1),"")</f>
        <v>1</v>
      </c>
      <c r="BF43" s="72" t="str">
        <f t="shared" si="9"/>
        <v>-</v>
      </c>
    </row>
    <row r="44" spans="1:58" ht="98.1" customHeight="1">
      <c r="A44" s="43" t="str">
        <f t="shared" si="0"/>
        <v>6089MTNAVY/RED</v>
      </c>
      <c r="B44" s="4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94-009-71</v>
      </c>
      <c r="C44" s="147" t="s">
        <v>862</v>
      </c>
      <c r="E44" s="43" t="str">
        <f>IF(F44&lt;&gt;"",IFERROR(VLOOKUP(F44,Категории!A:B,2,0),""),"Требуется категория")</f>
        <v>Бейсболки</v>
      </c>
      <c r="F44" s="43" t="s">
        <v>783</v>
      </c>
      <c r="G44" s="56" t="s">
        <v>927</v>
      </c>
      <c r="H44" s="43" t="s">
        <v>388</v>
      </c>
      <c r="J44" s="43" t="str">
        <f>'1C'!$AJ$1</f>
        <v>FLEXFIT</v>
      </c>
      <c r="K44" s="101" t="s">
        <v>884</v>
      </c>
      <c r="L44" s="149" t="s">
        <v>592</v>
      </c>
      <c r="M44" s="62"/>
      <c r="N44" s="62"/>
      <c r="O44" s="62"/>
      <c r="P44" s="62"/>
      <c r="Q44" s="154" t="s">
        <v>929</v>
      </c>
      <c r="R44" s="64"/>
      <c r="S44" s="62" t="s">
        <v>46</v>
      </c>
      <c r="T44" s="58"/>
      <c r="U44" s="59" t="s">
        <v>382</v>
      </c>
      <c r="V44" s="58">
        <v>4</v>
      </c>
      <c r="Y44" s="58"/>
      <c r="AA44" s="58"/>
      <c r="AC44" s="58"/>
      <c r="AE44" s="58"/>
      <c r="AG44" s="58"/>
      <c r="AT44" s="59">
        <f t="shared" si="1"/>
        <v>4</v>
      </c>
      <c r="AU44" s="155" t="s">
        <v>438</v>
      </c>
      <c r="AV44" s="56" t="str">
        <f t="shared" ca="1" si="2"/>
        <v>YupoongInc; 174, Gurodong-ro, Guro-gu, 08285 Seoul, South Korea</v>
      </c>
      <c r="AW44" s="43" t="str">
        <f t="shared" ca="1" si="3"/>
        <v>Корея, Республика</v>
      </c>
      <c r="AX44" s="74">
        <f t="shared" si="4"/>
        <v>0.1</v>
      </c>
      <c r="AY44" s="43">
        <f t="shared" si="5"/>
        <v>0.15000000000000002</v>
      </c>
      <c r="AZ44" s="43">
        <f t="shared" si="6"/>
        <v>0.4</v>
      </c>
      <c r="BA44" s="43">
        <f t="shared" si="7"/>
        <v>0.60000000000000009</v>
      </c>
      <c r="BB44" s="139">
        <v>661.11</v>
      </c>
      <c r="BC44" s="150">
        <f t="shared" si="8"/>
        <v>2644.44</v>
      </c>
      <c r="BD44" s="45">
        <f>IF(A44&lt;&gt;"",IF(_xlfn.XLOOKUP(A44,'1C'!A:A,'1C'!A:A,0,0)&gt;0,1,0),"")</f>
        <v>0</v>
      </c>
      <c r="BE44" s="145">
        <f>IF(C44&lt;&gt;"",IF(_xlfn.XLOOKUP(TEXT(C44,"###"),'1C'!W:W,'1C'!D:D,0,0)&gt;0,0,1),"")</f>
        <v>1</v>
      </c>
      <c r="BF44" s="72" t="str">
        <f t="shared" si="9"/>
        <v>-</v>
      </c>
    </row>
    <row r="45" spans="1:58" ht="98.1" customHeight="1">
      <c r="A45" s="43" t="str">
        <f t="shared" si="0"/>
        <v>6089MTROYAL/ORANGE</v>
      </c>
      <c r="B45" s="4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94-009-45</v>
      </c>
      <c r="C45" s="147" t="s">
        <v>862</v>
      </c>
      <c r="E45" s="43" t="str">
        <f>IF(F45&lt;&gt;"",IFERROR(VLOOKUP(F45,Категории!A:B,2,0),""),"Требуется категория")</f>
        <v>Бейсболки</v>
      </c>
      <c r="F45" s="43" t="s">
        <v>783</v>
      </c>
      <c r="G45" s="56" t="s">
        <v>927</v>
      </c>
      <c r="H45" s="43" t="s">
        <v>388</v>
      </c>
      <c r="J45" s="43" t="str">
        <f>'1C'!$AJ$1</f>
        <v>FLEXFIT</v>
      </c>
      <c r="K45" s="101" t="s">
        <v>896</v>
      </c>
      <c r="L45" s="148" t="s">
        <v>254</v>
      </c>
      <c r="M45" s="62"/>
      <c r="N45" s="62"/>
      <c r="O45" s="62"/>
      <c r="P45" s="62"/>
      <c r="Q45" s="154" t="s">
        <v>929</v>
      </c>
      <c r="R45" s="64"/>
      <c r="S45" s="62" t="s">
        <v>46</v>
      </c>
      <c r="T45" s="58"/>
      <c r="U45" s="59" t="s">
        <v>382</v>
      </c>
      <c r="V45" s="58">
        <v>4</v>
      </c>
      <c r="Y45" s="58"/>
      <c r="AA45" s="58"/>
      <c r="AC45" s="58"/>
      <c r="AE45" s="58"/>
      <c r="AG45" s="58"/>
      <c r="AT45" s="59">
        <f t="shared" si="1"/>
        <v>4</v>
      </c>
      <c r="AU45" s="155" t="s">
        <v>438</v>
      </c>
      <c r="AV45" s="56" t="str">
        <f t="shared" ca="1" si="2"/>
        <v>YupoongInc; 174, Gurodong-ro, Guro-gu, 08285 Seoul, South Korea</v>
      </c>
      <c r="AW45" s="43" t="str">
        <f t="shared" ca="1" si="3"/>
        <v>Корея, Республика</v>
      </c>
      <c r="AX45" s="74">
        <f t="shared" si="4"/>
        <v>0.1</v>
      </c>
      <c r="AY45" s="43">
        <f t="shared" si="5"/>
        <v>0.15000000000000002</v>
      </c>
      <c r="AZ45" s="43">
        <f t="shared" si="6"/>
        <v>0.4</v>
      </c>
      <c r="BA45" s="43">
        <f t="shared" si="7"/>
        <v>0.60000000000000009</v>
      </c>
      <c r="BB45" s="139">
        <v>661.11</v>
      </c>
      <c r="BC45" s="150">
        <f t="shared" si="8"/>
        <v>2644.44</v>
      </c>
      <c r="BD45" s="45">
        <f>IF(A45&lt;&gt;"",IF(_xlfn.XLOOKUP(A45,'1C'!A:A,'1C'!A:A,0,0)&gt;0,1,0),"")</f>
        <v>0</v>
      </c>
      <c r="BE45" s="145">
        <f>IF(C45&lt;&gt;"",IF(_xlfn.XLOOKUP(TEXT(C45,"###"),'1C'!W:W,'1C'!D:D,0,0)&gt;0,0,1),"")</f>
        <v>1</v>
      </c>
      <c r="BF45" s="72" t="str">
        <f t="shared" si="9"/>
        <v>-</v>
      </c>
    </row>
    <row r="46" spans="1:58" ht="98.1" customHeight="1">
      <c r="A46" s="43" t="str">
        <f t="shared" si="0"/>
        <v>6089TCCAMO/BLACK</v>
      </c>
      <c r="B46" s="4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94-010-00</v>
      </c>
      <c r="C46" s="147" t="s">
        <v>863</v>
      </c>
      <c r="E46" s="43" t="str">
        <f>IF(F46&lt;&gt;"",IFERROR(VLOOKUP(F46,Категории!A:B,2,0),""),"Требуется категория")</f>
        <v>Бейсболки</v>
      </c>
      <c r="F46" s="43" t="s">
        <v>783</v>
      </c>
      <c r="G46" s="56" t="s">
        <v>927</v>
      </c>
      <c r="H46" s="43" t="s">
        <v>388</v>
      </c>
      <c r="J46" s="43" t="str">
        <f>'1C'!$AJ$1</f>
        <v>FLEXFIT</v>
      </c>
      <c r="K46" s="101" t="s">
        <v>897</v>
      </c>
      <c r="L46" s="149" t="s">
        <v>845</v>
      </c>
      <c r="M46" s="62"/>
      <c r="N46" s="62"/>
      <c r="O46" s="62"/>
      <c r="P46" s="62"/>
      <c r="Q46" s="154" t="s">
        <v>929</v>
      </c>
      <c r="R46" s="64"/>
      <c r="S46" s="62" t="s">
        <v>46</v>
      </c>
      <c r="T46" s="58"/>
      <c r="U46" s="59" t="s">
        <v>382</v>
      </c>
      <c r="V46" s="58">
        <v>10</v>
      </c>
      <c r="Y46" s="58"/>
      <c r="AA46" s="58"/>
      <c r="AC46" s="58"/>
      <c r="AE46" s="58"/>
      <c r="AG46" s="58"/>
      <c r="AT46" s="59">
        <f t="shared" si="1"/>
        <v>10</v>
      </c>
      <c r="AU46" s="155" t="s">
        <v>438</v>
      </c>
      <c r="AV46" s="56" t="str">
        <f t="shared" ca="1" si="2"/>
        <v>YupoongInc; 174, Gurodong-ro, Guro-gu, 08285 Seoul, South Korea</v>
      </c>
      <c r="AW46" s="43" t="str">
        <f t="shared" ca="1" si="3"/>
        <v>Корея, Республика</v>
      </c>
      <c r="AX46" s="74">
        <f t="shared" si="4"/>
        <v>0.1</v>
      </c>
      <c r="AY46" s="43">
        <f t="shared" si="5"/>
        <v>0.15000000000000002</v>
      </c>
      <c r="AZ46" s="43">
        <f t="shared" si="6"/>
        <v>1</v>
      </c>
      <c r="BA46" s="43">
        <f t="shared" si="7"/>
        <v>1.5000000000000002</v>
      </c>
      <c r="BB46" s="139">
        <v>661.11</v>
      </c>
      <c r="BC46" s="150">
        <f t="shared" si="8"/>
        <v>6611.1</v>
      </c>
      <c r="BD46" s="45">
        <f>IF(A46&lt;&gt;"",IF(_xlfn.XLOOKUP(A46,'1C'!A:A,'1C'!A:A,0,0)&gt;0,1,0),"")</f>
        <v>0</v>
      </c>
      <c r="BE46" s="145">
        <f>IF(C46&lt;&gt;"",IF(_xlfn.XLOOKUP(TEXT(C46,"###"),'1C'!W:W,'1C'!D:D,0,0)&gt;0,0,1),"")</f>
        <v>1</v>
      </c>
      <c r="BF46" s="72" t="str">
        <f t="shared" si="9"/>
        <v>-</v>
      </c>
    </row>
    <row r="47" spans="1:58" ht="98.1" customHeight="1">
      <c r="A47" s="43" t="str">
        <f t="shared" si="0"/>
        <v>6277BROWN</v>
      </c>
      <c r="B47" s="4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94-011-14</v>
      </c>
      <c r="C47" s="147" t="s">
        <v>864</v>
      </c>
      <c r="E47" s="43" t="str">
        <f>IF(F47&lt;&gt;"",IFERROR(VLOOKUP(F47,Категории!A:B,2,0),""),"Требуется категория")</f>
        <v>Бейсболки</v>
      </c>
      <c r="F47" s="43" t="s">
        <v>327</v>
      </c>
      <c r="G47" s="56" t="s">
        <v>927</v>
      </c>
      <c r="H47" s="43" t="s">
        <v>388</v>
      </c>
      <c r="J47" s="43" t="str">
        <f>'1C'!$AJ$1</f>
        <v>FLEXFIT</v>
      </c>
      <c r="K47" s="101" t="s">
        <v>898</v>
      </c>
      <c r="L47" s="149" t="s">
        <v>86</v>
      </c>
      <c r="M47" s="62"/>
      <c r="N47" s="62"/>
      <c r="O47" s="62"/>
      <c r="P47" s="62"/>
      <c r="Q47" s="154" t="s">
        <v>935</v>
      </c>
      <c r="R47" s="64"/>
      <c r="S47" s="62"/>
      <c r="T47" s="58"/>
      <c r="U47" s="59" t="s">
        <v>382</v>
      </c>
      <c r="V47" s="58"/>
      <c r="Y47" s="58"/>
      <c r="Z47" s="44">
        <v>3</v>
      </c>
      <c r="AA47" s="58"/>
      <c r="AC47" s="58"/>
      <c r="AD47" s="44">
        <v>3</v>
      </c>
      <c r="AE47" s="58"/>
      <c r="AG47" s="58"/>
      <c r="AT47" s="59">
        <f t="shared" si="1"/>
        <v>6</v>
      </c>
      <c r="AU47" s="155" t="s">
        <v>438</v>
      </c>
      <c r="AV47" s="56" t="str">
        <f t="shared" ca="1" si="2"/>
        <v>YupoongInc; 174, Gurodong-ro, Guro-gu, 08285 Seoul, South Korea</v>
      </c>
      <c r="AW47" s="43" t="str">
        <f t="shared" ca="1" si="3"/>
        <v>Корея, Республика</v>
      </c>
      <c r="AX47" s="74">
        <f t="shared" si="4"/>
        <v>0.1</v>
      </c>
      <c r="AY47" s="43">
        <f t="shared" si="5"/>
        <v>0.15000000000000002</v>
      </c>
      <c r="AZ47" s="43">
        <f t="shared" si="6"/>
        <v>0.60000000000000009</v>
      </c>
      <c r="BA47" s="43">
        <f t="shared" si="7"/>
        <v>0.90000000000000013</v>
      </c>
      <c r="BB47" s="139">
        <v>716.67</v>
      </c>
      <c r="BC47" s="150">
        <f t="shared" si="8"/>
        <v>4300.0199999999995</v>
      </c>
      <c r="BD47" s="45">
        <f>IF(A47&lt;&gt;"",IF(_xlfn.XLOOKUP(A47,'1C'!A:A,'1C'!A:A,0,0)&gt;0,1,0),"")</f>
        <v>0</v>
      </c>
      <c r="BE47" s="145">
        <f>IF(C47&lt;&gt;"",IF(_xlfn.XLOOKUP(TEXT(C47,"###"),'1C'!W:W,'1C'!D:D,0,0)&gt;0,0,1),"")</f>
        <v>1</v>
      </c>
      <c r="BF47" s="72" t="str">
        <f t="shared" si="9"/>
        <v>-</v>
      </c>
    </row>
    <row r="48" spans="1:58" ht="98.1" customHeight="1">
      <c r="A48" s="43" t="str">
        <f t="shared" si="0"/>
        <v>6277GOLD</v>
      </c>
      <c r="B48" s="4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94-011-00</v>
      </c>
      <c r="C48" s="147" t="s">
        <v>864</v>
      </c>
      <c r="E48" s="43" t="str">
        <f>IF(F48&lt;&gt;"",IFERROR(VLOOKUP(F48,Категории!A:B,2,0),""),"Требуется категория")</f>
        <v>Бейсболки</v>
      </c>
      <c r="F48" s="43" t="s">
        <v>327</v>
      </c>
      <c r="G48" s="56" t="s">
        <v>927</v>
      </c>
      <c r="H48" s="43" t="s">
        <v>388</v>
      </c>
      <c r="J48" s="43" t="str">
        <f>'1C'!$AJ$1</f>
        <v>FLEXFIT</v>
      </c>
      <c r="K48" s="101" t="s">
        <v>899</v>
      </c>
      <c r="L48" s="149" t="s">
        <v>157</v>
      </c>
      <c r="M48" s="62"/>
      <c r="N48" s="62"/>
      <c r="O48" s="62"/>
      <c r="P48" s="62"/>
      <c r="Q48" s="154" t="s">
        <v>935</v>
      </c>
      <c r="R48" s="64"/>
      <c r="S48" s="62"/>
      <c r="T48" s="58"/>
      <c r="U48" s="59" t="s">
        <v>382</v>
      </c>
      <c r="V48" s="58"/>
      <c r="Y48" s="58"/>
      <c r="Z48" s="44">
        <v>2</v>
      </c>
      <c r="AA48" s="58"/>
      <c r="AC48" s="58"/>
      <c r="AD48" s="44">
        <v>2</v>
      </c>
      <c r="AE48" s="58"/>
      <c r="AG48" s="58"/>
      <c r="AT48" s="59">
        <f t="shared" si="1"/>
        <v>4</v>
      </c>
      <c r="AU48" s="155" t="s">
        <v>438</v>
      </c>
      <c r="AV48" s="56" t="str">
        <f t="shared" ca="1" si="2"/>
        <v>YupoongInc; 174, Gurodong-ro, Guro-gu, 08285 Seoul, South Korea</v>
      </c>
      <c r="AW48" s="43" t="str">
        <f t="shared" ca="1" si="3"/>
        <v>Корея, Республика</v>
      </c>
      <c r="AX48" s="74">
        <f t="shared" si="4"/>
        <v>0.1</v>
      </c>
      <c r="AY48" s="43">
        <f t="shared" si="5"/>
        <v>0.15000000000000002</v>
      </c>
      <c r="AZ48" s="43">
        <f t="shared" si="6"/>
        <v>0.4</v>
      </c>
      <c r="BA48" s="43">
        <f t="shared" si="7"/>
        <v>0.60000000000000009</v>
      </c>
      <c r="BB48" s="139">
        <v>716.67</v>
      </c>
      <c r="BC48" s="150">
        <f t="shared" si="8"/>
        <v>2866.68</v>
      </c>
      <c r="BD48" s="45">
        <f>IF(A48&lt;&gt;"",IF(_xlfn.XLOOKUP(A48,'1C'!A:A,'1C'!A:A,0,0)&gt;0,1,0),"")</f>
        <v>0</v>
      </c>
      <c r="BE48" s="145">
        <f>IF(C48&lt;&gt;"",IF(_xlfn.XLOOKUP(TEXT(C48,"###"),'1C'!W:W,'1C'!D:D,0,0)&gt;0,0,1),"")</f>
        <v>1</v>
      </c>
      <c r="BF48" s="72" t="str">
        <f t="shared" si="9"/>
        <v>-</v>
      </c>
    </row>
    <row r="49" spans="1:58" ht="98.1" customHeight="1">
      <c r="A49" s="43" t="str">
        <f t="shared" si="0"/>
        <v>6320RED</v>
      </c>
      <c r="B49" s="4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94-012-18</v>
      </c>
      <c r="C49" s="147" t="s">
        <v>865</v>
      </c>
      <c r="E49" s="43" t="str">
        <f>IF(F49&lt;&gt;"",IFERROR(VLOOKUP(F49,Категории!A:B,2,0),""),"Требуется категория")</f>
        <v>Бейсболки</v>
      </c>
      <c r="F49" s="43" t="s">
        <v>356</v>
      </c>
      <c r="G49" s="56" t="s">
        <v>927</v>
      </c>
      <c r="H49" s="43" t="s">
        <v>388</v>
      </c>
      <c r="J49" s="43" t="str">
        <f>'1C'!$AJ$1</f>
        <v>FLEXFIT</v>
      </c>
      <c r="K49" s="101" t="s">
        <v>875</v>
      </c>
      <c r="L49" s="149" t="s">
        <v>78</v>
      </c>
      <c r="M49" s="62"/>
      <c r="N49" s="62"/>
      <c r="O49" s="62"/>
      <c r="P49" s="62"/>
      <c r="Q49" s="154" t="s">
        <v>936</v>
      </c>
      <c r="R49" s="64"/>
      <c r="S49" s="62"/>
      <c r="T49" s="58"/>
      <c r="U49" s="59" t="s">
        <v>382</v>
      </c>
      <c r="V49" s="58">
        <v>2</v>
      </c>
      <c r="Y49" s="58"/>
      <c r="AA49" s="58"/>
      <c r="AC49" s="58"/>
      <c r="AE49" s="58"/>
      <c r="AG49" s="58"/>
      <c r="AT49" s="59">
        <f t="shared" si="1"/>
        <v>2</v>
      </c>
      <c r="AU49" s="155" t="s">
        <v>438</v>
      </c>
      <c r="AV49" s="56" t="str">
        <f t="shared" ca="1" si="2"/>
        <v>YupoongInc; 174, Gurodong-ro, Guro-gu, 08285 Seoul, South Korea</v>
      </c>
      <c r="AW49" s="43" t="str">
        <f t="shared" ca="1" si="3"/>
        <v>Корея, Республика</v>
      </c>
      <c r="AX49" s="74">
        <f t="shared" si="4"/>
        <v>0.1</v>
      </c>
      <c r="AY49" s="43">
        <f t="shared" si="5"/>
        <v>0.15000000000000002</v>
      </c>
      <c r="AZ49" s="43">
        <f t="shared" si="6"/>
        <v>0.2</v>
      </c>
      <c r="BA49" s="43">
        <f t="shared" si="7"/>
        <v>0.30000000000000004</v>
      </c>
      <c r="BB49" s="139">
        <v>605.55999999999995</v>
      </c>
      <c r="BC49" s="150">
        <f t="shared" si="8"/>
        <v>1211.1199999999999</v>
      </c>
      <c r="BD49" s="45">
        <f>IF(A49&lt;&gt;"",IF(_xlfn.XLOOKUP(A49,'1C'!A:A,'1C'!A:A,0,0)&gt;0,1,0),"")</f>
        <v>0</v>
      </c>
      <c r="BE49" s="145">
        <f>IF(C49&lt;&gt;"",IF(_xlfn.XLOOKUP(TEXT(C49,"###"),'1C'!W:W,'1C'!D:D,0,0)&gt;0,0,1),"")</f>
        <v>1</v>
      </c>
      <c r="BF49" s="72" t="str">
        <f t="shared" si="9"/>
        <v>-</v>
      </c>
    </row>
    <row r="50" spans="1:58" ht="98.1" customHeight="1">
      <c r="A50" s="43" t="str">
        <f t="shared" si="0"/>
        <v>6320ROYAL</v>
      </c>
      <c r="B50" s="4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94-012-06</v>
      </c>
      <c r="C50" s="147" t="s">
        <v>865</v>
      </c>
      <c r="E50" s="43" t="str">
        <f>IF(F50&lt;&gt;"",IFERROR(VLOOKUP(F50,Категории!A:B,2,0),""),"Требуется категория")</f>
        <v>Бейсболки</v>
      </c>
      <c r="F50" s="43" t="s">
        <v>356</v>
      </c>
      <c r="G50" s="56" t="s">
        <v>927</v>
      </c>
      <c r="H50" s="43" t="s">
        <v>388</v>
      </c>
      <c r="J50" s="43" t="str">
        <f>'1C'!$AJ$1</f>
        <v>FLEXFIT</v>
      </c>
      <c r="K50" s="101" t="s">
        <v>876</v>
      </c>
      <c r="L50" s="148" t="s">
        <v>71</v>
      </c>
      <c r="M50" s="62"/>
      <c r="N50" s="62"/>
      <c r="O50" s="62"/>
      <c r="P50" s="62"/>
      <c r="Q50" s="154" t="s">
        <v>936</v>
      </c>
      <c r="R50" s="64"/>
      <c r="S50" s="62"/>
      <c r="T50" s="58"/>
      <c r="U50" s="59" t="s">
        <v>382</v>
      </c>
      <c r="V50" s="58">
        <v>2</v>
      </c>
      <c r="Y50" s="58"/>
      <c r="AA50" s="58"/>
      <c r="AC50" s="58"/>
      <c r="AE50" s="58"/>
      <c r="AG50" s="58"/>
      <c r="AT50" s="59">
        <f t="shared" si="1"/>
        <v>2</v>
      </c>
      <c r="AU50" s="155" t="s">
        <v>438</v>
      </c>
      <c r="AV50" s="56" t="str">
        <f t="shared" ca="1" si="2"/>
        <v>YupoongInc; 174, Gurodong-ro, Guro-gu, 08285 Seoul, South Korea</v>
      </c>
      <c r="AW50" s="43" t="str">
        <f t="shared" ca="1" si="3"/>
        <v>Корея, Республика</v>
      </c>
      <c r="AX50" s="74">
        <f t="shared" si="4"/>
        <v>0.1</v>
      </c>
      <c r="AY50" s="43">
        <f t="shared" si="5"/>
        <v>0.15000000000000002</v>
      </c>
      <c r="AZ50" s="43">
        <f t="shared" si="6"/>
        <v>0.2</v>
      </c>
      <c r="BA50" s="43">
        <f t="shared" si="7"/>
        <v>0.30000000000000004</v>
      </c>
      <c r="BB50" s="139">
        <v>605.55999999999995</v>
      </c>
      <c r="BC50" s="150">
        <f t="shared" si="8"/>
        <v>1211.1199999999999</v>
      </c>
      <c r="BD50" s="45">
        <f>IF(A50&lt;&gt;"",IF(_xlfn.XLOOKUP(A50,'1C'!A:A,'1C'!A:A,0,0)&gt;0,1,0),"")</f>
        <v>0</v>
      </c>
      <c r="BE50" s="145">
        <f>IF(C50&lt;&gt;"",IF(_xlfn.XLOOKUP(TEXT(C50,"###"),'1C'!W:W,'1C'!D:D,0,0)&gt;0,0,1),"")</f>
        <v>1</v>
      </c>
      <c r="BF50" s="72" t="str">
        <f t="shared" si="9"/>
        <v>-</v>
      </c>
    </row>
    <row r="51" spans="1:58" ht="98.1" customHeight="1">
      <c r="A51" s="43" t="str">
        <f t="shared" si="0"/>
        <v>6511BROWN</v>
      </c>
      <c r="B51" s="4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94-013-14</v>
      </c>
      <c r="C51" s="147" t="s">
        <v>866</v>
      </c>
      <c r="E51" s="43" t="str">
        <f>IF(F51&lt;&gt;"",IFERROR(VLOOKUP(F51,Категории!A:B,2,0),""),"Требуется категория")</f>
        <v>Бейсболки</v>
      </c>
      <c r="F51" s="43" t="s">
        <v>356</v>
      </c>
      <c r="G51" s="56" t="s">
        <v>927</v>
      </c>
      <c r="H51" s="43" t="s">
        <v>388</v>
      </c>
      <c r="J51" s="43" t="str">
        <f>'1C'!$AJ$1</f>
        <v>FLEXFIT</v>
      </c>
      <c r="K51" s="101" t="s">
        <v>898</v>
      </c>
      <c r="L51" s="148" t="s">
        <v>86</v>
      </c>
      <c r="M51" s="62"/>
      <c r="N51" s="62"/>
      <c r="O51" s="62"/>
      <c r="P51" s="62"/>
      <c r="Q51" s="154" t="s">
        <v>937</v>
      </c>
      <c r="R51" s="64"/>
      <c r="S51" s="62"/>
      <c r="T51" s="58"/>
      <c r="U51" s="59" t="s">
        <v>382</v>
      </c>
      <c r="V51" s="58"/>
      <c r="Y51" s="58"/>
      <c r="Z51" s="44">
        <v>3</v>
      </c>
      <c r="AA51" s="58"/>
      <c r="AC51" s="58"/>
      <c r="AE51" s="58"/>
      <c r="AG51" s="58"/>
      <c r="AT51" s="59">
        <f t="shared" si="1"/>
        <v>3</v>
      </c>
      <c r="AU51" s="155" t="s">
        <v>438</v>
      </c>
      <c r="AV51" s="56" t="str">
        <f t="shared" ca="1" si="2"/>
        <v>YupoongInc; 174, Gurodong-ro, Guro-gu, 08285 Seoul, South Korea</v>
      </c>
      <c r="AW51" s="43" t="str">
        <f t="shared" ca="1" si="3"/>
        <v>Корея, Республика</v>
      </c>
      <c r="AX51" s="74">
        <f t="shared" si="4"/>
        <v>0.1</v>
      </c>
      <c r="AY51" s="43">
        <f t="shared" si="5"/>
        <v>0.15000000000000002</v>
      </c>
      <c r="AZ51" s="43">
        <f t="shared" si="6"/>
        <v>0.30000000000000004</v>
      </c>
      <c r="BA51" s="43">
        <f t="shared" si="7"/>
        <v>0.45000000000000007</v>
      </c>
      <c r="BB51" s="139">
        <v>716.67</v>
      </c>
      <c r="BC51" s="150">
        <f t="shared" si="8"/>
        <v>2150.0099999999998</v>
      </c>
      <c r="BD51" s="45">
        <f>IF(A51&lt;&gt;"",IF(_xlfn.XLOOKUP(A51,'1C'!A:A,'1C'!A:A,0,0)&gt;0,1,0),"")</f>
        <v>0</v>
      </c>
      <c r="BE51" s="145">
        <f>IF(C51&lt;&gt;"",IF(_xlfn.XLOOKUP(TEXT(C51,"###"),'1C'!W:W,'1C'!D:D,0,0)&gt;0,0,1),"")</f>
        <v>1</v>
      </c>
      <c r="BF51" s="72" t="str">
        <f t="shared" si="9"/>
        <v>-</v>
      </c>
    </row>
    <row r="52" spans="1:58" ht="98.1" customHeight="1">
      <c r="A52" s="43" t="str">
        <f t="shared" si="0"/>
        <v>6533DARK GREY</v>
      </c>
      <c r="B52" s="4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94-014-05</v>
      </c>
      <c r="C52" s="147" t="s">
        <v>867</v>
      </c>
      <c r="E52" s="43" t="str">
        <f>IF(F52&lt;&gt;"",IFERROR(VLOOKUP(F52,Категории!A:B,2,0),""),"Требуется категория")</f>
        <v>Бейсболки</v>
      </c>
      <c r="F52" s="43" t="s">
        <v>356</v>
      </c>
      <c r="G52" s="56" t="s">
        <v>927</v>
      </c>
      <c r="H52" s="43" t="s">
        <v>388</v>
      </c>
      <c r="J52" s="43" t="str">
        <f>'1C'!$AJ$1</f>
        <v>FLEXFIT</v>
      </c>
      <c r="K52" s="101" t="s">
        <v>872</v>
      </c>
      <c r="L52" s="148" t="s">
        <v>277</v>
      </c>
      <c r="M52" s="62"/>
      <c r="N52" s="62"/>
      <c r="O52" s="62"/>
      <c r="P52" s="62"/>
      <c r="Q52" s="154" t="s">
        <v>938</v>
      </c>
      <c r="R52" s="64"/>
      <c r="S52" s="62"/>
      <c r="T52" s="58"/>
      <c r="U52" s="59" t="s">
        <v>382</v>
      </c>
      <c r="V52" s="58"/>
      <c r="Y52" s="58"/>
      <c r="Z52" s="44">
        <v>6</v>
      </c>
      <c r="AA52" s="58"/>
      <c r="AC52" s="58"/>
      <c r="AD52" s="44">
        <v>7</v>
      </c>
      <c r="AE52" s="58"/>
      <c r="AG52" s="58"/>
      <c r="AT52" s="59">
        <f t="shared" si="1"/>
        <v>13</v>
      </c>
      <c r="AU52" s="155" t="s">
        <v>438</v>
      </c>
      <c r="AV52" s="56" t="str">
        <f t="shared" ca="1" si="2"/>
        <v>YupoongInc; 174, Gurodong-ro, Guro-gu, 08285 Seoul, South Korea</v>
      </c>
      <c r="AW52" s="43" t="str">
        <f t="shared" ca="1" si="3"/>
        <v>Корея, Республика</v>
      </c>
      <c r="AX52" s="74">
        <f t="shared" si="4"/>
        <v>0.1</v>
      </c>
      <c r="AY52" s="43">
        <f t="shared" si="5"/>
        <v>0.15000000000000002</v>
      </c>
      <c r="AZ52" s="43">
        <f t="shared" si="6"/>
        <v>1.3</v>
      </c>
      <c r="BA52" s="43">
        <f t="shared" si="7"/>
        <v>1.9500000000000002</v>
      </c>
      <c r="BB52" s="139">
        <v>716.67</v>
      </c>
      <c r="BC52" s="150">
        <f t="shared" si="8"/>
        <v>9316.7099999999991</v>
      </c>
      <c r="BD52" s="45">
        <f>IF(A52&lt;&gt;"",IF(_xlfn.XLOOKUP(A52,'1C'!A:A,'1C'!A:A,0,0)&gt;0,1,0),"")</f>
        <v>0</v>
      </c>
      <c r="BE52" s="145">
        <f>IF(C52&lt;&gt;"",IF(_xlfn.XLOOKUP(TEXT(C52,"###"),'1C'!W:W,'1C'!D:D,0,0)&gt;0,0,1),"")</f>
        <v>1</v>
      </c>
      <c r="BF52" s="72" t="str">
        <f t="shared" si="9"/>
        <v>-</v>
      </c>
    </row>
    <row r="53" spans="1:58" ht="98.1" customHeight="1">
      <c r="A53" s="43" t="str">
        <f t="shared" si="0"/>
        <v>6533MAROON</v>
      </c>
      <c r="B53" s="4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94-014-12</v>
      </c>
      <c r="C53" s="147" t="s">
        <v>867</v>
      </c>
      <c r="E53" s="43" t="str">
        <f>IF(F53&lt;&gt;"",IFERROR(VLOOKUP(F53,Категории!A:B,2,0),""),"Требуется категория")</f>
        <v>Бейсболки</v>
      </c>
      <c r="F53" s="43" t="s">
        <v>356</v>
      </c>
      <c r="G53" s="56" t="s">
        <v>927</v>
      </c>
      <c r="H53" s="43" t="s">
        <v>388</v>
      </c>
      <c r="J53" s="43" t="str">
        <f>'1C'!$AJ$1</f>
        <v>FLEXFIT</v>
      </c>
      <c r="K53" s="101" t="s">
        <v>888</v>
      </c>
      <c r="L53" s="148" t="s">
        <v>121</v>
      </c>
      <c r="M53" s="65"/>
      <c r="N53" s="62"/>
      <c r="O53" s="62"/>
      <c r="P53" s="62"/>
      <c r="Q53" s="154" t="s">
        <v>938</v>
      </c>
      <c r="R53" s="64"/>
      <c r="S53" s="62"/>
      <c r="T53" s="58"/>
      <c r="U53" s="59" t="s">
        <v>382</v>
      </c>
      <c r="V53" s="58"/>
      <c r="Y53" s="58"/>
      <c r="Z53" s="44">
        <v>5</v>
      </c>
      <c r="AA53" s="58"/>
      <c r="AC53" s="58"/>
      <c r="AD53" s="44">
        <v>7</v>
      </c>
      <c r="AE53" s="58"/>
      <c r="AG53" s="58"/>
      <c r="AT53" s="59">
        <f t="shared" si="1"/>
        <v>12</v>
      </c>
      <c r="AU53" s="155" t="s">
        <v>438</v>
      </c>
      <c r="AV53" s="56" t="str">
        <f t="shared" ca="1" si="2"/>
        <v>YupoongInc; 174, Gurodong-ro, Guro-gu, 08285 Seoul, South Korea</v>
      </c>
      <c r="AW53" s="43" t="str">
        <f t="shared" ca="1" si="3"/>
        <v>Корея, Республика</v>
      </c>
      <c r="AX53" s="74">
        <f t="shared" si="4"/>
        <v>0.1</v>
      </c>
      <c r="AY53" s="43">
        <f t="shared" si="5"/>
        <v>0.15000000000000002</v>
      </c>
      <c r="AZ53" s="43">
        <f t="shared" si="6"/>
        <v>1.2000000000000002</v>
      </c>
      <c r="BA53" s="43">
        <f t="shared" si="7"/>
        <v>1.8000000000000003</v>
      </c>
      <c r="BB53" s="139">
        <v>716.67</v>
      </c>
      <c r="BC53" s="150">
        <f t="shared" si="8"/>
        <v>8600.0399999999991</v>
      </c>
      <c r="BD53" s="45">
        <f>IF(A53&lt;&gt;"",IF(_xlfn.XLOOKUP(A53,'1C'!A:A,'1C'!A:A,0,0)&gt;0,1,0),"")</f>
        <v>0</v>
      </c>
      <c r="BE53" s="145">
        <f>IF(C53&lt;&gt;"",IF(_xlfn.XLOOKUP(TEXT(C53,"###"),'1C'!W:W,'1C'!D:D,0,0)&gt;0,0,1),"")</f>
        <v>1</v>
      </c>
      <c r="BF53" s="72" t="str">
        <f t="shared" si="9"/>
        <v>-</v>
      </c>
    </row>
    <row r="54" spans="1:58" ht="98.1" customHeight="1">
      <c r="A54" s="43" t="str">
        <f t="shared" si="0"/>
        <v>6533PURPLE</v>
      </c>
      <c r="B54" s="4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94-014-41</v>
      </c>
      <c r="C54" s="147" t="s">
        <v>867</v>
      </c>
      <c r="E54" s="43" t="str">
        <f>IF(F54&lt;&gt;"",IFERROR(VLOOKUP(F54,Категории!A:B,2,0),""),"Требуется категория")</f>
        <v>Бейсболки</v>
      </c>
      <c r="F54" s="43" t="s">
        <v>356</v>
      </c>
      <c r="G54" s="56" t="s">
        <v>927</v>
      </c>
      <c r="H54" s="43" t="s">
        <v>388</v>
      </c>
      <c r="J54" s="43" t="str">
        <f>'1C'!$AJ$1</f>
        <v>FLEXFIT</v>
      </c>
      <c r="K54" s="101" t="s">
        <v>900</v>
      </c>
      <c r="L54" s="148" t="s">
        <v>286</v>
      </c>
      <c r="M54" s="65"/>
      <c r="N54" s="62"/>
      <c r="O54" s="62"/>
      <c r="P54" s="62"/>
      <c r="Q54" s="154" t="s">
        <v>938</v>
      </c>
      <c r="R54" s="64"/>
      <c r="S54" s="62"/>
      <c r="T54" s="58"/>
      <c r="U54" s="59" t="s">
        <v>382</v>
      </c>
      <c r="V54" s="58"/>
      <c r="Y54" s="58"/>
      <c r="Z54" s="44">
        <v>4</v>
      </c>
      <c r="AA54" s="58"/>
      <c r="AC54" s="58"/>
      <c r="AE54" s="58"/>
      <c r="AG54" s="58"/>
      <c r="AT54" s="59">
        <f t="shared" si="1"/>
        <v>4</v>
      </c>
      <c r="AU54" s="155" t="s">
        <v>438</v>
      </c>
      <c r="AV54" s="56" t="str">
        <f t="shared" ca="1" si="2"/>
        <v>YupoongInc; 174, Gurodong-ro, Guro-gu, 08285 Seoul, South Korea</v>
      </c>
      <c r="AW54" s="43" t="str">
        <f t="shared" ca="1" si="3"/>
        <v>Корея, Республика</v>
      </c>
      <c r="AX54" s="74">
        <f t="shared" si="4"/>
        <v>0.1</v>
      </c>
      <c r="AY54" s="43">
        <f t="shared" si="5"/>
        <v>0.15000000000000002</v>
      </c>
      <c r="AZ54" s="43">
        <f t="shared" si="6"/>
        <v>0.4</v>
      </c>
      <c r="BA54" s="43">
        <f t="shared" si="7"/>
        <v>0.60000000000000009</v>
      </c>
      <c r="BB54" s="139">
        <v>716.67</v>
      </c>
      <c r="BC54" s="150">
        <f t="shared" si="8"/>
        <v>2866.68</v>
      </c>
      <c r="BD54" s="45">
        <f>IF(A54&lt;&gt;"",IF(_xlfn.XLOOKUP(A54,'1C'!A:A,'1C'!A:A,0,0)&gt;0,1,0),"")</f>
        <v>0</v>
      </c>
      <c r="BE54" s="145">
        <f>IF(C54&lt;&gt;"",IF(_xlfn.XLOOKUP(TEXT(C54,"###"),'1C'!W:W,'1C'!D:D,0,0)&gt;0,0,1),"")</f>
        <v>1</v>
      </c>
      <c r="BF54" s="72" t="str">
        <f t="shared" si="9"/>
        <v>-</v>
      </c>
    </row>
    <row r="55" spans="1:58" ht="98.1" customHeight="1">
      <c r="A55" s="43" t="str">
        <f t="shared" si="0"/>
        <v>6606BLACK</v>
      </c>
      <c r="B55" s="4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94-015-09</v>
      </c>
      <c r="C55" s="147" t="s">
        <v>868</v>
      </c>
      <c r="E55" s="43" t="str">
        <f>IF(F55&lt;&gt;"",IFERROR(VLOOKUP(F55,Категории!A:B,2,0),""),"Требуется категория")</f>
        <v>Бейсболки</v>
      </c>
      <c r="F55" s="43" t="s">
        <v>356</v>
      </c>
      <c r="G55" s="56" t="s">
        <v>927</v>
      </c>
      <c r="H55" s="43" t="s">
        <v>388</v>
      </c>
      <c r="J55" s="43" t="str">
        <f>'1C'!$AJ$1</f>
        <v>FLEXFIT</v>
      </c>
      <c r="K55" s="101" t="s">
        <v>878</v>
      </c>
      <c r="L55" s="149" t="s">
        <v>53</v>
      </c>
      <c r="M55" s="65"/>
      <c r="N55" s="62"/>
      <c r="O55" s="62"/>
      <c r="P55" s="62"/>
      <c r="Q55" s="154" t="s">
        <v>933</v>
      </c>
      <c r="R55" s="64"/>
      <c r="S55" s="62"/>
      <c r="T55" s="58"/>
      <c r="U55" s="59" t="s">
        <v>382</v>
      </c>
      <c r="V55" s="58">
        <v>11</v>
      </c>
      <c r="Y55" s="58"/>
      <c r="AA55" s="58"/>
      <c r="AC55" s="58"/>
      <c r="AE55" s="58"/>
      <c r="AG55" s="58"/>
      <c r="AT55" s="59">
        <f t="shared" si="1"/>
        <v>11</v>
      </c>
      <c r="AU55" s="155" t="s">
        <v>438</v>
      </c>
      <c r="AV55" s="56" t="str">
        <f t="shared" ca="1" si="2"/>
        <v>YupoongInc; 174, Gurodong-ro, Guro-gu, 08285 Seoul, South Korea</v>
      </c>
      <c r="AW55" s="43" t="str">
        <f t="shared" ca="1" si="3"/>
        <v>Корея, Республика</v>
      </c>
      <c r="AX55" s="74">
        <f t="shared" si="4"/>
        <v>0.1</v>
      </c>
      <c r="AY55" s="43">
        <f t="shared" si="5"/>
        <v>0.15000000000000002</v>
      </c>
      <c r="AZ55" s="43">
        <f t="shared" si="6"/>
        <v>1.1000000000000001</v>
      </c>
      <c r="BA55" s="43">
        <f t="shared" si="7"/>
        <v>1.6500000000000004</v>
      </c>
      <c r="BB55" s="139">
        <v>661.11</v>
      </c>
      <c r="BC55" s="150">
        <f t="shared" si="8"/>
        <v>7272.21</v>
      </c>
      <c r="BD55" s="45">
        <f>IF(A55&lt;&gt;"",IF(_xlfn.XLOOKUP(A55,'1C'!A:A,'1C'!A:A,0,0)&gt;0,1,0),"")</f>
        <v>0</v>
      </c>
      <c r="BE55" s="145">
        <f>IF(C55&lt;&gt;"",IF(_xlfn.XLOOKUP(TEXT(C55,"###"),'1C'!W:W,'1C'!D:D,0,0)&gt;0,0,1),"")</f>
        <v>1</v>
      </c>
      <c r="BF55" s="72" t="str">
        <f t="shared" si="9"/>
        <v>-</v>
      </c>
    </row>
    <row r="56" spans="1:58" ht="98.1" customHeight="1">
      <c r="A56" s="43" t="str">
        <f t="shared" si="0"/>
        <v>6606EVERGREEN</v>
      </c>
      <c r="B56" s="4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94-015-11</v>
      </c>
      <c r="C56" s="147" t="s">
        <v>868</v>
      </c>
      <c r="E56" s="43" t="str">
        <f>IF(F56&lt;&gt;"",IFERROR(VLOOKUP(F56,Категории!A:B,2,0),""),"Требуется категория")</f>
        <v>Бейсболки</v>
      </c>
      <c r="F56" s="43" t="s">
        <v>356</v>
      </c>
      <c r="G56" s="56" t="s">
        <v>927</v>
      </c>
      <c r="H56" s="43" t="s">
        <v>388</v>
      </c>
      <c r="J56" s="43" t="str">
        <f>'1C'!$AJ$1</f>
        <v>FLEXFIT</v>
      </c>
      <c r="K56" s="101" t="s">
        <v>901</v>
      </c>
      <c r="L56" s="149" t="s">
        <v>60</v>
      </c>
      <c r="M56" s="65"/>
      <c r="N56" s="62"/>
      <c r="O56" s="62"/>
      <c r="P56" s="62"/>
      <c r="Q56" s="154" t="s">
        <v>933</v>
      </c>
      <c r="R56" s="64"/>
      <c r="S56" s="62"/>
      <c r="T56" s="58"/>
      <c r="U56" s="59" t="s">
        <v>382</v>
      </c>
      <c r="V56" s="58">
        <v>2</v>
      </c>
      <c r="Y56" s="58"/>
      <c r="AA56" s="58"/>
      <c r="AC56" s="58"/>
      <c r="AE56" s="58"/>
      <c r="AG56" s="58"/>
      <c r="AT56" s="59">
        <f t="shared" si="1"/>
        <v>2</v>
      </c>
      <c r="AU56" s="155" t="s">
        <v>438</v>
      </c>
      <c r="AV56" s="56" t="str">
        <f t="shared" ca="1" si="2"/>
        <v>YupoongInc; 174, Gurodong-ro, Guro-gu, 08285 Seoul, South Korea</v>
      </c>
      <c r="AW56" s="43" t="str">
        <f t="shared" ca="1" si="3"/>
        <v>Корея, Республика</v>
      </c>
      <c r="AX56" s="74">
        <f t="shared" si="4"/>
        <v>0.1</v>
      </c>
      <c r="AY56" s="43">
        <f t="shared" si="5"/>
        <v>0.15000000000000002</v>
      </c>
      <c r="AZ56" s="43">
        <f t="shared" si="6"/>
        <v>0.2</v>
      </c>
      <c r="BA56" s="43">
        <f t="shared" si="7"/>
        <v>0.30000000000000004</v>
      </c>
      <c r="BB56" s="139">
        <v>661.11</v>
      </c>
      <c r="BC56" s="150">
        <f t="shared" si="8"/>
        <v>1322.22</v>
      </c>
      <c r="BD56" s="45">
        <f>IF(A56&lt;&gt;"",IF(_xlfn.XLOOKUP(A56,'1C'!A:A,'1C'!A:A,0,0)&gt;0,1,0),"")</f>
        <v>0</v>
      </c>
      <c r="BE56" s="145">
        <f>IF(C56&lt;&gt;"",IF(_xlfn.XLOOKUP(TEXT(C56,"###"),'1C'!W:W,'1C'!D:D,0,0)&gt;0,0,1),"")</f>
        <v>1</v>
      </c>
      <c r="BF56" s="72" t="str">
        <f t="shared" si="9"/>
        <v>-</v>
      </c>
    </row>
    <row r="57" spans="1:58" ht="98.1" customHeight="1">
      <c r="A57" s="43" t="str">
        <f t="shared" si="0"/>
        <v>1500KCBABY PINK</v>
      </c>
      <c r="B57" s="4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94-016-34</v>
      </c>
      <c r="C57" s="147" t="s">
        <v>869</v>
      </c>
      <c r="E57" s="43" t="str">
        <f>IF(F57&lt;&gt;"",IFERROR(VLOOKUP(F57,Категории!A:B,2,0),""),"Требуется категория")</f>
        <v>Шапки</v>
      </c>
      <c r="F57" s="43" t="s">
        <v>340</v>
      </c>
      <c r="G57" s="56" t="s">
        <v>927</v>
      </c>
      <c r="H57" s="43" t="s">
        <v>388</v>
      </c>
      <c r="J57" s="43" t="str">
        <f>'1C'!$AJ$1</f>
        <v>FLEXFIT</v>
      </c>
      <c r="K57" s="101" t="s">
        <v>902</v>
      </c>
      <c r="L57" s="149" t="s">
        <v>68</v>
      </c>
      <c r="M57" s="65"/>
      <c r="N57" s="62"/>
      <c r="O57" s="62"/>
      <c r="P57" s="62"/>
      <c r="Q57" s="154" t="s">
        <v>939</v>
      </c>
      <c r="R57" s="64"/>
      <c r="S57" s="62" t="s">
        <v>46</v>
      </c>
      <c r="T57" s="58"/>
      <c r="U57" s="59" t="s">
        <v>387</v>
      </c>
      <c r="V57" s="58">
        <v>4</v>
      </c>
      <c r="Y57" s="58"/>
      <c r="AA57" s="58"/>
      <c r="AC57" s="58"/>
      <c r="AE57" s="58"/>
      <c r="AG57" s="58"/>
      <c r="AT57" s="59">
        <f t="shared" si="1"/>
        <v>4</v>
      </c>
      <c r="AU57" s="155" t="s">
        <v>438</v>
      </c>
      <c r="AV57" s="56" t="str">
        <f t="shared" ca="1" si="2"/>
        <v>YupoongInc; 174, Gurodong-ro, Guro-gu, 08285 Seoul, South Korea</v>
      </c>
      <c r="AW57" s="43" t="str">
        <f t="shared" ca="1" si="3"/>
        <v>Корея, Республика</v>
      </c>
      <c r="AX57" s="74">
        <f t="shared" si="4"/>
        <v>0.1</v>
      </c>
      <c r="AY57" s="43">
        <f t="shared" si="5"/>
        <v>0.15000000000000002</v>
      </c>
      <c r="AZ57" s="43">
        <f t="shared" si="6"/>
        <v>0.4</v>
      </c>
      <c r="BA57" s="43">
        <f t="shared" si="7"/>
        <v>0.60000000000000009</v>
      </c>
      <c r="BB57" s="139">
        <v>368.05</v>
      </c>
      <c r="BC57" s="150">
        <f t="shared" si="8"/>
        <v>1472.2</v>
      </c>
      <c r="BD57" s="45">
        <f>IF(A57&lt;&gt;"",IF(_xlfn.XLOOKUP(A57,'1C'!A:A,'1C'!A:A,0,0)&gt;0,1,0),"")</f>
        <v>0</v>
      </c>
      <c r="BE57" s="145">
        <f>IF(C57&lt;&gt;"",IF(_xlfn.XLOOKUP(TEXT(C57,"###"),'1C'!W:W,'1C'!D:D,0,0)&gt;0,0,1),"")</f>
        <v>1</v>
      </c>
      <c r="BF57" s="72" t="str">
        <f t="shared" si="9"/>
        <v>-</v>
      </c>
    </row>
    <row r="58" spans="1:58" ht="98.1" customHeight="1">
      <c r="A58" s="43" t="str">
        <f t="shared" si="0"/>
        <v>1500KCBLACK</v>
      </c>
      <c r="B58" s="4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94-016-09</v>
      </c>
      <c r="C58" s="147" t="s">
        <v>869</v>
      </c>
      <c r="E58" s="43" t="str">
        <f>IF(F58&lt;&gt;"",IFERROR(VLOOKUP(F58,Категории!A:B,2,0),""),"Требуется категория")</f>
        <v>Шапки</v>
      </c>
      <c r="F58" s="43" t="s">
        <v>340</v>
      </c>
      <c r="G58" s="56" t="s">
        <v>927</v>
      </c>
      <c r="H58" s="43" t="s">
        <v>388</v>
      </c>
      <c r="J58" s="43" t="str">
        <f>'1C'!$AJ$1</f>
        <v>FLEXFIT</v>
      </c>
      <c r="K58" s="101" t="s">
        <v>878</v>
      </c>
      <c r="L58" s="149" t="s">
        <v>53</v>
      </c>
      <c r="M58" s="65"/>
      <c r="N58" s="62"/>
      <c r="O58" s="62"/>
      <c r="P58" s="62"/>
      <c r="Q58" s="154" t="s">
        <v>939</v>
      </c>
      <c r="R58" s="64"/>
      <c r="S58" s="62" t="s">
        <v>46</v>
      </c>
      <c r="T58" s="58"/>
      <c r="U58" s="59" t="s">
        <v>382</v>
      </c>
      <c r="V58" s="58">
        <v>16</v>
      </c>
      <c r="Y58" s="58"/>
      <c r="AA58" s="58"/>
      <c r="AC58" s="58"/>
      <c r="AE58" s="58"/>
      <c r="AG58" s="58"/>
      <c r="AT58" s="59">
        <f t="shared" si="1"/>
        <v>16</v>
      </c>
      <c r="AU58" s="155" t="s">
        <v>438</v>
      </c>
      <c r="AV58" s="56" t="str">
        <f t="shared" ca="1" si="2"/>
        <v>YupoongInc; 174, Gurodong-ro, Guro-gu, 08285 Seoul, South Korea</v>
      </c>
      <c r="AW58" s="43" t="str">
        <f t="shared" ca="1" si="3"/>
        <v>Корея, Республика</v>
      </c>
      <c r="AX58" s="74">
        <f t="shared" si="4"/>
        <v>0.1</v>
      </c>
      <c r="AY58" s="43">
        <f t="shared" si="5"/>
        <v>0.15000000000000002</v>
      </c>
      <c r="AZ58" s="43">
        <f t="shared" si="6"/>
        <v>1.6</v>
      </c>
      <c r="BA58" s="43">
        <f t="shared" si="7"/>
        <v>2.4000000000000004</v>
      </c>
      <c r="BB58" s="139">
        <v>368.05</v>
      </c>
      <c r="BC58" s="150">
        <f t="shared" si="8"/>
        <v>5888.8</v>
      </c>
      <c r="BD58" s="45">
        <f>IF(A58&lt;&gt;"",IF(_xlfn.XLOOKUP(A58,'1C'!A:A,'1C'!A:A,0,0)&gt;0,1,0),"")</f>
        <v>0</v>
      </c>
      <c r="BE58" s="145">
        <f>IF(C58&lt;&gt;"",IF(_xlfn.XLOOKUP(TEXT(C58,"###"),'1C'!W:W,'1C'!D:D,0,0)&gt;0,0,1),"")</f>
        <v>1</v>
      </c>
      <c r="BF58" s="72" t="str">
        <f t="shared" si="9"/>
        <v>-</v>
      </c>
    </row>
    <row r="59" spans="1:58" ht="98.1" customHeight="1">
      <c r="A59" s="43" t="str">
        <f t="shared" si="0"/>
        <v>1500KCBROWN</v>
      </c>
      <c r="B59" s="4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94-016-14</v>
      </c>
      <c r="C59" s="147" t="s">
        <v>869</v>
      </c>
      <c r="E59" s="43" t="str">
        <f>IF(F59&lt;&gt;"",IFERROR(VLOOKUP(F59,Категории!A:B,2,0),""),"Требуется категория")</f>
        <v>Шапки</v>
      </c>
      <c r="F59" s="43" t="s">
        <v>340</v>
      </c>
      <c r="G59" s="56" t="s">
        <v>927</v>
      </c>
      <c r="H59" s="43" t="s">
        <v>388</v>
      </c>
      <c r="J59" s="43" t="str">
        <f>'1C'!$AJ$1</f>
        <v>FLEXFIT</v>
      </c>
      <c r="K59" s="101" t="s">
        <v>898</v>
      </c>
      <c r="L59" s="149" t="s">
        <v>86</v>
      </c>
      <c r="M59" s="65"/>
      <c r="N59" s="62"/>
      <c r="O59" s="62"/>
      <c r="P59" s="62"/>
      <c r="Q59" s="154" t="s">
        <v>939</v>
      </c>
      <c r="R59" s="64"/>
      <c r="S59" s="62" t="s">
        <v>46</v>
      </c>
      <c r="T59" s="58"/>
      <c r="U59" s="59" t="s">
        <v>382</v>
      </c>
      <c r="V59" s="58">
        <v>5</v>
      </c>
      <c r="Y59" s="58"/>
      <c r="AA59" s="58"/>
      <c r="AC59" s="58"/>
      <c r="AE59" s="58"/>
      <c r="AG59" s="58"/>
      <c r="AT59" s="59">
        <f t="shared" si="1"/>
        <v>5</v>
      </c>
      <c r="AU59" s="155" t="s">
        <v>438</v>
      </c>
      <c r="AV59" s="56" t="str">
        <f t="shared" ca="1" si="2"/>
        <v>YupoongInc; 174, Gurodong-ro, Guro-gu, 08285 Seoul, South Korea</v>
      </c>
      <c r="AW59" s="43" t="str">
        <f t="shared" ca="1" si="3"/>
        <v>Корея, Республика</v>
      </c>
      <c r="AX59" s="74">
        <f t="shared" si="4"/>
        <v>0.1</v>
      </c>
      <c r="AY59" s="43">
        <f t="shared" si="5"/>
        <v>0.15000000000000002</v>
      </c>
      <c r="AZ59" s="43">
        <f t="shared" si="6"/>
        <v>0.5</v>
      </c>
      <c r="BA59" s="43">
        <f t="shared" si="7"/>
        <v>0.75000000000000011</v>
      </c>
      <c r="BB59" s="139">
        <v>368.05</v>
      </c>
      <c r="BC59" s="150">
        <f t="shared" si="8"/>
        <v>1840.25</v>
      </c>
      <c r="BD59" s="45">
        <f>IF(A59&lt;&gt;"",IF(_xlfn.XLOOKUP(A59,'1C'!A:A,'1C'!A:A,0,0)&gt;0,1,0),"")</f>
        <v>0</v>
      </c>
      <c r="BE59" s="145">
        <f>IF(C59&lt;&gt;"",IF(_xlfn.XLOOKUP(TEXT(C59,"###"),'1C'!W:W,'1C'!D:D,0,0)&gt;0,0,1),"")</f>
        <v>1</v>
      </c>
      <c r="BF59" s="72" t="str">
        <f t="shared" si="9"/>
        <v>-</v>
      </c>
    </row>
    <row r="60" spans="1:58" ht="98.1" customHeight="1">
      <c r="A60" s="43" t="str">
        <f t="shared" si="0"/>
        <v>1500KCDARK GREY</v>
      </c>
      <c r="B60" s="4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94-016-05</v>
      </c>
      <c r="C60" s="147" t="s">
        <v>869</v>
      </c>
      <c r="E60" s="43" t="str">
        <f>IF(F60&lt;&gt;"",IFERROR(VLOOKUP(F60,Категории!A:B,2,0),""),"Требуется категория")</f>
        <v>Шапки</v>
      </c>
      <c r="F60" s="43" t="s">
        <v>340</v>
      </c>
      <c r="G60" s="56" t="s">
        <v>927</v>
      </c>
      <c r="H60" s="43" t="s">
        <v>388</v>
      </c>
      <c r="J60" s="43" t="str">
        <f>'1C'!$AJ$1</f>
        <v>FLEXFIT</v>
      </c>
      <c r="K60" s="101" t="s">
        <v>872</v>
      </c>
      <c r="L60" s="148" t="s">
        <v>277</v>
      </c>
      <c r="M60" s="65"/>
      <c r="N60" s="62"/>
      <c r="O60" s="62"/>
      <c r="P60" s="62"/>
      <c r="Q60" s="154" t="s">
        <v>939</v>
      </c>
      <c r="R60" s="64"/>
      <c r="S60" s="62" t="s">
        <v>46</v>
      </c>
      <c r="T60" s="58"/>
      <c r="U60" s="59" t="s">
        <v>382</v>
      </c>
      <c r="V60" s="58">
        <v>4</v>
      </c>
      <c r="Y60" s="58"/>
      <c r="AA60" s="58"/>
      <c r="AC60" s="58"/>
      <c r="AE60" s="58"/>
      <c r="AG60" s="58"/>
      <c r="AT60" s="59">
        <f t="shared" si="1"/>
        <v>4</v>
      </c>
      <c r="AU60" s="155" t="s">
        <v>438</v>
      </c>
      <c r="AV60" s="56" t="str">
        <f t="shared" ca="1" si="2"/>
        <v>YupoongInc; 174, Gurodong-ro, Guro-gu, 08285 Seoul, South Korea</v>
      </c>
      <c r="AW60" s="43" t="str">
        <f t="shared" ca="1" si="3"/>
        <v>Корея, Республика</v>
      </c>
      <c r="AX60" s="74">
        <f t="shared" si="4"/>
        <v>0.1</v>
      </c>
      <c r="AY60" s="43">
        <f t="shared" si="5"/>
        <v>0.15000000000000002</v>
      </c>
      <c r="AZ60" s="43">
        <f t="shared" si="6"/>
        <v>0.4</v>
      </c>
      <c r="BA60" s="43">
        <f t="shared" si="7"/>
        <v>0.60000000000000009</v>
      </c>
      <c r="BB60" s="139">
        <v>368.05</v>
      </c>
      <c r="BC60" s="150">
        <f t="shared" si="8"/>
        <v>1472.2</v>
      </c>
      <c r="BD60" s="45">
        <f>IF(A60&lt;&gt;"",IF(_xlfn.XLOOKUP(A60,'1C'!A:A,'1C'!A:A,0,0)&gt;0,1,0),"")</f>
        <v>0</v>
      </c>
      <c r="BE60" s="145">
        <f>IF(C60&lt;&gt;"",IF(_xlfn.XLOOKUP(TEXT(C60,"###"),'1C'!W:W,'1C'!D:D,0,0)&gt;0,0,1),"")</f>
        <v>1</v>
      </c>
      <c r="BF60" s="72" t="str">
        <f t="shared" si="9"/>
        <v>-</v>
      </c>
    </row>
    <row r="61" spans="1:58" ht="98.1" customHeight="1">
      <c r="A61" s="43" t="str">
        <f t="shared" si="0"/>
        <v>1500KCGOLD</v>
      </c>
      <c r="B61" s="4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94-016-00</v>
      </c>
      <c r="C61" s="147" t="s">
        <v>869</v>
      </c>
      <c r="E61" s="43" t="str">
        <f>IF(F61&lt;&gt;"",IFERROR(VLOOKUP(F61,Категории!A:B,2,0),""),"Требуется категория")</f>
        <v>Шапки</v>
      </c>
      <c r="F61" s="43" t="s">
        <v>340</v>
      </c>
      <c r="G61" s="56" t="s">
        <v>927</v>
      </c>
      <c r="H61" s="43" t="s">
        <v>388</v>
      </c>
      <c r="J61" s="43" t="str">
        <f>'1C'!$AJ$1</f>
        <v>FLEXFIT</v>
      </c>
      <c r="K61" s="101" t="s">
        <v>899</v>
      </c>
      <c r="L61" s="148" t="s">
        <v>157</v>
      </c>
      <c r="M61" s="65"/>
      <c r="N61" s="62"/>
      <c r="O61" s="62"/>
      <c r="P61" s="62"/>
      <c r="Q61" s="154" t="s">
        <v>939</v>
      </c>
      <c r="R61" s="64"/>
      <c r="S61" s="62" t="s">
        <v>46</v>
      </c>
      <c r="T61" s="58"/>
      <c r="U61" s="59" t="s">
        <v>382</v>
      </c>
      <c r="V61" s="58">
        <v>4</v>
      </c>
      <c r="Y61" s="58"/>
      <c r="AA61" s="58"/>
      <c r="AC61" s="58"/>
      <c r="AE61" s="58"/>
      <c r="AG61" s="58"/>
      <c r="AT61" s="59">
        <f t="shared" si="1"/>
        <v>4</v>
      </c>
      <c r="AU61" s="155" t="s">
        <v>438</v>
      </c>
      <c r="AV61" s="56" t="str">
        <f t="shared" ca="1" si="2"/>
        <v>YupoongInc; 174, Gurodong-ro, Guro-gu, 08285 Seoul, South Korea</v>
      </c>
      <c r="AW61" s="43" t="str">
        <f t="shared" ca="1" si="3"/>
        <v>Корея, Республика</v>
      </c>
      <c r="AX61" s="74">
        <f t="shared" si="4"/>
        <v>0.1</v>
      </c>
      <c r="AY61" s="43">
        <f t="shared" si="5"/>
        <v>0.15000000000000002</v>
      </c>
      <c r="AZ61" s="43">
        <f t="shared" si="6"/>
        <v>0.4</v>
      </c>
      <c r="BA61" s="43">
        <f t="shared" si="7"/>
        <v>0.60000000000000009</v>
      </c>
      <c r="BB61" s="139">
        <v>368.05</v>
      </c>
      <c r="BC61" s="150">
        <f t="shared" si="8"/>
        <v>1472.2</v>
      </c>
      <c r="BD61" s="45">
        <f>IF(A61&lt;&gt;"",IF(_xlfn.XLOOKUP(A61,'1C'!A:A,'1C'!A:A,0,0)&gt;0,1,0),"")</f>
        <v>0</v>
      </c>
      <c r="BE61" s="145">
        <f>IF(C61&lt;&gt;"",IF(_xlfn.XLOOKUP(TEXT(C61,"###"),'1C'!W:W,'1C'!D:D,0,0)&gt;0,0,1),"")</f>
        <v>1</v>
      </c>
      <c r="BF61" s="72" t="str">
        <f t="shared" si="9"/>
        <v>-</v>
      </c>
    </row>
    <row r="62" spans="1:58" ht="98.1" customHeight="1">
      <c r="A62" s="43" t="str">
        <f t="shared" si="0"/>
        <v>1500KCHEATHER GREY</v>
      </c>
      <c r="B62" s="4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94-016-01</v>
      </c>
      <c r="C62" s="147" t="s">
        <v>869</v>
      </c>
      <c r="E62" s="43" t="str">
        <f>IF(F62&lt;&gt;"",IFERROR(VLOOKUP(F62,Категории!A:B,2,0),""),"Требуется категория")</f>
        <v>Шапки</v>
      </c>
      <c r="F62" s="43" t="s">
        <v>340</v>
      </c>
      <c r="G62" s="56" t="s">
        <v>927</v>
      </c>
      <c r="H62" s="43" t="s">
        <v>388</v>
      </c>
      <c r="J62" s="43" t="str">
        <f>'1C'!$AJ$1</f>
        <v>FLEXFIT</v>
      </c>
      <c r="K62" s="101" t="s">
        <v>873</v>
      </c>
      <c r="L62" s="148" t="s">
        <v>231</v>
      </c>
      <c r="M62" s="65"/>
      <c r="N62" s="62"/>
      <c r="O62" s="62"/>
      <c r="P62" s="62"/>
      <c r="Q62" s="154" t="s">
        <v>939</v>
      </c>
      <c r="R62" s="64"/>
      <c r="S62" s="62" t="s">
        <v>46</v>
      </c>
      <c r="T62" s="58"/>
      <c r="U62" s="59" t="s">
        <v>382</v>
      </c>
      <c r="V62" s="58">
        <v>2</v>
      </c>
      <c r="Y62" s="58"/>
      <c r="AA62" s="58"/>
      <c r="AC62" s="58"/>
      <c r="AE62" s="58"/>
      <c r="AG62" s="58"/>
      <c r="AT62" s="59">
        <f t="shared" si="1"/>
        <v>2</v>
      </c>
      <c r="AU62" s="155" t="s">
        <v>438</v>
      </c>
      <c r="AV62" s="56" t="str">
        <f t="shared" ca="1" si="2"/>
        <v>YupoongInc; 174, Gurodong-ro, Guro-gu, 08285 Seoul, South Korea</v>
      </c>
      <c r="AW62" s="43" t="str">
        <f t="shared" ca="1" si="3"/>
        <v>Корея, Республика</v>
      </c>
      <c r="AX62" s="74">
        <f t="shared" si="4"/>
        <v>0.1</v>
      </c>
      <c r="AY62" s="43">
        <f t="shared" si="5"/>
        <v>0.15000000000000002</v>
      </c>
      <c r="AZ62" s="43">
        <f t="shared" si="6"/>
        <v>0.2</v>
      </c>
      <c r="BA62" s="43">
        <f t="shared" si="7"/>
        <v>0.30000000000000004</v>
      </c>
      <c r="BB62" s="139">
        <v>368.05</v>
      </c>
      <c r="BC62" s="150">
        <f t="shared" si="8"/>
        <v>736.1</v>
      </c>
      <c r="BD62" s="45">
        <f>IF(A62&lt;&gt;"",IF(_xlfn.XLOOKUP(A62,'1C'!A:A,'1C'!A:A,0,0)&gt;0,1,0),"")</f>
        <v>0</v>
      </c>
      <c r="BE62" s="145">
        <f>IF(C62&lt;&gt;"",IF(_xlfn.XLOOKUP(TEXT(C62,"###"),'1C'!W:W,'1C'!D:D,0,0)&gt;0,0,1),"")</f>
        <v>1</v>
      </c>
      <c r="BF62" s="72" t="str">
        <f t="shared" si="9"/>
        <v>-</v>
      </c>
    </row>
    <row r="63" spans="1:58" ht="98.1" customHeight="1">
      <c r="A63" s="43" t="str">
        <f t="shared" si="0"/>
        <v>1500KCMAROON</v>
      </c>
      <c r="B63" s="4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94-016-12</v>
      </c>
      <c r="C63" s="147" t="s">
        <v>869</v>
      </c>
      <c r="E63" s="43" t="str">
        <f>IF(F63&lt;&gt;"",IFERROR(VLOOKUP(F63,Категории!A:B,2,0),""),"Требуется категория")</f>
        <v>Шапки</v>
      </c>
      <c r="F63" s="43" t="s">
        <v>340</v>
      </c>
      <c r="G63" s="56" t="s">
        <v>927</v>
      </c>
      <c r="H63" s="43" t="s">
        <v>388</v>
      </c>
      <c r="J63" s="43" t="str">
        <f>'1C'!$AJ$1</f>
        <v>FLEXFIT</v>
      </c>
      <c r="K63" s="101" t="s">
        <v>888</v>
      </c>
      <c r="L63" s="148" t="s">
        <v>121</v>
      </c>
      <c r="M63" s="65"/>
      <c r="N63" s="62"/>
      <c r="O63" s="62"/>
      <c r="P63" s="62"/>
      <c r="Q63" s="154" t="s">
        <v>939</v>
      </c>
      <c r="R63" s="64"/>
      <c r="S63" s="62" t="s">
        <v>46</v>
      </c>
      <c r="T63" s="58"/>
      <c r="U63" s="59" t="s">
        <v>382</v>
      </c>
      <c r="V63" s="58">
        <v>5</v>
      </c>
      <c r="Y63" s="58"/>
      <c r="AA63" s="58"/>
      <c r="AC63" s="58"/>
      <c r="AE63" s="58"/>
      <c r="AG63" s="58"/>
      <c r="AT63" s="59">
        <f t="shared" si="1"/>
        <v>5</v>
      </c>
      <c r="AU63" s="155" t="s">
        <v>438</v>
      </c>
      <c r="AV63" s="56" t="str">
        <f t="shared" ca="1" si="2"/>
        <v>YupoongInc; 174, Gurodong-ro, Guro-gu, 08285 Seoul, South Korea</v>
      </c>
      <c r="AW63" s="43" t="str">
        <f t="shared" ca="1" si="3"/>
        <v>Корея, Республика</v>
      </c>
      <c r="AX63" s="74">
        <f t="shared" si="4"/>
        <v>0.1</v>
      </c>
      <c r="AY63" s="43">
        <f t="shared" si="5"/>
        <v>0.15000000000000002</v>
      </c>
      <c r="AZ63" s="43">
        <f t="shared" si="6"/>
        <v>0.5</v>
      </c>
      <c r="BA63" s="43">
        <f t="shared" si="7"/>
        <v>0.75000000000000011</v>
      </c>
      <c r="BB63" s="139">
        <v>368.05</v>
      </c>
      <c r="BC63" s="150">
        <f t="shared" si="8"/>
        <v>1840.25</v>
      </c>
      <c r="BD63" s="45">
        <f>IF(A63&lt;&gt;"",IF(_xlfn.XLOOKUP(A63,'1C'!A:A,'1C'!A:A,0,0)&gt;0,1,0),"")</f>
        <v>0</v>
      </c>
      <c r="BE63" s="145">
        <f>IF(C63&lt;&gt;"",IF(_xlfn.XLOOKUP(TEXT(C63,"###"),'1C'!W:W,'1C'!D:D,0,0)&gt;0,0,1),"")</f>
        <v>1</v>
      </c>
      <c r="BF63" s="72" t="str">
        <f t="shared" si="9"/>
        <v>-</v>
      </c>
    </row>
    <row r="64" spans="1:58" ht="98.1" customHeight="1">
      <c r="A64" s="43" t="str">
        <f t="shared" si="0"/>
        <v>1500KCNAVY</v>
      </c>
      <c r="B64" s="4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94-016-16</v>
      </c>
      <c r="C64" s="147" t="s">
        <v>869</v>
      </c>
      <c r="E64" s="43" t="str">
        <f>IF(F64&lt;&gt;"",IFERROR(VLOOKUP(F64,Категории!A:B,2,0),""),"Требуется категория")</f>
        <v>Шапки</v>
      </c>
      <c r="F64" s="43" t="s">
        <v>340</v>
      </c>
      <c r="G64" s="56" t="s">
        <v>927</v>
      </c>
      <c r="H64" s="43" t="s">
        <v>388</v>
      </c>
      <c r="J64" s="43" t="str">
        <f>'1C'!$AJ$1</f>
        <v>FLEXFIT</v>
      </c>
      <c r="K64" s="101" t="s">
        <v>874</v>
      </c>
      <c r="L64" s="148" t="s">
        <v>55</v>
      </c>
      <c r="M64" s="65"/>
      <c r="N64" s="62"/>
      <c r="O64" s="62"/>
      <c r="P64" s="62"/>
      <c r="Q64" s="154" t="s">
        <v>939</v>
      </c>
      <c r="R64" s="64"/>
      <c r="S64" s="62" t="s">
        <v>46</v>
      </c>
      <c r="T64" s="58"/>
      <c r="U64" s="59" t="s">
        <v>382</v>
      </c>
      <c r="V64" s="58">
        <v>6</v>
      </c>
      <c r="Y64" s="58"/>
      <c r="AA64" s="58"/>
      <c r="AC64" s="58"/>
      <c r="AE64" s="58"/>
      <c r="AG64" s="58"/>
      <c r="AT64" s="59">
        <f t="shared" si="1"/>
        <v>6</v>
      </c>
      <c r="AU64" s="155" t="s">
        <v>438</v>
      </c>
      <c r="AV64" s="56" t="str">
        <f t="shared" ca="1" si="2"/>
        <v>YupoongInc; 174, Gurodong-ro, Guro-gu, 08285 Seoul, South Korea</v>
      </c>
      <c r="AW64" s="43" t="str">
        <f t="shared" ca="1" si="3"/>
        <v>Корея, Республика</v>
      </c>
      <c r="AX64" s="74">
        <f t="shared" si="4"/>
        <v>0.1</v>
      </c>
      <c r="AY64" s="43">
        <f t="shared" si="5"/>
        <v>0.15000000000000002</v>
      </c>
      <c r="AZ64" s="43">
        <f t="shared" si="6"/>
        <v>0.60000000000000009</v>
      </c>
      <c r="BA64" s="43">
        <f t="shared" si="7"/>
        <v>0.90000000000000013</v>
      </c>
      <c r="BB64" s="139">
        <v>368.05</v>
      </c>
      <c r="BC64" s="150">
        <f t="shared" si="8"/>
        <v>2208.3000000000002</v>
      </c>
      <c r="BD64" s="45">
        <f>IF(A64&lt;&gt;"",IF(_xlfn.XLOOKUP(A64,'1C'!A:A,'1C'!A:A,0,0)&gt;0,1,0),"")</f>
        <v>0</v>
      </c>
      <c r="BE64" s="145">
        <f>IF(C64&lt;&gt;"",IF(_xlfn.XLOOKUP(TEXT(C64,"###"),'1C'!W:W,'1C'!D:D,0,0)&gt;0,0,1),"")</f>
        <v>1</v>
      </c>
      <c r="BF64" s="72" t="str">
        <f t="shared" si="9"/>
        <v>-</v>
      </c>
    </row>
    <row r="65" spans="1:58" ht="98.1" customHeight="1">
      <c r="A65" s="43" t="str">
        <f t="shared" si="0"/>
        <v>1500KCOLIVE</v>
      </c>
      <c r="B65" s="4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94-016-03</v>
      </c>
      <c r="C65" s="147" t="s">
        <v>869</v>
      </c>
      <c r="E65" s="43" t="str">
        <f>IF(F65&lt;&gt;"",IFERROR(VLOOKUP(F65,Категории!A:B,2,0),""),"Требуется категория")</f>
        <v>Шапки</v>
      </c>
      <c r="F65" s="43" t="s">
        <v>340</v>
      </c>
      <c r="G65" s="56" t="s">
        <v>927</v>
      </c>
      <c r="H65" s="43" t="s">
        <v>388</v>
      </c>
      <c r="J65" s="43" t="str">
        <f>'1C'!$AJ$1</f>
        <v>FLEXFIT</v>
      </c>
      <c r="K65" s="101" t="s">
        <v>903</v>
      </c>
      <c r="L65" s="149" t="s">
        <v>195</v>
      </c>
      <c r="M65" s="65"/>
      <c r="N65" s="62"/>
      <c r="O65" s="62"/>
      <c r="P65" s="62"/>
      <c r="Q65" s="154" t="s">
        <v>939</v>
      </c>
      <c r="R65" s="64"/>
      <c r="S65" s="62" t="s">
        <v>46</v>
      </c>
      <c r="T65" s="58"/>
      <c r="U65" s="59" t="s">
        <v>382</v>
      </c>
      <c r="V65" s="58">
        <v>5</v>
      </c>
      <c r="Y65" s="58"/>
      <c r="AA65" s="58"/>
      <c r="AC65" s="58"/>
      <c r="AE65" s="58"/>
      <c r="AG65" s="58"/>
      <c r="AT65" s="59">
        <f t="shared" si="1"/>
        <v>5</v>
      </c>
      <c r="AU65" s="155" t="s">
        <v>438</v>
      </c>
      <c r="AV65" s="56" t="str">
        <f t="shared" ca="1" si="2"/>
        <v>YupoongInc; 174, Gurodong-ro, Guro-gu, 08285 Seoul, South Korea</v>
      </c>
      <c r="AW65" s="43" t="str">
        <f t="shared" ca="1" si="3"/>
        <v>Корея, Республика</v>
      </c>
      <c r="AX65" s="74">
        <f t="shared" si="4"/>
        <v>0.1</v>
      </c>
      <c r="AY65" s="43">
        <f t="shared" si="5"/>
        <v>0.15000000000000002</v>
      </c>
      <c r="AZ65" s="43">
        <f t="shared" si="6"/>
        <v>0.5</v>
      </c>
      <c r="BA65" s="43">
        <f t="shared" si="7"/>
        <v>0.75000000000000011</v>
      </c>
      <c r="BB65" s="139">
        <v>368.05</v>
      </c>
      <c r="BC65" s="150">
        <f t="shared" si="8"/>
        <v>1840.25</v>
      </c>
      <c r="BD65" s="45">
        <f>IF(A65&lt;&gt;"",IF(_xlfn.XLOOKUP(A65,'1C'!A:A,'1C'!A:A,0,0)&gt;0,1,0),"")</f>
        <v>0</v>
      </c>
      <c r="BE65" s="145">
        <f>IF(C65&lt;&gt;"",IF(_xlfn.XLOOKUP(TEXT(C65,"###"),'1C'!W:W,'1C'!D:D,0,0)&gt;0,0,1),"")</f>
        <v>1</v>
      </c>
      <c r="BF65" s="72" t="str">
        <f t="shared" si="9"/>
        <v>-</v>
      </c>
    </row>
    <row r="66" spans="1:58" ht="98.1" customHeight="1">
      <c r="A66" s="43" t="str">
        <f t="shared" si="0"/>
        <v>1500KCRED</v>
      </c>
      <c r="B66" s="4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94-016-18</v>
      </c>
      <c r="C66" s="147" t="s">
        <v>869</v>
      </c>
      <c r="E66" s="43" t="str">
        <f>IF(F66&lt;&gt;"",IFERROR(VLOOKUP(F66,Категории!A:B,2,0),""),"Требуется категория")</f>
        <v>Шапки</v>
      </c>
      <c r="F66" s="43" t="s">
        <v>340</v>
      </c>
      <c r="G66" s="56" t="s">
        <v>927</v>
      </c>
      <c r="H66" s="43" t="s">
        <v>388</v>
      </c>
      <c r="J66" s="43" t="str">
        <f>'1C'!$AJ$1</f>
        <v>FLEXFIT</v>
      </c>
      <c r="K66" s="101" t="s">
        <v>875</v>
      </c>
      <c r="L66" s="149" t="s">
        <v>78</v>
      </c>
      <c r="M66" s="65"/>
      <c r="N66" s="62"/>
      <c r="O66" s="62"/>
      <c r="P66" s="62"/>
      <c r="Q66" s="154" t="s">
        <v>939</v>
      </c>
      <c r="R66" s="64"/>
      <c r="S66" s="62" t="s">
        <v>46</v>
      </c>
      <c r="T66" s="58"/>
      <c r="U66" s="59" t="s">
        <v>382</v>
      </c>
      <c r="V66" s="58">
        <v>4</v>
      </c>
      <c r="Y66" s="58"/>
      <c r="AA66" s="58"/>
      <c r="AC66" s="58"/>
      <c r="AE66" s="58"/>
      <c r="AG66" s="58"/>
      <c r="AT66" s="59">
        <f t="shared" si="1"/>
        <v>4</v>
      </c>
      <c r="AU66" s="155" t="s">
        <v>438</v>
      </c>
      <c r="AV66" s="56" t="str">
        <f t="shared" ca="1" si="2"/>
        <v>YupoongInc; 174, Gurodong-ro, Guro-gu, 08285 Seoul, South Korea</v>
      </c>
      <c r="AW66" s="43" t="str">
        <f t="shared" ca="1" si="3"/>
        <v>Корея, Республика</v>
      </c>
      <c r="AX66" s="74">
        <f t="shared" si="4"/>
        <v>0.1</v>
      </c>
      <c r="AY66" s="43">
        <f t="shared" si="5"/>
        <v>0.15000000000000002</v>
      </c>
      <c r="AZ66" s="43">
        <f t="shared" si="6"/>
        <v>0.4</v>
      </c>
      <c r="BA66" s="43">
        <f t="shared" si="7"/>
        <v>0.60000000000000009</v>
      </c>
      <c r="BB66" s="139">
        <v>368.05</v>
      </c>
      <c r="BC66" s="150">
        <f t="shared" si="8"/>
        <v>1472.2</v>
      </c>
      <c r="BD66" s="45">
        <f>IF(A66&lt;&gt;"",IF(_xlfn.XLOOKUP(A66,'1C'!A:A,'1C'!A:A,0,0)&gt;0,1,0),"")</f>
        <v>0</v>
      </c>
      <c r="BE66" s="145">
        <f>IF(C66&lt;&gt;"",IF(_xlfn.XLOOKUP(TEXT(C66,"###"),'1C'!W:W,'1C'!D:D,0,0)&gt;0,0,1),"")</f>
        <v>1</v>
      </c>
      <c r="BF66" s="72" t="str">
        <f t="shared" si="9"/>
        <v>-</v>
      </c>
    </row>
    <row r="67" spans="1:58" ht="98.1" customHeight="1">
      <c r="A67" s="43" t="str">
        <f t="shared" si="0"/>
        <v>1500KCROYAL</v>
      </c>
      <c r="B67" s="4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94-016-06</v>
      </c>
      <c r="C67" s="147" t="s">
        <v>869</v>
      </c>
      <c r="E67" s="43" t="str">
        <f>IF(F67&lt;&gt;"",IFERROR(VLOOKUP(F67,Категории!A:B,2,0),""),"Требуется категория")</f>
        <v>Шапки</v>
      </c>
      <c r="F67" s="43" t="s">
        <v>340</v>
      </c>
      <c r="G67" s="56" t="s">
        <v>927</v>
      </c>
      <c r="H67" s="43" t="s">
        <v>388</v>
      </c>
      <c r="J67" s="43" t="str">
        <f>'1C'!$AJ$1</f>
        <v>FLEXFIT</v>
      </c>
      <c r="K67" s="101" t="s">
        <v>876</v>
      </c>
      <c r="L67" s="149" t="s">
        <v>71</v>
      </c>
      <c r="M67" s="65"/>
      <c r="N67" s="62"/>
      <c r="O67" s="62"/>
      <c r="P67" s="62"/>
      <c r="Q67" s="154" t="s">
        <v>939</v>
      </c>
      <c r="R67" s="64"/>
      <c r="S67" s="62" t="s">
        <v>46</v>
      </c>
      <c r="T67" s="58"/>
      <c r="U67" s="59" t="s">
        <v>382</v>
      </c>
      <c r="V67" s="58">
        <v>4</v>
      </c>
      <c r="Y67" s="58"/>
      <c r="AA67" s="58"/>
      <c r="AC67" s="58"/>
      <c r="AE67" s="58"/>
      <c r="AG67" s="58"/>
      <c r="AT67" s="59">
        <f t="shared" si="1"/>
        <v>4</v>
      </c>
      <c r="AU67" s="155" t="s">
        <v>438</v>
      </c>
      <c r="AV67" s="56" t="str">
        <f t="shared" ca="1" si="2"/>
        <v>YupoongInc; 174, Gurodong-ro, Guro-gu, 08285 Seoul, South Korea</v>
      </c>
      <c r="AW67" s="43" t="str">
        <f t="shared" ca="1" si="3"/>
        <v>Корея, Республика</v>
      </c>
      <c r="AX67" s="74">
        <f t="shared" si="4"/>
        <v>0.1</v>
      </c>
      <c r="AY67" s="43">
        <f t="shared" si="5"/>
        <v>0.15000000000000002</v>
      </c>
      <c r="AZ67" s="43">
        <f t="shared" si="6"/>
        <v>0.4</v>
      </c>
      <c r="BA67" s="43">
        <f t="shared" si="7"/>
        <v>0.60000000000000009</v>
      </c>
      <c r="BB67" s="139">
        <v>368.05</v>
      </c>
      <c r="BC67" s="150">
        <f t="shared" si="8"/>
        <v>1472.2</v>
      </c>
      <c r="BD67" s="45">
        <f>IF(A67&lt;&gt;"",IF(_xlfn.XLOOKUP(A67,'1C'!A:A,'1C'!A:A,0,0)&gt;0,1,0),"")</f>
        <v>0</v>
      </c>
      <c r="BE67" s="145">
        <f>IF(C67&lt;&gt;"",IF(_xlfn.XLOOKUP(TEXT(C67,"###"),'1C'!W:W,'1C'!D:D,0,0)&gt;0,0,1),"")</f>
        <v>1</v>
      </c>
      <c r="BF67" s="72" t="str">
        <f t="shared" si="9"/>
        <v>-</v>
      </c>
    </row>
    <row r="68" spans="1:58" ht="98.1" customHeight="1">
      <c r="A68" s="43" t="str">
        <f t="shared" si="0"/>
        <v>1500KCWHITE</v>
      </c>
      <c r="B68" s="4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94-016-17</v>
      </c>
      <c r="C68" s="147" t="s">
        <v>869</v>
      </c>
      <c r="E68" s="43" t="str">
        <f>IF(F68&lt;&gt;"",IFERROR(VLOOKUP(F68,Категории!A:B,2,0),""),"Требуется категория")</f>
        <v>Шапки</v>
      </c>
      <c r="F68" s="43" t="s">
        <v>340</v>
      </c>
      <c r="G68" s="56" t="s">
        <v>927</v>
      </c>
      <c r="H68" s="43" t="s">
        <v>388</v>
      </c>
      <c r="J68" s="43" t="str">
        <f>'1C'!$AJ$1</f>
        <v>FLEXFIT</v>
      </c>
      <c r="K68" s="101" t="s">
        <v>877</v>
      </c>
      <c r="L68" s="149" t="s">
        <v>57</v>
      </c>
      <c r="M68" s="65"/>
      <c r="N68" s="62"/>
      <c r="O68" s="62"/>
      <c r="P68" s="62"/>
      <c r="Q68" s="154" t="s">
        <v>939</v>
      </c>
      <c r="R68" s="64"/>
      <c r="S68" s="62" t="s">
        <v>46</v>
      </c>
      <c r="T68" s="58"/>
      <c r="U68" s="59" t="s">
        <v>382</v>
      </c>
      <c r="V68" s="58">
        <v>3</v>
      </c>
      <c r="Y68" s="58"/>
      <c r="AA68" s="58"/>
      <c r="AC68" s="58"/>
      <c r="AE68" s="58"/>
      <c r="AG68" s="58"/>
      <c r="AT68" s="59">
        <f t="shared" si="1"/>
        <v>3</v>
      </c>
      <c r="AU68" s="155" t="s">
        <v>438</v>
      </c>
      <c r="AV68" s="56" t="str">
        <f t="shared" ca="1" si="2"/>
        <v>YupoongInc; 174, Gurodong-ro, Guro-gu, 08285 Seoul, South Korea</v>
      </c>
      <c r="AW68" s="43" t="str">
        <f t="shared" ca="1" si="3"/>
        <v>Корея, Республика</v>
      </c>
      <c r="AX68" s="74">
        <f t="shared" si="4"/>
        <v>0.1</v>
      </c>
      <c r="AY68" s="43">
        <f t="shared" si="5"/>
        <v>0.15000000000000002</v>
      </c>
      <c r="AZ68" s="43">
        <f t="shared" si="6"/>
        <v>0.30000000000000004</v>
      </c>
      <c r="BA68" s="43">
        <f t="shared" si="7"/>
        <v>0.45000000000000007</v>
      </c>
      <c r="BB68" s="139">
        <v>368.05</v>
      </c>
      <c r="BC68" s="150">
        <f t="shared" si="8"/>
        <v>1104.1500000000001</v>
      </c>
      <c r="BD68" s="45">
        <f>IF(A68&lt;&gt;"",IF(_xlfn.XLOOKUP(A68,'1C'!A:A,'1C'!A:A,0,0)&gt;0,1,0),"")</f>
        <v>0</v>
      </c>
      <c r="BE68" s="145">
        <f>IF(C68&lt;&gt;"",IF(_xlfn.XLOOKUP(TEXT(C68,"###"),'1C'!W:W,'1C'!D:D,0,0)&gt;0,0,1),"")</f>
        <v>1</v>
      </c>
      <c r="BF68" s="72" t="str">
        <f t="shared" si="9"/>
        <v>-</v>
      </c>
    </row>
    <row r="69" spans="1:58" ht="98.1" customHeight="1">
      <c r="A69" s="43" t="str">
        <f t="shared" si="0"/>
        <v>1501KCBLAZE ORANGE</v>
      </c>
      <c r="B69" s="4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94-017-13</v>
      </c>
      <c r="C69" s="147" t="s">
        <v>870</v>
      </c>
      <c r="E69" s="43" t="str">
        <f>IF(F69&lt;&gt;"",IFERROR(VLOOKUP(F69,Категории!A:B,2,0),""),"Требуется категория")</f>
        <v>Шапки</v>
      </c>
      <c r="F69" s="43" t="s">
        <v>340</v>
      </c>
      <c r="G69" s="56" t="s">
        <v>927</v>
      </c>
      <c r="H69" s="43" t="s">
        <v>388</v>
      </c>
      <c r="J69" s="43" t="str">
        <f>'1C'!$AJ$1</f>
        <v>FLEXFIT</v>
      </c>
      <c r="K69" s="101" t="s">
        <v>904</v>
      </c>
      <c r="L69" s="149" t="s">
        <v>199</v>
      </c>
      <c r="M69" s="65"/>
      <c r="N69" s="62"/>
      <c r="O69" s="62"/>
      <c r="P69" s="62"/>
      <c r="Q69" s="154" t="s">
        <v>939</v>
      </c>
      <c r="R69" s="64"/>
      <c r="S69" s="62" t="s">
        <v>46</v>
      </c>
      <c r="T69" s="58"/>
      <c r="U69" s="59" t="s">
        <v>382</v>
      </c>
      <c r="V69" s="58">
        <v>6</v>
      </c>
      <c r="Y69" s="58"/>
      <c r="AA69" s="58"/>
      <c r="AC69" s="58"/>
      <c r="AE69" s="58"/>
      <c r="AG69" s="58"/>
      <c r="AT69" s="59">
        <f t="shared" si="1"/>
        <v>6</v>
      </c>
      <c r="AU69" s="155" t="s">
        <v>438</v>
      </c>
      <c r="AV69" s="56" t="str">
        <f t="shared" ca="1" si="2"/>
        <v>YupoongInc; 174, Gurodong-ro, Guro-gu, 08285 Seoul, South Korea</v>
      </c>
      <c r="AW69" s="43" t="str">
        <f t="shared" ca="1" si="3"/>
        <v>Корея, Республика</v>
      </c>
      <c r="AX69" s="74">
        <f t="shared" si="4"/>
        <v>0.1</v>
      </c>
      <c r="AY69" s="43">
        <f t="shared" si="5"/>
        <v>0.15000000000000002</v>
      </c>
      <c r="AZ69" s="43">
        <f t="shared" si="6"/>
        <v>0.60000000000000009</v>
      </c>
      <c r="BA69" s="43">
        <f t="shared" si="7"/>
        <v>0.90000000000000013</v>
      </c>
      <c r="BB69" s="139">
        <v>381.65000000000003</v>
      </c>
      <c r="BC69" s="150">
        <f t="shared" si="8"/>
        <v>2289.9</v>
      </c>
      <c r="BD69" s="45">
        <f>IF(A69&lt;&gt;"",IF(_xlfn.XLOOKUP(A69,'1C'!A:A,'1C'!A:A,0,0)&gt;0,1,0),"")</f>
        <v>0</v>
      </c>
      <c r="BE69" s="145">
        <f>IF(C69&lt;&gt;"",IF(_xlfn.XLOOKUP(TEXT(C69,"###"),'1C'!W:W,'1C'!D:D,0,0)&gt;0,0,1),"")</f>
        <v>1</v>
      </c>
      <c r="BF69" s="72" t="str">
        <f t="shared" si="9"/>
        <v>-</v>
      </c>
    </row>
    <row r="70" spans="1:58" ht="98.1" customHeight="1">
      <c r="A70" s="43" t="str">
        <f t="shared" si="0"/>
        <v>1501KCBROWN</v>
      </c>
      <c r="B70" s="4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94-017-14</v>
      </c>
      <c r="C70" s="147" t="s">
        <v>870</v>
      </c>
      <c r="E70" s="43" t="str">
        <f>IF(F70&lt;&gt;"",IFERROR(VLOOKUP(F70,Категории!A:B,2,0),""),"Требуется категория")</f>
        <v>Шапки</v>
      </c>
      <c r="F70" s="43" t="s">
        <v>340</v>
      </c>
      <c r="G70" s="56" t="s">
        <v>927</v>
      </c>
      <c r="H70" s="43" t="s">
        <v>388</v>
      </c>
      <c r="J70" s="43" t="str">
        <f>'1C'!$AJ$1</f>
        <v>FLEXFIT</v>
      </c>
      <c r="K70" s="101" t="s">
        <v>898</v>
      </c>
      <c r="L70" s="149" t="s">
        <v>86</v>
      </c>
      <c r="M70" s="65"/>
      <c r="N70" s="62"/>
      <c r="O70" s="62"/>
      <c r="P70" s="62"/>
      <c r="Q70" s="154" t="s">
        <v>939</v>
      </c>
      <c r="R70" s="64"/>
      <c r="S70" s="62" t="s">
        <v>46</v>
      </c>
      <c r="T70" s="58"/>
      <c r="U70" s="59" t="s">
        <v>382</v>
      </c>
      <c r="V70" s="58">
        <v>8</v>
      </c>
      <c r="Y70" s="58"/>
      <c r="AA70" s="58"/>
      <c r="AC70" s="58"/>
      <c r="AE70" s="58"/>
      <c r="AG70" s="58"/>
      <c r="AT70" s="59">
        <f t="shared" si="1"/>
        <v>8</v>
      </c>
      <c r="AU70" s="155" t="s">
        <v>438</v>
      </c>
      <c r="AV70" s="56" t="str">
        <f t="shared" ca="1" si="2"/>
        <v>YupoongInc; 174, Gurodong-ro, Guro-gu, 08285 Seoul, South Korea</v>
      </c>
      <c r="AW70" s="43" t="str">
        <f t="shared" ca="1" si="3"/>
        <v>Корея, Республика</v>
      </c>
      <c r="AX70" s="74">
        <f t="shared" si="4"/>
        <v>0.1</v>
      </c>
      <c r="AY70" s="43">
        <f t="shared" si="5"/>
        <v>0.15000000000000002</v>
      </c>
      <c r="AZ70" s="43">
        <f t="shared" si="6"/>
        <v>0.8</v>
      </c>
      <c r="BA70" s="43">
        <f t="shared" si="7"/>
        <v>1.2000000000000002</v>
      </c>
      <c r="BB70" s="139">
        <v>381.65</v>
      </c>
      <c r="BC70" s="150">
        <f t="shared" si="8"/>
        <v>3053.2</v>
      </c>
      <c r="BD70" s="45">
        <f>IF(A70&lt;&gt;"",IF(_xlfn.XLOOKUP(A70,'1C'!A:A,'1C'!A:A,0,0)&gt;0,1,0),"")</f>
        <v>0</v>
      </c>
      <c r="BE70" s="145">
        <f>IF(C70&lt;&gt;"",IF(_xlfn.XLOOKUP(TEXT(C70,"###"),'1C'!W:W,'1C'!D:D,0,0)&gt;0,0,1),"")</f>
        <v>1</v>
      </c>
      <c r="BF70" s="72" t="str">
        <f t="shared" si="9"/>
        <v>-</v>
      </c>
    </row>
    <row r="71" spans="1:58" ht="98.1" customHeight="1">
      <c r="A71" s="43" t="str">
        <f t="shared" si="0"/>
        <v>1501KCCARAMEL</v>
      </c>
      <c r="B71" s="4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94-017-15</v>
      </c>
      <c r="C71" s="147" t="s">
        <v>870</v>
      </c>
      <c r="E71" s="43" t="str">
        <f>IF(F71&lt;&gt;"",IFERROR(VLOOKUP(F71,Категории!A:B,2,0),""),"Требуется категория")</f>
        <v>Шапки</v>
      </c>
      <c r="F71" s="43" t="s">
        <v>340</v>
      </c>
      <c r="G71" s="56" t="s">
        <v>927</v>
      </c>
      <c r="H71" s="43" t="s">
        <v>388</v>
      </c>
      <c r="J71" s="43" t="str">
        <f>'1C'!$AJ$1</f>
        <v>FLEXFIT</v>
      </c>
      <c r="K71" s="101" t="s">
        <v>905</v>
      </c>
      <c r="L71" s="149" t="s">
        <v>226</v>
      </c>
      <c r="M71" s="65"/>
      <c r="N71" s="62"/>
      <c r="O71" s="62"/>
      <c r="P71" s="62"/>
      <c r="Q71" s="154" t="s">
        <v>939</v>
      </c>
      <c r="R71" s="64"/>
      <c r="S71" s="62" t="s">
        <v>46</v>
      </c>
      <c r="T71" s="58"/>
      <c r="U71" s="59" t="s">
        <v>382</v>
      </c>
      <c r="V71" s="58">
        <v>6</v>
      </c>
      <c r="Y71" s="58"/>
      <c r="AA71" s="58"/>
      <c r="AC71" s="58"/>
      <c r="AE71" s="58"/>
      <c r="AG71" s="58"/>
      <c r="AT71" s="59">
        <f t="shared" si="1"/>
        <v>6</v>
      </c>
      <c r="AU71" s="155" t="s">
        <v>438</v>
      </c>
      <c r="AV71" s="56" t="str">
        <f t="shared" ca="1" si="2"/>
        <v>YupoongInc; 174, Gurodong-ro, Guro-gu, 08285 Seoul, South Korea</v>
      </c>
      <c r="AW71" s="43" t="str">
        <f t="shared" ca="1" si="3"/>
        <v>Корея, Республика</v>
      </c>
      <c r="AX71" s="74">
        <f t="shared" si="4"/>
        <v>0.1</v>
      </c>
      <c r="AY71" s="43">
        <f t="shared" si="5"/>
        <v>0.15000000000000002</v>
      </c>
      <c r="AZ71" s="43">
        <f t="shared" si="6"/>
        <v>0.60000000000000009</v>
      </c>
      <c r="BA71" s="43">
        <f t="shared" si="7"/>
        <v>0.90000000000000013</v>
      </c>
      <c r="BB71" s="139">
        <v>381.65000000000003</v>
      </c>
      <c r="BC71" s="150">
        <f t="shared" si="8"/>
        <v>2289.9</v>
      </c>
      <c r="BD71" s="45">
        <f>IF(A71&lt;&gt;"",IF(_xlfn.XLOOKUP(A71,'1C'!A:A,'1C'!A:A,0,0)&gt;0,1,0),"")</f>
        <v>0</v>
      </c>
      <c r="BE71" s="145">
        <f>IF(C71&lt;&gt;"",IF(_xlfn.XLOOKUP(TEXT(C71,"###"),'1C'!W:W,'1C'!D:D,0,0)&gt;0,0,1),"")</f>
        <v>1</v>
      </c>
      <c r="BF71" s="72" t="str">
        <f t="shared" si="9"/>
        <v>-</v>
      </c>
    </row>
    <row r="72" spans="1:58" ht="98.1" customHeight="1">
      <c r="A72" s="43" t="str">
        <f t="shared" si="0"/>
        <v>1501KCCAROLINA BLUE</v>
      </c>
      <c r="B72" s="4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94-017-19</v>
      </c>
      <c r="C72" s="147" t="s">
        <v>870</v>
      </c>
      <c r="E72" s="43" t="str">
        <f>IF(F72&lt;&gt;"",IFERROR(VLOOKUP(F72,Категории!A:B,2,0),""),"Требуется категория")</f>
        <v>Шапки</v>
      </c>
      <c r="F72" s="43" t="s">
        <v>340</v>
      </c>
      <c r="G72" s="56" t="s">
        <v>927</v>
      </c>
      <c r="H72" s="43" t="s">
        <v>388</v>
      </c>
      <c r="J72" s="43" t="str">
        <f>'1C'!$AJ$1</f>
        <v>FLEXFIT</v>
      </c>
      <c r="K72" s="101" t="s">
        <v>906</v>
      </c>
      <c r="L72" s="148" t="s">
        <v>91</v>
      </c>
      <c r="M72" s="65"/>
      <c r="N72" s="62"/>
      <c r="O72" s="62"/>
      <c r="P72" s="62"/>
      <c r="Q72" s="154" t="s">
        <v>939</v>
      </c>
      <c r="R72" s="64"/>
      <c r="S72" s="62" t="s">
        <v>46</v>
      </c>
      <c r="T72" s="58"/>
      <c r="U72" s="59" t="s">
        <v>382</v>
      </c>
      <c r="V72" s="58">
        <v>6</v>
      </c>
      <c r="Y72" s="58"/>
      <c r="AA72" s="58"/>
      <c r="AC72" s="58"/>
      <c r="AE72" s="58"/>
      <c r="AG72" s="58"/>
      <c r="AT72" s="59">
        <f t="shared" si="1"/>
        <v>6</v>
      </c>
      <c r="AU72" s="155" t="s">
        <v>438</v>
      </c>
      <c r="AV72" s="56" t="str">
        <f t="shared" ca="1" si="2"/>
        <v>YupoongInc; 174, Gurodong-ro, Guro-gu, 08285 Seoul, South Korea</v>
      </c>
      <c r="AW72" s="43" t="str">
        <f t="shared" ca="1" si="3"/>
        <v>Корея, Республика</v>
      </c>
      <c r="AX72" s="74">
        <f t="shared" si="4"/>
        <v>0.1</v>
      </c>
      <c r="AY72" s="43">
        <f t="shared" si="5"/>
        <v>0.15000000000000002</v>
      </c>
      <c r="AZ72" s="43">
        <f t="shared" si="6"/>
        <v>0.60000000000000009</v>
      </c>
      <c r="BA72" s="43">
        <f t="shared" si="7"/>
        <v>0.90000000000000013</v>
      </c>
      <c r="BB72" s="139">
        <v>381.65000000000003</v>
      </c>
      <c r="BC72" s="150">
        <f t="shared" si="8"/>
        <v>2289.9</v>
      </c>
      <c r="BD72" s="45">
        <f>IF(A72&lt;&gt;"",IF(_xlfn.XLOOKUP(A72,'1C'!A:A,'1C'!A:A,0,0)&gt;0,1,0),"")</f>
        <v>0</v>
      </c>
      <c r="BE72" s="145">
        <f>IF(C72&lt;&gt;"",IF(_xlfn.XLOOKUP(TEXT(C72,"###"),'1C'!W:W,'1C'!D:D,0,0)&gt;0,0,1),"")</f>
        <v>1</v>
      </c>
      <c r="BF72" s="72" t="str">
        <f t="shared" si="9"/>
        <v>-</v>
      </c>
    </row>
    <row r="73" spans="1:58" ht="98.1" customHeight="1">
      <c r="A73" s="43" t="str">
        <f t="shared" si="0"/>
        <v>1501KCDARK GREY</v>
      </c>
      <c r="B73" s="4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94-017-05</v>
      </c>
      <c r="C73" s="147" t="s">
        <v>870</v>
      </c>
      <c r="E73" s="43" t="str">
        <f>IF(F73&lt;&gt;"",IFERROR(VLOOKUP(F73,Категории!A:B,2,0),""),"Требуется категория")</f>
        <v>Шапки</v>
      </c>
      <c r="F73" s="43" t="s">
        <v>340</v>
      </c>
      <c r="G73" s="56" t="s">
        <v>927</v>
      </c>
      <c r="H73" s="43" t="s">
        <v>388</v>
      </c>
      <c r="J73" s="43" t="str">
        <f>'1C'!$AJ$1</f>
        <v>FLEXFIT</v>
      </c>
      <c r="K73" s="101" t="s">
        <v>872</v>
      </c>
      <c r="L73" s="148" t="s">
        <v>277</v>
      </c>
      <c r="M73" s="65"/>
      <c r="N73" s="62"/>
      <c r="O73" s="62"/>
      <c r="P73" s="62"/>
      <c r="Q73" s="154" t="s">
        <v>939</v>
      </c>
      <c r="R73" s="64"/>
      <c r="S73" s="62" t="s">
        <v>46</v>
      </c>
      <c r="T73" s="58"/>
      <c r="U73" s="59" t="s">
        <v>382</v>
      </c>
      <c r="V73" s="58">
        <v>4</v>
      </c>
      <c r="Y73" s="58"/>
      <c r="AA73" s="58"/>
      <c r="AC73" s="58"/>
      <c r="AE73" s="58"/>
      <c r="AG73" s="58"/>
      <c r="AT73" s="59">
        <f t="shared" si="1"/>
        <v>4</v>
      </c>
      <c r="AU73" s="155" t="s">
        <v>438</v>
      </c>
      <c r="AV73" s="56" t="str">
        <f t="shared" ca="1" si="2"/>
        <v>YupoongInc; 174, Gurodong-ro, Guro-gu, 08285 Seoul, South Korea</v>
      </c>
      <c r="AW73" s="43" t="str">
        <f t="shared" ca="1" si="3"/>
        <v>Корея, Республика</v>
      </c>
      <c r="AX73" s="74">
        <f t="shared" si="4"/>
        <v>0.1</v>
      </c>
      <c r="AY73" s="43">
        <f t="shared" si="5"/>
        <v>0.15000000000000002</v>
      </c>
      <c r="AZ73" s="43">
        <f t="shared" si="6"/>
        <v>0.4</v>
      </c>
      <c r="BA73" s="43">
        <f t="shared" si="7"/>
        <v>0.60000000000000009</v>
      </c>
      <c r="BB73" s="139">
        <v>381.65</v>
      </c>
      <c r="BC73" s="150">
        <f t="shared" si="8"/>
        <v>1526.6</v>
      </c>
      <c r="BD73" s="45">
        <f>IF(A73&lt;&gt;"",IF(_xlfn.XLOOKUP(A73,'1C'!A:A,'1C'!A:A,0,0)&gt;0,1,0),"")</f>
        <v>0</v>
      </c>
      <c r="BE73" s="145">
        <f>IF(C73&lt;&gt;"",IF(_xlfn.XLOOKUP(TEXT(C73,"###"),'1C'!W:W,'1C'!D:D,0,0)&gt;0,0,1),"")</f>
        <v>1</v>
      </c>
      <c r="BF73" s="72" t="str">
        <f t="shared" si="9"/>
        <v>-</v>
      </c>
    </row>
    <row r="74" spans="1:58" ht="98.1" customHeight="1">
      <c r="A74" s="43" t="str">
        <f t="shared" si="0"/>
        <v>1501KCGOLD</v>
      </c>
      <c r="B74" s="4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94-017-00</v>
      </c>
      <c r="C74" s="147" t="s">
        <v>870</v>
      </c>
      <c r="E74" s="43" t="str">
        <f>IF(F74&lt;&gt;"",IFERROR(VLOOKUP(F74,Категории!A:B,2,0),""),"Требуется категория")</f>
        <v>Шапки</v>
      </c>
      <c r="F74" s="43" t="s">
        <v>340</v>
      </c>
      <c r="G74" s="56" t="s">
        <v>927</v>
      </c>
      <c r="H74" s="43" t="s">
        <v>388</v>
      </c>
      <c r="J74" s="43" t="str">
        <f>'1C'!$AJ$1</f>
        <v>FLEXFIT</v>
      </c>
      <c r="K74" s="101" t="s">
        <v>899</v>
      </c>
      <c r="L74" s="148" t="s">
        <v>157</v>
      </c>
      <c r="M74" s="65"/>
      <c r="N74" s="62"/>
      <c r="O74" s="62"/>
      <c r="P74" s="62"/>
      <c r="Q74" s="154" t="s">
        <v>939</v>
      </c>
      <c r="R74" s="64"/>
      <c r="S74" s="62" t="s">
        <v>46</v>
      </c>
      <c r="T74" s="58"/>
      <c r="U74" s="59" t="s">
        <v>382</v>
      </c>
      <c r="V74" s="58">
        <v>6</v>
      </c>
      <c r="Y74" s="58"/>
      <c r="AA74" s="58"/>
      <c r="AC74" s="58"/>
      <c r="AE74" s="58"/>
      <c r="AG74" s="58"/>
      <c r="AT74" s="59">
        <f t="shared" si="1"/>
        <v>6</v>
      </c>
      <c r="AU74" s="155" t="s">
        <v>438</v>
      </c>
      <c r="AV74" s="56" t="str">
        <f t="shared" ca="1" si="2"/>
        <v>YupoongInc; 174, Gurodong-ro, Guro-gu, 08285 Seoul, South Korea</v>
      </c>
      <c r="AW74" s="43" t="str">
        <f t="shared" ca="1" si="3"/>
        <v>Корея, Республика</v>
      </c>
      <c r="AX74" s="74">
        <f t="shared" si="4"/>
        <v>0.1</v>
      </c>
      <c r="AY74" s="43">
        <f t="shared" si="5"/>
        <v>0.15000000000000002</v>
      </c>
      <c r="AZ74" s="43">
        <f t="shared" si="6"/>
        <v>0.60000000000000009</v>
      </c>
      <c r="BA74" s="43">
        <f t="shared" si="7"/>
        <v>0.90000000000000013</v>
      </c>
      <c r="BB74" s="139">
        <v>381.65000000000003</v>
      </c>
      <c r="BC74" s="150">
        <f t="shared" si="8"/>
        <v>2289.9</v>
      </c>
      <c r="BD74" s="45">
        <f>IF(A74&lt;&gt;"",IF(_xlfn.XLOOKUP(A74,'1C'!A:A,'1C'!A:A,0,0)&gt;0,1,0),"")</f>
        <v>0</v>
      </c>
      <c r="BE74" s="145">
        <f>IF(C74&lt;&gt;"",IF(_xlfn.XLOOKUP(TEXT(C74,"###"),'1C'!W:W,'1C'!D:D,0,0)&gt;0,0,1),"")</f>
        <v>1</v>
      </c>
      <c r="BF74" s="72" t="str">
        <f t="shared" si="9"/>
        <v>-</v>
      </c>
    </row>
    <row r="75" spans="1:58" ht="98.1" customHeight="1">
      <c r="A75" s="43" t="str">
        <f t="shared" si="0"/>
        <v>1501KCHEATHER GREY</v>
      </c>
      <c r="B75" s="4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94-017-01</v>
      </c>
      <c r="C75" s="147" t="s">
        <v>870</v>
      </c>
      <c r="E75" s="43" t="str">
        <f>IF(F75&lt;&gt;"",IFERROR(VLOOKUP(F75,Категории!A:B,2,0),""),"Требуется категория")</f>
        <v>Шапки</v>
      </c>
      <c r="F75" s="43" t="s">
        <v>340</v>
      </c>
      <c r="G75" s="56" t="s">
        <v>927</v>
      </c>
      <c r="H75" s="43" t="s">
        <v>388</v>
      </c>
      <c r="J75" s="43" t="str">
        <f>'1C'!$AJ$1</f>
        <v>FLEXFIT</v>
      </c>
      <c r="K75" s="101" t="s">
        <v>873</v>
      </c>
      <c r="L75" s="148" t="s">
        <v>231</v>
      </c>
      <c r="M75" s="65"/>
      <c r="N75" s="62"/>
      <c r="O75" s="62"/>
      <c r="P75" s="62"/>
      <c r="Q75" s="154" t="s">
        <v>939</v>
      </c>
      <c r="R75" s="64"/>
      <c r="S75" s="62" t="s">
        <v>46</v>
      </c>
      <c r="T75" s="58"/>
      <c r="U75" s="59" t="s">
        <v>382</v>
      </c>
      <c r="V75" s="58">
        <v>12</v>
      </c>
      <c r="Y75" s="58"/>
      <c r="AA75" s="58"/>
      <c r="AC75" s="58"/>
      <c r="AE75" s="58"/>
      <c r="AG75" s="58"/>
      <c r="AT75" s="59">
        <f t="shared" si="1"/>
        <v>12</v>
      </c>
      <c r="AU75" s="155" t="s">
        <v>438</v>
      </c>
      <c r="AV75" s="56" t="str">
        <f t="shared" ca="1" si="2"/>
        <v>YupoongInc; 174, Gurodong-ro, Guro-gu, 08285 Seoul, South Korea</v>
      </c>
      <c r="AW75" s="43" t="str">
        <f t="shared" ca="1" si="3"/>
        <v>Корея, Республика</v>
      </c>
      <c r="AX75" s="74">
        <f t="shared" si="4"/>
        <v>0.1</v>
      </c>
      <c r="AY75" s="43">
        <f t="shared" si="5"/>
        <v>0.15000000000000002</v>
      </c>
      <c r="AZ75" s="43">
        <f t="shared" si="6"/>
        <v>1.2000000000000002</v>
      </c>
      <c r="BA75" s="43">
        <f t="shared" si="7"/>
        <v>1.8000000000000003</v>
      </c>
      <c r="BB75" s="139">
        <v>381.65000000000003</v>
      </c>
      <c r="BC75" s="150">
        <f t="shared" si="8"/>
        <v>4579.8</v>
      </c>
      <c r="BD75" s="45">
        <f>IF(A75&lt;&gt;"",IF(_xlfn.XLOOKUP(A75,'1C'!A:A,'1C'!A:A,0,0)&gt;0,1,0),"")</f>
        <v>0</v>
      </c>
      <c r="BE75" s="145">
        <f>IF(C75&lt;&gt;"",IF(_xlfn.XLOOKUP(TEXT(C75,"###"),'1C'!W:W,'1C'!D:D,0,0)&gt;0,0,1),"")</f>
        <v>1</v>
      </c>
      <c r="BF75" s="72" t="str">
        <f t="shared" si="9"/>
        <v>-</v>
      </c>
    </row>
    <row r="76" spans="1:58" ht="98.1" customHeight="1">
      <c r="A76" s="43" t="str">
        <f t="shared" si="0"/>
        <v>1501KCMAROON</v>
      </c>
      <c r="B76" s="4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94-017-12</v>
      </c>
      <c r="C76" s="147" t="s">
        <v>870</v>
      </c>
      <c r="E76" s="43" t="str">
        <f>IF(F76&lt;&gt;"",IFERROR(VLOOKUP(F76,Категории!A:B,2,0),""),"Требуется категория")</f>
        <v>Шапки</v>
      </c>
      <c r="F76" s="43" t="s">
        <v>340</v>
      </c>
      <c r="G76" s="56" t="s">
        <v>927</v>
      </c>
      <c r="H76" s="43" t="s">
        <v>388</v>
      </c>
      <c r="J76" s="43" t="str">
        <f>'1C'!$AJ$1</f>
        <v>FLEXFIT</v>
      </c>
      <c r="K76" s="101" t="s">
        <v>888</v>
      </c>
      <c r="L76" s="148" t="s">
        <v>121</v>
      </c>
      <c r="M76" s="65"/>
      <c r="N76" s="62"/>
      <c r="O76" s="62"/>
      <c r="P76" s="62"/>
      <c r="Q76" s="154" t="s">
        <v>939</v>
      </c>
      <c r="R76" s="64"/>
      <c r="S76" s="62" t="s">
        <v>46</v>
      </c>
      <c r="T76" s="58"/>
      <c r="U76" s="59" t="s">
        <v>382</v>
      </c>
      <c r="V76" s="58">
        <v>8</v>
      </c>
      <c r="Y76" s="58"/>
      <c r="AA76" s="58"/>
      <c r="AC76" s="58"/>
      <c r="AE76" s="58"/>
      <c r="AG76" s="58"/>
      <c r="AT76" s="59">
        <f t="shared" si="1"/>
        <v>8</v>
      </c>
      <c r="AU76" s="155" t="s">
        <v>438</v>
      </c>
      <c r="AV76" s="56" t="str">
        <f t="shared" ca="1" si="2"/>
        <v>YupoongInc; 174, Gurodong-ro, Guro-gu, 08285 Seoul, South Korea</v>
      </c>
      <c r="AW76" s="43" t="str">
        <f t="shared" ca="1" si="3"/>
        <v>Корея, Республика</v>
      </c>
      <c r="AX76" s="74">
        <f t="shared" si="4"/>
        <v>0.1</v>
      </c>
      <c r="AY76" s="43">
        <f t="shared" si="5"/>
        <v>0.15000000000000002</v>
      </c>
      <c r="AZ76" s="43">
        <f t="shared" si="6"/>
        <v>0.8</v>
      </c>
      <c r="BA76" s="43">
        <f t="shared" si="7"/>
        <v>1.2000000000000002</v>
      </c>
      <c r="BB76" s="139">
        <v>381.65</v>
      </c>
      <c r="BC76" s="150">
        <f t="shared" si="8"/>
        <v>3053.2</v>
      </c>
      <c r="BD76" s="45">
        <f>IF(A76&lt;&gt;"",IF(_xlfn.XLOOKUP(A76,'1C'!A:A,'1C'!A:A,0,0)&gt;0,1,0),"")</f>
        <v>0</v>
      </c>
      <c r="BE76" s="145">
        <f>IF(C76&lt;&gt;"",IF(_xlfn.XLOOKUP(TEXT(C76,"###"),'1C'!W:W,'1C'!D:D,0,0)&gt;0,0,1),"")</f>
        <v>1</v>
      </c>
      <c r="BF76" s="72" t="str">
        <f t="shared" si="9"/>
        <v>-</v>
      </c>
    </row>
    <row r="77" spans="1:58" ht="98.1" customHeight="1">
      <c r="A77" s="43" t="str">
        <f t="shared" si="0"/>
        <v>1501KCNAVY</v>
      </c>
      <c r="B77" s="4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94-017-16</v>
      </c>
      <c r="C77" s="147" t="s">
        <v>870</v>
      </c>
      <c r="E77" s="43" t="str">
        <f>IF(F77&lt;&gt;"",IFERROR(VLOOKUP(F77,Категории!A:B,2,0),""),"Требуется категория")</f>
        <v>Шапки</v>
      </c>
      <c r="F77" s="43" t="s">
        <v>340</v>
      </c>
      <c r="G77" s="56" t="s">
        <v>927</v>
      </c>
      <c r="H77" s="43" t="s">
        <v>388</v>
      </c>
      <c r="J77" s="43" t="str">
        <f>'1C'!$AJ$1</f>
        <v>FLEXFIT</v>
      </c>
      <c r="K77" s="101" t="s">
        <v>874</v>
      </c>
      <c r="L77" s="149" t="s">
        <v>55</v>
      </c>
      <c r="M77" s="65"/>
      <c r="N77" s="62"/>
      <c r="O77" s="62"/>
      <c r="P77" s="62"/>
      <c r="Q77" s="154" t="s">
        <v>939</v>
      </c>
      <c r="R77" s="64"/>
      <c r="S77" s="62" t="s">
        <v>46</v>
      </c>
      <c r="T77" s="58"/>
      <c r="U77" s="59" t="s">
        <v>382</v>
      </c>
      <c r="V77" s="58">
        <v>8</v>
      </c>
      <c r="Y77" s="58"/>
      <c r="AA77" s="58"/>
      <c r="AC77" s="58"/>
      <c r="AE77" s="58"/>
      <c r="AG77" s="58"/>
      <c r="AT77" s="59">
        <f t="shared" si="1"/>
        <v>8</v>
      </c>
      <c r="AU77" s="155" t="s">
        <v>438</v>
      </c>
      <c r="AV77" s="56" t="str">
        <f t="shared" ca="1" si="2"/>
        <v>YupoongInc; 174, Gurodong-ro, Guro-gu, 08285 Seoul, South Korea</v>
      </c>
      <c r="AW77" s="43" t="str">
        <f t="shared" ca="1" si="3"/>
        <v>Корея, Республика</v>
      </c>
      <c r="AX77" s="74">
        <f t="shared" si="4"/>
        <v>0.1</v>
      </c>
      <c r="AY77" s="43">
        <f t="shared" si="5"/>
        <v>0.15000000000000002</v>
      </c>
      <c r="AZ77" s="43">
        <f t="shared" si="6"/>
        <v>0.8</v>
      </c>
      <c r="BA77" s="43">
        <f t="shared" si="7"/>
        <v>1.2000000000000002</v>
      </c>
      <c r="BB77" s="139">
        <v>381.65</v>
      </c>
      <c r="BC77" s="150">
        <f t="shared" si="8"/>
        <v>3053.2</v>
      </c>
      <c r="BD77" s="45">
        <f>IF(A77&lt;&gt;"",IF(_xlfn.XLOOKUP(A77,'1C'!A:A,'1C'!A:A,0,0)&gt;0,1,0),"")</f>
        <v>0</v>
      </c>
      <c r="BE77" s="145">
        <f>IF(C77&lt;&gt;"",IF(_xlfn.XLOOKUP(TEXT(C77,"###"),'1C'!W:W,'1C'!D:D,0,0)&gt;0,0,1),"")</f>
        <v>1</v>
      </c>
      <c r="BF77" s="72" t="str">
        <f t="shared" si="9"/>
        <v>-</v>
      </c>
    </row>
    <row r="78" spans="1:58" ht="98.1" customHeight="1">
      <c r="A78" s="43" t="str">
        <f t="shared" si="0"/>
        <v>1501KCOLIVE</v>
      </c>
      <c r="B78" s="4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94-017-03</v>
      </c>
      <c r="C78" s="147" t="s">
        <v>870</v>
      </c>
      <c r="E78" s="43" t="str">
        <f>IF(F78&lt;&gt;"",IFERROR(VLOOKUP(F78,Категории!A:B,2,0),""),"Требуется категория")</f>
        <v>Шапки</v>
      </c>
      <c r="F78" s="43" t="s">
        <v>340</v>
      </c>
      <c r="G78" s="56" t="s">
        <v>927</v>
      </c>
      <c r="H78" s="43" t="s">
        <v>388</v>
      </c>
      <c r="J78" s="43" t="str">
        <f>'1C'!$AJ$1</f>
        <v>FLEXFIT</v>
      </c>
      <c r="K78" s="101" t="s">
        <v>903</v>
      </c>
      <c r="L78" s="148" t="s">
        <v>195</v>
      </c>
      <c r="M78" s="65"/>
      <c r="N78" s="62"/>
      <c r="O78" s="62"/>
      <c r="P78" s="62"/>
      <c r="Q78" s="154" t="s">
        <v>939</v>
      </c>
      <c r="R78" s="64"/>
      <c r="S78" s="62" t="s">
        <v>46</v>
      </c>
      <c r="T78" s="58"/>
      <c r="U78" s="59" t="s">
        <v>382</v>
      </c>
      <c r="V78" s="58">
        <v>8</v>
      </c>
      <c r="Y78" s="58"/>
      <c r="AA78" s="58"/>
      <c r="AC78" s="58"/>
      <c r="AE78" s="58"/>
      <c r="AG78" s="58"/>
      <c r="AT78" s="59">
        <f t="shared" si="1"/>
        <v>8</v>
      </c>
      <c r="AU78" s="155" t="s">
        <v>438</v>
      </c>
      <c r="AV78" s="56" t="str">
        <f t="shared" ca="1" si="2"/>
        <v>YupoongInc; 174, Gurodong-ro, Guro-gu, 08285 Seoul, South Korea</v>
      </c>
      <c r="AW78" s="43" t="str">
        <f t="shared" ca="1" si="3"/>
        <v>Корея, Республика</v>
      </c>
      <c r="AX78" s="74">
        <f t="shared" si="4"/>
        <v>0.1</v>
      </c>
      <c r="AY78" s="43">
        <f t="shared" si="5"/>
        <v>0.15000000000000002</v>
      </c>
      <c r="AZ78" s="43">
        <f t="shared" si="6"/>
        <v>0.8</v>
      </c>
      <c r="BA78" s="43">
        <f t="shared" si="7"/>
        <v>1.2000000000000002</v>
      </c>
      <c r="BB78" s="139">
        <v>381.65</v>
      </c>
      <c r="BC78" s="150">
        <f t="shared" si="8"/>
        <v>3053.2</v>
      </c>
      <c r="BD78" s="45">
        <f>IF(A78&lt;&gt;"",IF(_xlfn.XLOOKUP(A78,'1C'!A:A,'1C'!A:A,0,0)&gt;0,1,0),"")</f>
        <v>0</v>
      </c>
      <c r="BE78" s="145">
        <f>IF(C78&lt;&gt;"",IF(_xlfn.XLOOKUP(TEXT(C78,"###"),'1C'!W:W,'1C'!D:D,0,0)&gt;0,0,1),"")</f>
        <v>1</v>
      </c>
      <c r="BF78" s="72" t="str">
        <f t="shared" si="9"/>
        <v>-</v>
      </c>
    </row>
    <row r="79" spans="1:58" ht="98.1" customHeight="1">
      <c r="A79" s="43" t="str">
        <f t="shared" si="0"/>
        <v>1501KCRED</v>
      </c>
      <c r="B79" s="4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94-017-18</v>
      </c>
      <c r="C79" s="147" t="s">
        <v>870</v>
      </c>
      <c r="E79" s="43" t="str">
        <f>IF(F79&lt;&gt;"",IFERROR(VLOOKUP(F79,Категории!A:B,2,0),""),"Требуется категория")</f>
        <v>Шапки</v>
      </c>
      <c r="F79" s="43" t="s">
        <v>340</v>
      </c>
      <c r="G79" s="56" t="s">
        <v>927</v>
      </c>
      <c r="H79" s="43" t="s">
        <v>388</v>
      </c>
      <c r="J79" s="43" t="str">
        <f>'1C'!$AJ$1</f>
        <v>FLEXFIT</v>
      </c>
      <c r="K79" s="101" t="s">
        <v>875</v>
      </c>
      <c r="L79" s="148" t="s">
        <v>78</v>
      </c>
      <c r="M79" s="65"/>
      <c r="N79" s="62"/>
      <c r="O79" s="62"/>
      <c r="P79" s="62"/>
      <c r="Q79" s="154" t="s">
        <v>939</v>
      </c>
      <c r="R79" s="64"/>
      <c r="S79" s="62" t="s">
        <v>46</v>
      </c>
      <c r="T79" s="58"/>
      <c r="U79" s="59" t="s">
        <v>382</v>
      </c>
      <c r="V79" s="58">
        <v>4</v>
      </c>
      <c r="Y79" s="58"/>
      <c r="AA79" s="58"/>
      <c r="AC79" s="58"/>
      <c r="AE79" s="58"/>
      <c r="AG79" s="58"/>
      <c r="AT79" s="59">
        <f t="shared" si="1"/>
        <v>4</v>
      </c>
      <c r="AU79" s="155" t="s">
        <v>438</v>
      </c>
      <c r="AV79" s="56" t="str">
        <f t="shared" ca="1" si="2"/>
        <v>YupoongInc; 174, Gurodong-ro, Guro-gu, 08285 Seoul, South Korea</v>
      </c>
      <c r="AW79" s="43" t="str">
        <f t="shared" ca="1" si="3"/>
        <v>Корея, Республика</v>
      </c>
      <c r="AX79" s="74">
        <f t="shared" si="4"/>
        <v>0.1</v>
      </c>
      <c r="AY79" s="43">
        <f t="shared" si="5"/>
        <v>0.15000000000000002</v>
      </c>
      <c r="AZ79" s="43">
        <f t="shared" si="6"/>
        <v>0.4</v>
      </c>
      <c r="BA79" s="43">
        <f t="shared" si="7"/>
        <v>0.60000000000000009</v>
      </c>
      <c r="BB79" s="139">
        <v>381.65</v>
      </c>
      <c r="BC79" s="150">
        <f t="shared" si="8"/>
        <v>1526.6</v>
      </c>
      <c r="BD79" s="45">
        <f>IF(A79&lt;&gt;"",IF(_xlfn.XLOOKUP(A79,'1C'!A:A,'1C'!A:A,0,0)&gt;0,1,0),"")</f>
        <v>0</v>
      </c>
      <c r="BE79" s="145">
        <f>IF(C79&lt;&gt;"",IF(_xlfn.XLOOKUP(TEXT(C79,"###"),'1C'!W:W,'1C'!D:D,0,0)&gt;0,0,1),"")</f>
        <v>1</v>
      </c>
      <c r="BF79" s="72" t="str">
        <f t="shared" si="9"/>
        <v>-</v>
      </c>
    </row>
    <row r="80" spans="1:58" ht="98.1" customHeight="1">
      <c r="A80" s="43" t="str">
        <f t="shared" si="0"/>
        <v>1501KCROYAL</v>
      </c>
      <c r="B80" s="4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94-017-06</v>
      </c>
      <c r="C80" s="147" t="s">
        <v>870</v>
      </c>
      <c r="E80" s="43" t="str">
        <f>IF(F80&lt;&gt;"",IFERROR(VLOOKUP(F80,Категории!A:B,2,0),""),"Требуется категория")</f>
        <v>Шапки</v>
      </c>
      <c r="F80" s="43" t="s">
        <v>340</v>
      </c>
      <c r="G80" s="56" t="s">
        <v>927</v>
      </c>
      <c r="H80" s="43" t="s">
        <v>388</v>
      </c>
      <c r="J80" s="43" t="str">
        <f>'1C'!$AJ$1</f>
        <v>FLEXFIT</v>
      </c>
      <c r="K80" s="101" t="s">
        <v>876</v>
      </c>
      <c r="L80" s="148" t="s">
        <v>71</v>
      </c>
      <c r="M80" s="65"/>
      <c r="N80" s="62"/>
      <c r="O80" s="62"/>
      <c r="P80" s="62"/>
      <c r="Q80" s="154" t="s">
        <v>939</v>
      </c>
      <c r="R80" s="64"/>
      <c r="S80" s="62" t="s">
        <v>46</v>
      </c>
      <c r="T80" s="58"/>
      <c r="U80" s="59" t="s">
        <v>382</v>
      </c>
      <c r="V80" s="58">
        <v>4</v>
      </c>
      <c r="Y80" s="58"/>
      <c r="AA80" s="58"/>
      <c r="AC80" s="58"/>
      <c r="AE80" s="58"/>
      <c r="AG80" s="58"/>
      <c r="AT80" s="59">
        <f t="shared" si="1"/>
        <v>4</v>
      </c>
      <c r="AU80" s="155" t="s">
        <v>438</v>
      </c>
      <c r="AV80" s="56" t="str">
        <f t="shared" ca="1" si="2"/>
        <v>YupoongInc; 174, Gurodong-ro, Guro-gu, 08285 Seoul, South Korea</v>
      </c>
      <c r="AW80" s="43" t="str">
        <f t="shared" ca="1" si="3"/>
        <v>Корея, Республика</v>
      </c>
      <c r="AX80" s="74">
        <f t="shared" si="4"/>
        <v>0.1</v>
      </c>
      <c r="AY80" s="43">
        <f t="shared" si="5"/>
        <v>0.15000000000000002</v>
      </c>
      <c r="AZ80" s="43">
        <f t="shared" si="6"/>
        <v>0.4</v>
      </c>
      <c r="BA80" s="43">
        <f t="shared" si="7"/>
        <v>0.60000000000000009</v>
      </c>
      <c r="BB80" s="139">
        <v>381.65</v>
      </c>
      <c r="BC80" s="150">
        <f t="shared" si="8"/>
        <v>1526.6</v>
      </c>
      <c r="BD80" s="45">
        <f>IF(A80&lt;&gt;"",IF(_xlfn.XLOOKUP(A80,'1C'!A:A,'1C'!A:A,0,0)&gt;0,1,0),"")</f>
        <v>0</v>
      </c>
      <c r="BE80" s="145">
        <f>IF(C80&lt;&gt;"",IF(_xlfn.XLOOKUP(TEXT(C80,"###"),'1C'!W:W,'1C'!D:D,0,0)&gt;0,0,1),"")</f>
        <v>1</v>
      </c>
      <c r="BF80" s="72" t="str">
        <f t="shared" si="9"/>
        <v>-</v>
      </c>
    </row>
    <row r="81" spans="1:58" ht="98.1" customHeight="1">
      <c r="A81" s="43" t="str">
        <f t="shared" si="0"/>
        <v>1501KCSAND</v>
      </c>
      <c r="B81" s="4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94-017-02</v>
      </c>
      <c r="C81" s="147" t="s">
        <v>870</v>
      </c>
      <c r="E81" s="43" t="str">
        <f>IF(F81&lt;&gt;"",IFERROR(VLOOKUP(F81,Категории!A:B,2,0),""),"Требуется категория")</f>
        <v>Шапки</v>
      </c>
      <c r="F81" s="43" t="s">
        <v>340</v>
      </c>
      <c r="G81" s="56" t="s">
        <v>927</v>
      </c>
      <c r="H81" s="43" t="s">
        <v>388</v>
      </c>
      <c r="J81" s="43" t="str">
        <f>'1C'!$AJ$1</f>
        <v>FLEXFIT</v>
      </c>
      <c r="K81" s="101" t="s">
        <v>907</v>
      </c>
      <c r="L81" s="148" t="s">
        <v>205</v>
      </c>
      <c r="M81" s="65"/>
      <c r="N81" s="62"/>
      <c r="O81" s="62"/>
      <c r="P81" s="62"/>
      <c r="Q81" s="154" t="s">
        <v>939</v>
      </c>
      <c r="R81" s="64"/>
      <c r="S81" s="62" t="s">
        <v>46</v>
      </c>
      <c r="T81" s="58"/>
      <c r="U81" s="59" t="s">
        <v>382</v>
      </c>
      <c r="V81" s="58">
        <v>4</v>
      </c>
      <c r="Y81" s="58"/>
      <c r="AA81" s="58"/>
      <c r="AC81" s="58"/>
      <c r="AE81" s="58"/>
      <c r="AG81" s="58"/>
      <c r="AT81" s="59">
        <f t="shared" si="1"/>
        <v>4</v>
      </c>
      <c r="AU81" s="155" t="s">
        <v>438</v>
      </c>
      <c r="AV81" s="56" t="str">
        <f t="shared" ca="1" si="2"/>
        <v>YupoongInc; 174, Gurodong-ro, Guro-gu, 08285 Seoul, South Korea</v>
      </c>
      <c r="AW81" s="43" t="str">
        <f t="shared" ca="1" si="3"/>
        <v>Корея, Республика</v>
      </c>
      <c r="AX81" s="74">
        <f t="shared" si="4"/>
        <v>0.1</v>
      </c>
      <c r="AY81" s="43">
        <f t="shared" si="5"/>
        <v>0.15000000000000002</v>
      </c>
      <c r="AZ81" s="43">
        <f t="shared" si="6"/>
        <v>0.4</v>
      </c>
      <c r="BA81" s="43">
        <f t="shared" si="7"/>
        <v>0.60000000000000009</v>
      </c>
      <c r="BB81" s="139">
        <v>381.65</v>
      </c>
      <c r="BC81" s="150">
        <f t="shared" si="8"/>
        <v>1526.6</v>
      </c>
      <c r="BD81" s="45">
        <f>IF(A81&lt;&gt;"",IF(_xlfn.XLOOKUP(A81,'1C'!A:A,'1C'!A:A,0,0)&gt;0,1,0),"")</f>
        <v>0</v>
      </c>
      <c r="BE81" s="145">
        <f>IF(C81&lt;&gt;"",IF(_xlfn.XLOOKUP(TEXT(C81,"###"),'1C'!W:W,'1C'!D:D,0,0)&gt;0,0,1),"")</f>
        <v>1</v>
      </c>
      <c r="BF81" s="72" t="str">
        <f t="shared" si="9"/>
        <v>-</v>
      </c>
    </row>
    <row r="82" spans="1:58" ht="98.1" customHeight="1">
      <c r="A82" s="43" t="str">
        <f t="shared" si="0"/>
        <v>1501KCSPRUCE</v>
      </c>
      <c r="B82" s="4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94-017-11</v>
      </c>
      <c r="C82" s="147" t="s">
        <v>870</v>
      </c>
      <c r="E82" s="43" t="str">
        <f>IF(F82&lt;&gt;"",IFERROR(VLOOKUP(F82,Категории!A:B,2,0),""),"Требуется категория")</f>
        <v>Шапки</v>
      </c>
      <c r="F82" s="43" t="s">
        <v>340</v>
      </c>
      <c r="G82" s="56" t="s">
        <v>927</v>
      </c>
      <c r="H82" s="43" t="s">
        <v>388</v>
      </c>
      <c r="J82" s="43" t="str">
        <f>'1C'!$AJ$1</f>
        <v>FLEXFIT</v>
      </c>
      <c r="K82" s="101" t="s">
        <v>891</v>
      </c>
      <c r="L82" s="148" t="s">
        <v>60</v>
      </c>
      <c r="M82" s="65"/>
      <c r="N82" s="62"/>
      <c r="O82" s="62"/>
      <c r="P82" s="62"/>
      <c r="Q82" s="154" t="s">
        <v>939</v>
      </c>
      <c r="R82" s="64"/>
      <c r="S82" s="62" t="s">
        <v>46</v>
      </c>
      <c r="T82" s="58"/>
      <c r="U82" s="59" t="s">
        <v>382</v>
      </c>
      <c r="V82" s="58">
        <v>4</v>
      </c>
      <c r="Y82" s="58"/>
      <c r="AA82" s="58"/>
      <c r="AC82" s="58"/>
      <c r="AE82" s="58"/>
      <c r="AG82" s="58"/>
      <c r="AT82" s="59">
        <f t="shared" si="1"/>
        <v>4</v>
      </c>
      <c r="AU82" s="155" t="s">
        <v>438</v>
      </c>
      <c r="AV82" s="56" t="str">
        <f t="shared" ca="1" si="2"/>
        <v>YupoongInc; 174, Gurodong-ro, Guro-gu, 08285 Seoul, South Korea</v>
      </c>
      <c r="AW82" s="43" t="str">
        <f t="shared" ca="1" si="3"/>
        <v>Корея, Республика</v>
      </c>
      <c r="AX82" s="74">
        <f t="shared" si="4"/>
        <v>0.1</v>
      </c>
      <c r="AY82" s="43">
        <f t="shared" si="5"/>
        <v>0.15000000000000002</v>
      </c>
      <c r="AZ82" s="43">
        <f t="shared" si="6"/>
        <v>0.4</v>
      </c>
      <c r="BA82" s="43">
        <f t="shared" si="7"/>
        <v>0.60000000000000009</v>
      </c>
      <c r="BB82" s="139">
        <v>381.65</v>
      </c>
      <c r="BC82" s="150">
        <f t="shared" si="8"/>
        <v>1526.6</v>
      </c>
      <c r="BD82" s="45">
        <f>IF(A82&lt;&gt;"",IF(_xlfn.XLOOKUP(A82,'1C'!A:A,'1C'!A:A,0,0)&gt;0,1,0),"")</f>
        <v>0</v>
      </c>
      <c r="BE82" s="145">
        <f>IF(C82&lt;&gt;"",IF(_xlfn.XLOOKUP(TEXT(C82,"###"),'1C'!W:W,'1C'!D:D,0,0)&gt;0,0,1),"")</f>
        <v>1</v>
      </c>
      <c r="BF82" s="72" t="str">
        <f t="shared" si="9"/>
        <v>-</v>
      </c>
    </row>
    <row r="83" spans="1:58" ht="98.1" customHeight="1">
      <c r="A83" s="43" t="str">
        <f t="shared" si="0"/>
        <v>1501PBLACK</v>
      </c>
      <c r="B83" s="45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94-018-09</v>
      </c>
      <c r="C83" s="147" t="s">
        <v>871</v>
      </c>
      <c r="E83" s="43" t="str">
        <f>IF(F83&lt;&gt;"",IFERROR(VLOOKUP(F83,Категории!A:B,2,0),""),"Требуется категория")</f>
        <v>Шапки</v>
      </c>
      <c r="F83" s="43" t="s">
        <v>342</v>
      </c>
      <c r="G83" s="56" t="s">
        <v>927</v>
      </c>
      <c r="H83" s="43" t="s">
        <v>388</v>
      </c>
      <c r="J83" s="43" t="str">
        <f>'1C'!$AJ$1</f>
        <v>FLEXFIT</v>
      </c>
      <c r="K83" s="101" t="s">
        <v>878</v>
      </c>
      <c r="L83" s="148" t="s">
        <v>53</v>
      </c>
      <c r="M83" s="65"/>
      <c r="N83" s="62"/>
      <c r="O83" s="62"/>
      <c r="P83" s="62"/>
      <c r="Q83" s="154" t="s">
        <v>939</v>
      </c>
      <c r="R83" s="64"/>
      <c r="S83" s="62" t="s">
        <v>46</v>
      </c>
      <c r="T83" s="58"/>
      <c r="U83" s="59" t="s">
        <v>382</v>
      </c>
      <c r="V83" s="58">
        <v>6</v>
      </c>
      <c r="Y83" s="58"/>
      <c r="AA83" s="58"/>
      <c r="AC83" s="58"/>
      <c r="AE83" s="58"/>
      <c r="AG83" s="58"/>
      <c r="AT83" s="59">
        <f t="shared" si="1"/>
        <v>6</v>
      </c>
      <c r="AU83" s="155" t="s">
        <v>438</v>
      </c>
      <c r="AV83" s="56" t="str">
        <f t="shared" ca="1" si="2"/>
        <v>YupoongInc; 174, Gurodong-ro, Guro-gu, 08285 Seoul, South Korea</v>
      </c>
      <c r="AW83" s="43" t="str">
        <f t="shared" ca="1" si="3"/>
        <v>Корея, Республика</v>
      </c>
      <c r="AX83" s="74">
        <f t="shared" si="4"/>
        <v>0.1</v>
      </c>
      <c r="AY83" s="43">
        <f t="shared" si="5"/>
        <v>0.15000000000000002</v>
      </c>
      <c r="AZ83" s="43">
        <f t="shared" si="6"/>
        <v>0.60000000000000009</v>
      </c>
      <c r="BA83" s="43">
        <f t="shared" si="7"/>
        <v>0.90000000000000013</v>
      </c>
      <c r="BB83" s="139">
        <v>408</v>
      </c>
      <c r="BC83" s="150">
        <f t="shared" si="8"/>
        <v>2448</v>
      </c>
      <c r="BD83" s="45">
        <f>IF(A83&lt;&gt;"",IF(_xlfn.XLOOKUP(A83,'1C'!A:A,'1C'!A:A,0,0)&gt;0,1,0),"")</f>
        <v>0</v>
      </c>
      <c r="BE83" s="145">
        <f>IF(C83&lt;&gt;"",IF(_xlfn.XLOOKUP(TEXT(C83,"###"),'1C'!W:W,'1C'!D:D,0,0)&gt;0,0,1),"")</f>
        <v>1</v>
      </c>
      <c r="BF83" s="72" t="str">
        <f t="shared" si="9"/>
        <v>-</v>
      </c>
    </row>
    <row r="84" spans="1:58" ht="98.1" customHeight="1">
      <c r="A84" s="43" t="str">
        <f t="shared" si="0"/>
        <v>1501PDARK GREY</v>
      </c>
      <c r="B84" s="45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94-018-05</v>
      </c>
      <c r="C84" s="147" t="s">
        <v>871</v>
      </c>
      <c r="E84" s="43" t="str">
        <f>IF(F84&lt;&gt;"",IFERROR(VLOOKUP(F84,Категории!A:B,2,0),""),"Требуется категория")</f>
        <v>Шапки</v>
      </c>
      <c r="F84" s="43" t="s">
        <v>342</v>
      </c>
      <c r="G84" s="56" t="s">
        <v>927</v>
      </c>
      <c r="H84" s="43" t="s">
        <v>388</v>
      </c>
      <c r="J84" s="43" t="str">
        <f>'1C'!$AJ$1</f>
        <v>FLEXFIT</v>
      </c>
      <c r="K84" s="101" t="s">
        <v>872</v>
      </c>
      <c r="L84" s="148" t="s">
        <v>277</v>
      </c>
      <c r="M84" s="65"/>
      <c r="N84" s="62"/>
      <c r="O84" s="62"/>
      <c r="P84" s="62"/>
      <c r="Q84" s="154" t="s">
        <v>939</v>
      </c>
      <c r="R84" s="64"/>
      <c r="S84" s="62" t="s">
        <v>46</v>
      </c>
      <c r="T84" s="58"/>
      <c r="U84" s="43" t="s">
        <v>382</v>
      </c>
      <c r="V84" s="44">
        <v>6</v>
      </c>
      <c r="AT84" s="59">
        <f t="shared" si="1"/>
        <v>6</v>
      </c>
      <c r="AU84" s="155" t="s">
        <v>438</v>
      </c>
      <c r="AV84" s="56" t="str">
        <f t="shared" ca="1" si="2"/>
        <v>YupoongInc; 174, Gurodong-ro, Guro-gu, 08285 Seoul, South Korea</v>
      </c>
      <c r="AW84" s="43" t="str">
        <f t="shared" ca="1" si="3"/>
        <v>Корея, Республика</v>
      </c>
      <c r="AX84" s="74">
        <f t="shared" si="4"/>
        <v>0.1</v>
      </c>
      <c r="AY84" s="43">
        <f t="shared" si="5"/>
        <v>0.15000000000000002</v>
      </c>
      <c r="AZ84" s="43">
        <f t="shared" si="6"/>
        <v>0.60000000000000009</v>
      </c>
      <c r="BA84" s="43">
        <f t="shared" si="7"/>
        <v>0.90000000000000013</v>
      </c>
      <c r="BB84" s="139">
        <v>408</v>
      </c>
      <c r="BC84" s="150">
        <f t="shared" si="8"/>
        <v>2448</v>
      </c>
      <c r="BD84" s="45">
        <f>IF(A84&lt;&gt;"",IF(_xlfn.XLOOKUP(A84,'1C'!A:A,'1C'!A:A,0,0)&gt;0,1,0),"")</f>
        <v>0</v>
      </c>
      <c r="BE84" s="145">
        <f>IF(C84&lt;&gt;"",IF(_xlfn.XLOOKUP(TEXT(C84,"###"),'1C'!W:W,'1C'!D:D,0,0)&gt;0,0,1),"")</f>
        <v>1</v>
      </c>
      <c r="BF84" s="45" t="str">
        <f t="shared" si="9"/>
        <v>-</v>
      </c>
    </row>
    <row r="85" spans="1:58" ht="98.1" customHeight="1">
      <c r="A85" s="43" t="str">
        <f t="shared" si="0"/>
        <v>1501PHEATHER GREY</v>
      </c>
      <c r="B85" s="45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94-018-01</v>
      </c>
      <c r="C85" s="147" t="s">
        <v>871</v>
      </c>
      <c r="E85" s="43" t="str">
        <f>IF(F85&lt;&gt;"",IFERROR(VLOOKUP(F85,Категории!A:B,2,0),""),"Требуется категория")</f>
        <v>Шапки</v>
      </c>
      <c r="F85" s="43" t="s">
        <v>342</v>
      </c>
      <c r="G85" s="56" t="s">
        <v>927</v>
      </c>
      <c r="H85" s="43" t="s">
        <v>388</v>
      </c>
      <c r="J85" s="43" t="str">
        <f>'1C'!$AJ$1</f>
        <v>FLEXFIT</v>
      </c>
      <c r="K85" s="101" t="s">
        <v>873</v>
      </c>
      <c r="L85" s="148" t="s">
        <v>231</v>
      </c>
      <c r="M85" s="65"/>
      <c r="N85" s="62"/>
      <c r="O85" s="62"/>
      <c r="P85" s="62"/>
      <c r="Q85" s="154" t="s">
        <v>939</v>
      </c>
      <c r="R85" s="64"/>
      <c r="S85" s="62" t="s">
        <v>46</v>
      </c>
      <c r="T85" s="58"/>
      <c r="U85" s="43" t="s">
        <v>382</v>
      </c>
      <c r="V85" s="44">
        <v>4</v>
      </c>
      <c r="AT85" s="59">
        <f t="shared" si="1"/>
        <v>4</v>
      </c>
      <c r="AU85" s="155" t="s">
        <v>438</v>
      </c>
      <c r="AV85" s="56" t="str">
        <f t="shared" ca="1" si="2"/>
        <v>YupoongInc; 174, Gurodong-ro, Guro-gu, 08285 Seoul, South Korea</v>
      </c>
      <c r="AW85" s="43" t="str">
        <f t="shared" ca="1" si="3"/>
        <v>Корея, Республика</v>
      </c>
      <c r="AX85" s="74">
        <f t="shared" si="4"/>
        <v>0.1</v>
      </c>
      <c r="AY85" s="43">
        <f t="shared" si="5"/>
        <v>0.15000000000000002</v>
      </c>
      <c r="AZ85" s="43">
        <f t="shared" si="6"/>
        <v>0.4</v>
      </c>
      <c r="BA85" s="43">
        <f t="shared" si="7"/>
        <v>0.60000000000000009</v>
      </c>
      <c r="BB85" s="139">
        <v>408</v>
      </c>
      <c r="BC85" s="150">
        <f t="shared" si="8"/>
        <v>1632</v>
      </c>
      <c r="BD85" s="45">
        <f>IF(A85&lt;&gt;"",IF(_xlfn.XLOOKUP(A85,'1C'!A:A,'1C'!A:A,0,0)&gt;0,1,0),"")</f>
        <v>0</v>
      </c>
      <c r="BE85" s="145">
        <f>IF(C85&lt;&gt;"",IF(_xlfn.XLOOKUP(TEXT(C85,"###"),'1C'!W:W,'1C'!D:D,0,0)&gt;0,0,1),"")</f>
        <v>1</v>
      </c>
      <c r="BF85" s="45" t="str">
        <f t="shared" si="9"/>
        <v>-</v>
      </c>
    </row>
    <row r="86" spans="1:58" ht="98.1" customHeight="1">
      <c r="A86" s="43" t="str">
        <f t="shared" si="0"/>
        <v>1501PNAVY</v>
      </c>
      <c r="B86" s="45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94-018-16</v>
      </c>
      <c r="C86" s="147" t="s">
        <v>871</v>
      </c>
      <c r="E86" s="43" t="str">
        <f>IF(F86&lt;&gt;"",IFERROR(VLOOKUP(F86,Категории!A:B,2,0),""),"Требуется категория")</f>
        <v>Шапки</v>
      </c>
      <c r="F86" s="43" t="s">
        <v>342</v>
      </c>
      <c r="G86" s="56" t="s">
        <v>927</v>
      </c>
      <c r="H86" s="43" t="s">
        <v>388</v>
      </c>
      <c r="J86" s="43" t="str">
        <f>'1C'!$AJ$1</f>
        <v>FLEXFIT</v>
      </c>
      <c r="K86" s="101" t="s">
        <v>874</v>
      </c>
      <c r="L86" s="149" t="s">
        <v>55</v>
      </c>
      <c r="M86" s="65"/>
      <c r="N86" s="62"/>
      <c r="O86" s="62"/>
      <c r="P86" s="62"/>
      <c r="Q86" s="154" t="s">
        <v>939</v>
      </c>
      <c r="R86" s="64"/>
      <c r="S86" s="62" t="s">
        <v>46</v>
      </c>
      <c r="T86" s="58"/>
      <c r="U86" s="59" t="s">
        <v>382</v>
      </c>
      <c r="V86" s="44">
        <v>3</v>
      </c>
      <c r="AT86" s="59">
        <f t="shared" si="1"/>
        <v>3</v>
      </c>
      <c r="AU86" s="155" t="s">
        <v>438</v>
      </c>
      <c r="AV86" s="56" t="str">
        <f t="shared" ca="1" si="2"/>
        <v>YupoongInc; 174, Gurodong-ro, Guro-gu, 08285 Seoul, South Korea</v>
      </c>
      <c r="AW86" s="43" t="str">
        <f t="shared" ca="1" si="3"/>
        <v>Корея, Республика</v>
      </c>
      <c r="AX86" s="74">
        <f t="shared" si="4"/>
        <v>0.1</v>
      </c>
      <c r="AY86" s="43">
        <f t="shared" si="5"/>
        <v>0.15000000000000002</v>
      </c>
      <c r="AZ86" s="43">
        <f t="shared" si="6"/>
        <v>0.30000000000000004</v>
      </c>
      <c r="BA86" s="43">
        <f t="shared" si="7"/>
        <v>0.45000000000000007</v>
      </c>
      <c r="BB86" s="139">
        <v>408</v>
      </c>
      <c r="BC86" s="150">
        <f t="shared" si="8"/>
        <v>1224</v>
      </c>
      <c r="BD86" s="45">
        <f>IF(A86&lt;&gt;"",IF(_xlfn.XLOOKUP(A86,'1C'!A:A,'1C'!A:A,0,0)&gt;0,1,0),"")</f>
        <v>0</v>
      </c>
      <c r="BE86" s="145">
        <f>IF(C86&lt;&gt;"",IF(_xlfn.XLOOKUP(TEXT(C86,"###"),'1C'!W:W,'1C'!D:D,0,0)&gt;0,0,1),"")</f>
        <v>1</v>
      </c>
      <c r="BF86" s="45" t="str">
        <f t="shared" si="9"/>
        <v>-</v>
      </c>
    </row>
    <row r="87" spans="1:58" ht="98.1" customHeight="1">
      <c r="A87" s="43" t="str">
        <f t="shared" si="0"/>
        <v>1501PRED</v>
      </c>
      <c r="B87" s="45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94-018-18</v>
      </c>
      <c r="C87" s="147" t="s">
        <v>871</v>
      </c>
      <c r="E87" s="43" t="str">
        <f>IF(F87&lt;&gt;"",IFERROR(VLOOKUP(F87,Категории!A:B,2,0),""),"Требуется категория")</f>
        <v>Шапки</v>
      </c>
      <c r="F87" s="43" t="s">
        <v>342</v>
      </c>
      <c r="G87" s="56" t="s">
        <v>927</v>
      </c>
      <c r="H87" s="43" t="s">
        <v>388</v>
      </c>
      <c r="J87" s="43" t="str">
        <f>'1C'!$AJ$1</f>
        <v>FLEXFIT</v>
      </c>
      <c r="K87" s="101" t="s">
        <v>875</v>
      </c>
      <c r="L87" s="148" t="s">
        <v>78</v>
      </c>
      <c r="M87" s="65"/>
      <c r="N87" s="62"/>
      <c r="O87" s="62"/>
      <c r="P87" s="62"/>
      <c r="Q87" s="154" t="s">
        <v>939</v>
      </c>
      <c r="R87" s="64"/>
      <c r="S87" s="62" t="s">
        <v>46</v>
      </c>
      <c r="T87" s="58"/>
      <c r="U87" s="43" t="s">
        <v>382</v>
      </c>
      <c r="V87" s="44">
        <v>2</v>
      </c>
      <c r="AT87" s="59">
        <f t="shared" si="1"/>
        <v>2</v>
      </c>
      <c r="AU87" s="155" t="s">
        <v>438</v>
      </c>
      <c r="AV87" s="56" t="str">
        <f t="shared" ca="1" si="2"/>
        <v>YupoongInc; 174, Gurodong-ro, Guro-gu, 08285 Seoul, South Korea</v>
      </c>
      <c r="AW87" s="43" t="str">
        <f t="shared" ca="1" si="3"/>
        <v>Корея, Республика</v>
      </c>
      <c r="AX87" s="74">
        <f t="shared" si="4"/>
        <v>0.1</v>
      </c>
      <c r="AY87" s="43">
        <f t="shared" si="5"/>
        <v>0.15000000000000002</v>
      </c>
      <c r="AZ87" s="43">
        <f t="shared" si="6"/>
        <v>0.2</v>
      </c>
      <c r="BA87" s="43">
        <f t="shared" si="7"/>
        <v>0.30000000000000004</v>
      </c>
      <c r="BB87" s="139">
        <v>408</v>
      </c>
      <c r="BC87" s="150">
        <f t="shared" si="8"/>
        <v>816</v>
      </c>
      <c r="BD87" s="45">
        <f>IF(A87&lt;&gt;"",IF(_xlfn.XLOOKUP(A87,'1C'!A:A,'1C'!A:A,0,0)&gt;0,1,0),"")</f>
        <v>0</v>
      </c>
      <c r="BE87" s="145">
        <f>IF(C87&lt;&gt;"",IF(_xlfn.XLOOKUP(TEXT(C87,"###"),'1C'!W:W,'1C'!D:D,0,0)&gt;0,0,1),"")</f>
        <v>1</v>
      </c>
      <c r="BF87" s="45" t="str">
        <f t="shared" si="9"/>
        <v>-</v>
      </c>
    </row>
    <row r="88" spans="1:58" ht="98.1" customHeight="1">
      <c r="A88" s="43" t="str">
        <f t="shared" si="0"/>
        <v>1501PROYAL</v>
      </c>
      <c r="B88" s="45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94-018-06</v>
      </c>
      <c r="C88" s="147" t="s">
        <v>871</v>
      </c>
      <c r="E88" s="43" t="str">
        <f>IF(F88&lt;&gt;"",IFERROR(VLOOKUP(F88,Категории!A:B,2,0),""),"Требуется категория")</f>
        <v>Шапки</v>
      </c>
      <c r="F88" s="43" t="s">
        <v>342</v>
      </c>
      <c r="G88" s="56" t="s">
        <v>927</v>
      </c>
      <c r="H88" s="43" t="s">
        <v>388</v>
      </c>
      <c r="J88" s="43" t="str">
        <f>'1C'!$AJ$1</f>
        <v>FLEXFIT</v>
      </c>
      <c r="K88" s="101" t="s">
        <v>876</v>
      </c>
      <c r="L88" s="148" t="s">
        <v>71</v>
      </c>
      <c r="M88" s="65"/>
      <c r="N88" s="62"/>
      <c r="O88" s="62"/>
      <c r="P88" s="62"/>
      <c r="Q88" s="154" t="s">
        <v>939</v>
      </c>
      <c r="R88" s="64"/>
      <c r="S88" s="62" t="s">
        <v>46</v>
      </c>
      <c r="T88" s="58"/>
      <c r="U88" s="43" t="s">
        <v>382</v>
      </c>
      <c r="V88" s="44">
        <v>2</v>
      </c>
      <c r="AT88" s="59">
        <f t="shared" si="1"/>
        <v>2</v>
      </c>
      <c r="AU88" s="155" t="s">
        <v>438</v>
      </c>
      <c r="AV88" s="56" t="str">
        <f t="shared" ca="1" si="2"/>
        <v>YupoongInc; 174, Gurodong-ro, Guro-gu, 08285 Seoul, South Korea</v>
      </c>
      <c r="AW88" s="43" t="str">
        <f t="shared" ca="1" si="3"/>
        <v>Корея, Республика</v>
      </c>
      <c r="AX88" s="74">
        <f t="shared" si="4"/>
        <v>0.1</v>
      </c>
      <c r="AY88" s="43">
        <f t="shared" si="5"/>
        <v>0.15000000000000002</v>
      </c>
      <c r="AZ88" s="43">
        <f t="shared" si="6"/>
        <v>0.2</v>
      </c>
      <c r="BA88" s="43">
        <f t="shared" si="7"/>
        <v>0.30000000000000004</v>
      </c>
      <c r="BB88" s="139">
        <v>408</v>
      </c>
      <c r="BC88" s="150">
        <f t="shared" si="8"/>
        <v>816</v>
      </c>
      <c r="BD88" s="45">
        <f>IF(A88&lt;&gt;"",IF(_xlfn.XLOOKUP(A88,'1C'!A:A,'1C'!A:A,0,0)&gt;0,1,0),"")</f>
        <v>0</v>
      </c>
      <c r="BE88" s="145">
        <f>IF(C88&lt;&gt;"",IF(_xlfn.XLOOKUP(TEXT(C88,"###"),'1C'!W:W,'1C'!D:D,0,0)&gt;0,0,1),"")</f>
        <v>1</v>
      </c>
      <c r="BF88" s="45" t="str">
        <f t="shared" si="9"/>
        <v>-</v>
      </c>
    </row>
    <row r="89" spans="1:58" ht="98.1" customHeight="1">
      <c r="C89" s="147" t="s">
        <v>47</v>
      </c>
      <c r="G89" s="56"/>
      <c r="M89" s="65"/>
      <c r="N89" s="62"/>
      <c r="O89" s="62"/>
      <c r="P89" s="62"/>
      <c r="Q89" s="132"/>
      <c r="R89" s="64"/>
      <c r="S89" s="62"/>
      <c r="T89" s="58"/>
      <c r="AV89" s="56"/>
      <c r="BE89" s="102"/>
    </row>
    <row r="90" spans="1:58" ht="98.1" customHeight="1">
      <c r="G90" s="56"/>
      <c r="M90" s="65"/>
      <c r="N90" s="62"/>
      <c r="O90" s="62"/>
      <c r="P90" s="62"/>
      <c r="Q90" s="132"/>
      <c r="R90" s="64"/>
      <c r="S90" s="62"/>
      <c r="T90" s="58"/>
      <c r="AV90" s="56"/>
      <c r="BE90" s="102"/>
    </row>
    <row r="91" spans="1:58" ht="98.1" customHeight="1">
      <c r="G91" s="56"/>
      <c r="M91" s="65"/>
      <c r="N91" s="62"/>
      <c r="O91" s="62"/>
      <c r="P91" s="62"/>
      <c r="Q91" s="132"/>
      <c r="R91" s="64"/>
      <c r="S91" s="62"/>
      <c r="T91" s="58"/>
      <c r="AV91" s="56"/>
      <c r="BE91" s="102"/>
    </row>
    <row r="92" spans="1:58" ht="98.1" customHeight="1">
      <c r="G92" s="56"/>
      <c r="M92" s="65"/>
      <c r="N92" s="62"/>
      <c r="O92" s="62"/>
      <c r="P92" s="62"/>
      <c r="Q92" s="132"/>
      <c r="R92" s="64"/>
      <c r="S92" s="62"/>
      <c r="T92" s="58"/>
      <c r="AV92" s="56"/>
      <c r="BE92" s="102"/>
    </row>
    <row r="93" spans="1:58" ht="98.1" customHeight="1">
      <c r="G93" s="56"/>
      <c r="L93" s="99"/>
      <c r="M93" s="65"/>
      <c r="N93" s="62"/>
      <c r="O93" s="62"/>
      <c r="P93" s="62"/>
      <c r="Q93" s="132"/>
      <c r="R93" s="64"/>
      <c r="S93" s="62"/>
      <c r="T93" s="58"/>
      <c r="U93" s="58"/>
      <c r="AV93" s="56"/>
      <c r="BE93" s="102"/>
    </row>
    <row r="94" spans="1:58" ht="98.1" customHeight="1">
      <c r="G94" s="56"/>
      <c r="M94" s="65"/>
      <c r="N94" s="62"/>
      <c r="O94" s="62"/>
      <c r="P94" s="62"/>
      <c r="Q94" s="132"/>
      <c r="R94" s="64"/>
      <c r="S94" s="62"/>
      <c r="T94" s="58"/>
      <c r="AV94" s="56"/>
      <c r="BE94" s="102"/>
    </row>
    <row r="95" spans="1:58" ht="98.1" customHeight="1">
      <c r="G95" s="56"/>
      <c r="L95" s="99"/>
      <c r="M95" s="65"/>
      <c r="N95" s="62"/>
      <c r="O95" s="62"/>
      <c r="P95" s="62"/>
      <c r="Q95" s="132"/>
      <c r="R95" s="64"/>
      <c r="S95" s="62"/>
      <c r="T95" s="58"/>
      <c r="U95" s="58"/>
      <c r="AV95" s="56"/>
      <c r="BE95" s="102"/>
    </row>
    <row r="96" spans="1:58" ht="98.1" customHeight="1">
      <c r="G96" s="56"/>
      <c r="M96" s="65"/>
      <c r="N96" s="62"/>
      <c r="O96" s="62"/>
      <c r="P96" s="62"/>
      <c r="Q96" s="132"/>
      <c r="R96" s="64"/>
      <c r="S96" s="62"/>
      <c r="T96" s="58"/>
      <c r="AV96" s="56"/>
      <c r="BE96" s="102"/>
    </row>
    <row r="97" spans="7:57" ht="98.1" customHeight="1">
      <c r="G97" s="56"/>
      <c r="M97" s="65"/>
      <c r="N97" s="62"/>
      <c r="O97" s="62"/>
      <c r="P97" s="62"/>
      <c r="Q97" s="132"/>
      <c r="R97" s="64"/>
      <c r="S97" s="62"/>
      <c r="T97" s="58"/>
      <c r="AV97" s="56"/>
      <c r="BE97" s="102"/>
    </row>
    <row r="98" spans="7:57" ht="98.1" customHeight="1">
      <c r="G98" s="56"/>
      <c r="L98" s="99"/>
      <c r="M98" s="65"/>
      <c r="N98" s="62"/>
      <c r="O98" s="62"/>
      <c r="P98" s="62"/>
      <c r="Q98" s="62"/>
      <c r="R98" s="64"/>
      <c r="S98" s="62"/>
      <c r="T98" s="58"/>
      <c r="U98" s="58"/>
      <c r="AV98" s="56"/>
      <c r="BE98" s="102"/>
    </row>
    <row r="99" spans="7:57" ht="98.1" customHeight="1">
      <c r="G99" s="56"/>
      <c r="L99" s="99"/>
      <c r="M99" s="65"/>
      <c r="N99" s="62"/>
      <c r="O99" s="62"/>
      <c r="P99" s="62"/>
      <c r="Q99" s="62"/>
      <c r="R99" s="64"/>
      <c r="S99" s="62"/>
      <c r="T99" s="58"/>
      <c r="U99" s="58"/>
      <c r="AV99" s="56"/>
      <c r="BE99" s="102"/>
    </row>
    <row r="100" spans="7:57" ht="98.1" customHeight="1">
      <c r="G100" s="56"/>
      <c r="M100" s="65"/>
      <c r="N100" s="62"/>
      <c r="O100" s="62"/>
      <c r="P100" s="62"/>
      <c r="R100" s="64"/>
      <c r="S100" s="62"/>
      <c r="T100" s="58"/>
      <c r="AV100" s="56"/>
      <c r="BE100" s="102"/>
    </row>
    <row r="101" spans="7:57" ht="98.1" customHeight="1">
      <c r="G101" s="56"/>
      <c r="L101" s="99"/>
      <c r="M101" s="65"/>
      <c r="N101" s="62"/>
      <c r="O101" s="62"/>
      <c r="P101" s="62"/>
      <c r="Q101" s="132"/>
      <c r="R101" s="64"/>
      <c r="S101" s="62"/>
      <c r="T101" s="58"/>
      <c r="AV101" s="56"/>
      <c r="BE101" s="102"/>
    </row>
    <row r="102" spans="7:57" ht="98.1" customHeight="1">
      <c r="G102" s="56"/>
      <c r="L102" s="99"/>
      <c r="M102" s="65"/>
      <c r="N102" s="62"/>
      <c r="O102" s="62"/>
      <c r="P102" s="62"/>
      <c r="Q102" s="62"/>
      <c r="R102" s="64"/>
      <c r="S102" s="62"/>
      <c r="T102" s="58"/>
      <c r="U102" s="58"/>
      <c r="AV102" s="56"/>
      <c r="BE102" s="102"/>
    </row>
    <row r="103" spans="7:57" ht="98.1" customHeight="1">
      <c r="G103" s="56"/>
      <c r="L103" s="99"/>
      <c r="M103" s="65"/>
      <c r="N103" s="62"/>
      <c r="O103" s="62"/>
      <c r="P103" s="62"/>
      <c r="Q103" s="132"/>
      <c r="R103" s="64"/>
      <c r="S103" s="62"/>
      <c r="T103" s="58"/>
      <c r="U103" s="58"/>
      <c r="AV103" s="56"/>
      <c r="BE103" s="102"/>
    </row>
    <row r="104" spans="7:57" ht="98.1" customHeight="1">
      <c r="G104" s="56"/>
      <c r="M104" s="65"/>
      <c r="N104" s="62"/>
      <c r="O104" s="62"/>
      <c r="P104" s="62"/>
      <c r="R104" s="64"/>
      <c r="S104" s="62"/>
      <c r="T104" s="58"/>
      <c r="AV104" s="56"/>
      <c r="BE104" s="102"/>
    </row>
    <row r="105" spans="7:57" ht="98.1" customHeight="1">
      <c r="G105" s="56"/>
      <c r="M105" s="65"/>
      <c r="N105" s="62"/>
      <c r="O105" s="62"/>
      <c r="P105" s="62"/>
      <c r="Q105" s="132"/>
      <c r="R105" s="64"/>
      <c r="S105" s="62"/>
      <c r="T105" s="58"/>
      <c r="AV105" s="56"/>
      <c r="BE105" s="102"/>
    </row>
    <row r="106" spans="7:57" ht="98.1" customHeight="1">
      <c r="G106" s="56"/>
      <c r="L106" s="99"/>
      <c r="M106" s="65"/>
      <c r="N106" s="62"/>
      <c r="O106" s="62"/>
      <c r="P106" s="62"/>
      <c r="Q106" s="132"/>
      <c r="R106" s="64"/>
      <c r="S106" s="62"/>
      <c r="T106" s="58"/>
      <c r="U106" s="58"/>
      <c r="AV106" s="56"/>
      <c r="BE106" s="102"/>
    </row>
    <row r="107" spans="7:57" ht="98.1" customHeight="1">
      <c r="G107" s="56"/>
      <c r="L107" s="99"/>
      <c r="M107" s="65"/>
      <c r="N107" s="62"/>
      <c r="O107" s="62"/>
      <c r="P107" s="62"/>
      <c r="Q107" s="132"/>
      <c r="R107" s="64"/>
      <c r="S107" s="62"/>
      <c r="T107" s="58"/>
      <c r="U107" s="58"/>
      <c r="AV107" s="56"/>
      <c r="BE107" s="102"/>
    </row>
    <row r="108" spans="7:57" ht="98.1" customHeight="1">
      <c r="G108" s="56"/>
      <c r="L108" s="99"/>
      <c r="M108" s="65"/>
      <c r="N108" s="62"/>
      <c r="O108" s="62"/>
      <c r="P108" s="62"/>
      <c r="Q108" s="132"/>
      <c r="R108" s="64"/>
      <c r="S108" s="62"/>
      <c r="T108" s="58"/>
      <c r="U108" s="58"/>
      <c r="AV108" s="56"/>
      <c r="BE108" s="102"/>
    </row>
    <row r="109" spans="7:57" ht="98.1" customHeight="1">
      <c r="G109" s="56"/>
      <c r="L109" s="99"/>
      <c r="M109" s="65"/>
      <c r="N109" s="62"/>
      <c r="O109" s="62"/>
      <c r="P109" s="62"/>
      <c r="Q109" s="132"/>
      <c r="R109" s="64"/>
      <c r="S109" s="62"/>
      <c r="T109" s="58"/>
      <c r="U109" s="58"/>
      <c r="AV109" s="56"/>
      <c r="BE109" s="102"/>
    </row>
    <row r="110" spans="7:57" ht="98.1" customHeight="1">
      <c r="G110" s="56"/>
      <c r="L110" s="99"/>
      <c r="M110" s="65"/>
      <c r="N110" s="62"/>
      <c r="O110" s="62"/>
      <c r="P110" s="62"/>
      <c r="Q110" s="132"/>
      <c r="R110" s="64"/>
      <c r="S110" s="62"/>
      <c r="T110" s="58"/>
      <c r="U110" s="58"/>
      <c r="AV110" s="56"/>
      <c r="BE110" s="102"/>
    </row>
    <row r="111" spans="7:57" ht="98.1" customHeight="1">
      <c r="G111" s="56"/>
      <c r="L111" s="99"/>
      <c r="M111" s="65"/>
      <c r="N111" s="62"/>
      <c r="O111" s="62"/>
      <c r="P111" s="62"/>
      <c r="Q111" s="132"/>
      <c r="R111" s="64"/>
      <c r="S111" s="62"/>
      <c r="T111" s="58"/>
      <c r="U111" s="58"/>
      <c r="AV111" s="56"/>
      <c r="BE111" s="102"/>
    </row>
    <row r="112" spans="7:57" ht="98.1" customHeight="1">
      <c r="G112" s="56"/>
      <c r="M112" s="65"/>
      <c r="N112" s="62"/>
      <c r="O112" s="62"/>
      <c r="P112" s="62"/>
      <c r="Q112" s="132"/>
      <c r="R112" s="64"/>
      <c r="S112" s="62"/>
      <c r="T112" s="58"/>
      <c r="AV112" s="56"/>
      <c r="BE112" s="102"/>
    </row>
    <row r="113" spans="7:57" ht="98.1" customHeight="1">
      <c r="G113" s="56"/>
      <c r="M113" s="65"/>
      <c r="N113" s="62"/>
      <c r="O113" s="62"/>
      <c r="P113" s="62"/>
      <c r="Q113" s="132"/>
      <c r="R113" s="64"/>
      <c r="S113" s="62"/>
      <c r="T113" s="58"/>
      <c r="AV113" s="56"/>
      <c r="BE113" s="102"/>
    </row>
    <row r="114" spans="7:57" ht="98.1" customHeight="1">
      <c r="G114" s="56"/>
      <c r="L114" s="99"/>
      <c r="M114" s="65"/>
      <c r="N114" s="62"/>
      <c r="O114" s="62"/>
      <c r="P114" s="62"/>
      <c r="Q114" s="132"/>
      <c r="R114" s="64"/>
      <c r="S114" s="62"/>
      <c r="T114" s="58"/>
      <c r="U114" s="58"/>
      <c r="AV114" s="56"/>
      <c r="BE114" s="102"/>
    </row>
    <row r="115" spans="7:57" ht="98.1" customHeight="1">
      <c r="G115" s="56"/>
      <c r="L115" s="99"/>
      <c r="M115" s="65"/>
      <c r="N115" s="62"/>
      <c r="O115" s="62"/>
      <c r="P115" s="62"/>
      <c r="Q115" s="132"/>
      <c r="R115" s="64"/>
      <c r="S115" s="62"/>
      <c r="T115" s="58"/>
      <c r="U115" s="58"/>
      <c r="AV115" s="56"/>
      <c r="BE115" s="102"/>
    </row>
    <row r="116" spans="7:57" ht="98.1" customHeight="1"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7:57" ht="98.1" customHeight="1">
      <c r="G117" s="56"/>
      <c r="L117" s="99"/>
      <c r="M117" s="65"/>
      <c r="N117" s="62"/>
      <c r="O117" s="62"/>
      <c r="P117" s="62"/>
      <c r="Q117" s="132"/>
      <c r="R117" s="64"/>
      <c r="S117" s="62"/>
      <c r="T117" s="58"/>
      <c r="U117" s="58"/>
      <c r="AV117" s="56"/>
      <c r="BE117" s="102"/>
    </row>
    <row r="118" spans="7:57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7:57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7:57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7:57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7:57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7:57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7:57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7:57" ht="98.1" customHeight="1">
      <c r="G125" s="56"/>
      <c r="M125" s="65"/>
      <c r="N125" s="62"/>
      <c r="O125" s="62"/>
      <c r="P125" s="62"/>
      <c r="Q125" s="132"/>
      <c r="R125" s="64"/>
      <c r="S125" s="62"/>
      <c r="T125" s="58"/>
      <c r="AV125" s="56"/>
      <c r="BE125" s="102"/>
    </row>
    <row r="126" spans="7:57" ht="98.1" customHeight="1">
      <c r="G126" s="56"/>
      <c r="L126" s="99"/>
      <c r="M126" s="65"/>
      <c r="N126" s="62"/>
      <c r="O126" s="62"/>
      <c r="P126" s="62"/>
      <c r="Q126" s="132"/>
      <c r="R126" s="64"/>
      <c r="S126" s="62"/>
      <c r="T126" s="58"/>
      <c r="U126" s="58"/>
      <c r="AV126" s="56"/>
      <c r="BE126" s="102"/>
    </row>
    <row r="127" spans="7:57" ht="98.1" customHeight="1">
      <c r="G127" s="56"/>
      <c r="M127" s="65"/>
      <c r="N127" s="62"/>
      <c r="O127" s="62"/>
      <c r="P127" s="62"/>
      <c r="Q127" s="132"/>
      <c r="R127" s="64"/>
      <c r="S127" s="62"/>
      <c r="T127" s="58"/>
      <c r="AV127" s="56"/>
      <c r="BE127" s="102"/>
    </row>
    <row r="128" spans="7:57" ht="98.1" customHeight="1">
      <c r="G128" s="56"/>
      <c r="L128" s="99"/>
      <c r="M128" s="65"/>
      <c r="N128" s="62"/>
      <c r="O128" s="62"/>
      <c r="P128" s="62"/>
      <c r="Q128" s="132"/>
      <c r="R128" s="64"/>
      <c r="S128" s="62"/>
      <c r="T128" s="58"/>
      <c r="U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M134" s="65"/>
      <c r="N134" s="62"/>
      <c r="O134" s="62"/>
      <c r="P134" s="62"/>
      <c r="Q134" s="132"/>
      <c r="R134" s="64"/>
      <c r="S134" s="62"/>
      <c r="T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132"/>
      <c r="R136" s="64"/>
      <c r="S136" s="62"/>
      <c r="T136" s="58"/>
      <c r="U136" s="58"/>
      <c r="AV136" s="56"/>
      <c r="BE136" s="102"/>
    </row>
    <row r="137" spans="7:57" ht="98.1" customHeight="1">
      <c r="G137" s="56"/>
      <c r="L137" s="99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2"/>
    </row>
    <row r="138" spans="7:57" ht="98.1" customHeight="1">
      <c r="G138" s="56"/>
      <c r="M138" s="65"/>
      <c r="N138" s="62"/>
      <c r="O138" s="62"/>
      <c r="P138" s="62"/>
      <c r="Q138" s="132"/>
      <c r="R138" s="64"/>
      <c r="S138" s="62"/>
      <c r="T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L140" s="99"/>
      <c r="M140" s="65"/>
      <c r="N140" s="62"/>
      <c r="O140" s="62"/>
      <c r="P140" s="62"/>
      <c r="Q140" s="132"/>
      <c r="R140" s="64"/>
      <c r="S140" s="62"/>
      <c r="T140" s="58"/>
      <c r="U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G143" s="56"/>
      <c r="M143" s="65"/>
      <c r="N143" s="62"/>
      <c r="O143" s="62"/>
      <c r="P143" s="62"/>
      <c r="Q143" s="132"/>
      <c r="R143" s="64"/>
      <c r="S143" s="62"/>
      <c r="T143" s="58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M153" s="65"/>
      <c r="N153" s="62"/>
      <c r="O153" s="62"/>
      <c r="P153" s="62"/>
      <c r="Q153" s="132"/>
      <c r="R153" s="64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Q158" s="13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Q165" s="132"/>
      <c r="S165" s="62"/>
      <c r="AV165" s="56"/>
      <c r="BE165" s="102"/>
    </row>
    <row r="166" spans="14:57" ht="98.1" customHeight="1">
      <c r="N166" s="62"/>
      <c r="O166" s="62"/>
      <c r="P166" s="6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Q169" s="132"/>
      <c r="S169" s="62"/>
      <c r="AV169" s="56"/>
      <c r="BE169" s="102"/>
    </row>
    <row r="170" spans="14:57" ht="98.1" customHeight="1">
      <c r="N170" s="62"/>
      <c r="O170" s="62"/>
      <c r="P170" s="6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  <row r="187" spans="14:57" ht="98.1" customHeight="1">
      <c r="N187" s="62"/>
      <c r="O187" s="62"/>
      <c r="P187" s="62"/>
      <c r="Q187" s="132"/>
      <c r="S187" s="62"/>
      <c r="AV187" s="56"/>
      <c r="BE187" s="102"/>
    </row>
  </sheetData>
  <sheetProtection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AT2:BD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A4:O356 B3:B187 P1:BD356">
    <cfRule type="expression" dxfId="25" priority="16">
      <formula>IF(УФ_Переключатель=1,IFERROR(TEXT(RIGHT(A1,255),"###"),TRUE))</formula>
    </cfRule>
  </conditionalFormatting>
  <conditionalFormatting sqref="A3:H3 J3:M3 M3:O52 A1:O2 N3:O187 A4:O356 B3:B187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6"/>
  <sheetViews>
    <sheetView topLeftCell="B1" workbookViewId="0">
      <selection activeCell="N6" sqref="N6:O6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9" t="s">
        <v>453</v>
      </c>
      <c r="C1" s="160"/>
      <c r="D1" s="160"/>
      <c r="E1" s="161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2" t="s">
        <v>466</v>
      </c>
      <c r="C5" s="162"/>
      <c r="D5" s="162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3"/>
      <c r="C6" s="164"/>
      <c r="D6" s="164"/>
      <c r="E6" s="165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59" t="s">
        <v>543</v>
      </c>
      <c r="C8" s="160"/>
      <c r="D8" s="160"/>
      <c r="E8" s="161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6" t="s">
        <v>572</v>
      </c>
      <c r="C9" s="167"/>
      <c r="D9" s="168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6"/>
      <c r="C17" s="157"/>
      <c r="D17" s="157"/>
      <c r="E17" s="158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927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531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N22" s="46" t="s">
        <v>396</v>
      </c>
      <c r="O22" s="46" t="s">
        <v>569</v>
      </c>
      <c r="Q22" s="46" t="s">
        <v>573</v>
      </c>
    </row>
    <row r="23" spans="2:17" ht="22.15" customHeight="1">
      <c r="N23" s="46" t="s">
        <v>540</v>
      </c>
      <c r="O23" s="46" t="s">
        <v>570</v>
      </c>
      <c r="Q23" s="46" t="s">
        <v>578</v>
      </c>
    </row>
    <row r="24" spans="2:17" ht="22.15" customHeight="1">
      <c r="N24" s="46" t="s">
        <v>541</v>
      </c>
      <c r="O24" s="46" t="s">
        <v>571</v>
      </c>
    </row>
    <row r="25" spans="2:17" ht="22.15" customHeight="1">
      <c r="N25" s="46" t="s">
        <v>538</v>
      </c>
      <c r="O25" s="46" t="s">
        <v>589</v>
      </c>
    </row>
    <row r="26" spans="2:17" ht="22.15" customHeight="1">
      <c r="N26" s="46" t="s">
        <v>542</v>
      </c>
      <c r="O26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1"/>
  <sheetViews>
    <sheetView workbookViewId="0">
      <selection activeCell="H6" sqref="H6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0">_xlfn.SORTBY(B2:C31,D2:D31,-1)</f>
        <v>Natural straw</v>
      </c>
      <c r="G1" s="125" t="str">
        <v>солома</v>
      </c>
      <c r="H1" s="151" t="s">
        <v>926</v>
      </c>
    </row>
    <row r="2" spans="2:8" ht="18.75">
      <c r="B2" s="18" t="s">
        <v>405</v>
      </c>
      <c r="C2" s="19" t="s">
        <v>788</v>
      </c>
      <c r="D2" s="19">
        <f t="shared" ref="D2:D31" si="0">LEN(B2)</f>
        <v>2</v>
      </c>
      <c r="E2" s="129"/>
      <c r="F2" s="126" t="str">
        <v>TOQUILLA PALM</v>
      </c>
      <c r="G2" s="127" t="str">
        <v>солома Токилла</v>
      </c>
      <c r="H2" s="152"/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STR</v>
      </c>
      <c r="G19" s="127" t="str">
        <v>солома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PES</v>
      </c>
      <c r="G20" s="127" t="str">
        <v>полиэстер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WV</v>
      </c>
      <c r="G21" s="127" t="str">
        <v>шерсть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WO</v>
      </c>
      <c r="G22" s="127" t="str">
        <v>шерсть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SE</v>
      </c>
      <c r="G23" s="127" t="str">
        <v>шелк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6" t="str">
        <v>Pu</v>
      </c>
      <c r="G24" s="127" t="str">
        <v>полиуретан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6" t="str">
        <v>PA</v>
      </c>
      <c r="G25" s="127" t="str">
        <v>полиамид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6" t="str">
        <v>LI</v>
      </c>
      <c r="G26" s="127" t="str">
        <v>лен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6" t="str">
        <v>HA</v>
      </c>
      <c r="G27" s="127" t="str">
        <v>конопля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6" t="str">
        <v>EL</v>
      </c>
      <c r="G28" s="127" t="str">
        <v>эластан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6" t="str">
        <v>CV</v>
      </c>
      <c r="G29" s="127" t="str">
        <v>вискоза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6" t="str">
        <v>CO</v>
      </c>
      <c r="G30" s="127" t="str">
        <v>хлопок</v>
      </c>
    </row>
    <row r="31" spans="2:7" ht="18.75">
      <c r="B31" s="122" t="s">
        <v>397</v>
      </c>
      <c r="C31" s="123" t="s">
        <v>803</v>
      </c>
      <c r="D31" s="123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797" workbookViewId="0">
      <selection activeCell="A2" sqref="A2:B831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829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830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814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828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815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812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813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626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806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835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908</v>
      </c>
      <c r="B136" s="113" t="s">
        <v>624</v>
      </c>
      <c r="D136" s="14"/>
      <c r="E136" s="14"/>
    </row>
    <row r="137" spans="1:5">
      <c r="A137" s="112" t="s">
        <v>246</v>
      </c>
      <c r="B137" s="113" t="s">
        <v>625</v>
      </c>
      <c r="D137" s="14"/>
      <c r="E137" s="14"/>
    </row>
    <row r="138" spans="1:5">
      <c r="A138" s="112" t="s">
        <v>133</v>
      </c>
      <c r="B138" s="113" t="s">
        <v>617</v>
      </c>
      <c r="D138" s="14"/>
      <c r="E138" s="14"/>
    </row>
    <row r="139" spans="1:5">
      <c r="A139" s="112" t="s">
        <v>704</v>
      </c>
      <c r="B139" s="113" t="s">
        <v>660</v>
      </c>
      <c r="D139" s="14"/>
      <c r="E139" s="14"/>
    </row>
    <row r="140" spans="1:5">
      <c r="A140" s="112" t="s">
        <v>109</v>
      </c>
      <c r="B140" s="113" t="s">
        <v>624</v>
      </c>
      <c r="D140" s="14"/>
      <c r="E140" s="14"/>
    </row>
    <row r="141" spans="1:5">
      <c r="A141" s="112" t="s">
        <v>83</v>
      </c>
      <c r="B141" s="113" t="s">
        <v>621</v>
      </c>
      <c r="D141" s="14"/>
      <c r="E141" s="14"/>
    </row>
    <row r="142" spans="1:5">
      <c r="A142" s="112" t="s">
        <v>141</v>
      </c>
      <c r="B142" s="113" t="s">
        <v>625</v>
      </c>
      <c r="D142" s="14"/>
      <c r="E142" s="14"/>
    </row>
    <row r="143" spans="1:5">
      <c r="A143" s="112" t="s">
        <v>183</v>
      </c>
      <c r="B143" s="113" t="s">
        <v>632</v>
      </c>
      <c r="D143" s="14"/>
      <c r="E143" s="14"/>
    </row>
    <row r="144" spans="1:5">
      <c r="A144" s="112" t="s">
        <v>185</v>
      </c>
      <c r="B144" s="113" t="s">
        <v>632</v>
      </c>
      <c r="D144" s="14"/>
      <c r="E144" s="14"/>
    </row>
    <row r="145" spans="1:5">
      <c r="A145" s="112" t="s">
        <v>57</v>
      </c>
      <c r="B145" s="113" t="s">
        <v>620</v>
      </c>
      <c r="D145" s="14"/>
      <c r="E145" s="14"/>
    </row>
    <row r="146" spans="1:5">
      <c r="A146" s="112" t="s">
        <v>86</v>
      </c>
      <c r="B146" s="113" t="s">
        <v>622</v>
      </c>
      <c r="D146" s="14"/>
      <c r="E146" s="14"/>
    </row>
    <row r="147" spans="1:5">
      <c r="A147" s="112" t="s">
        <v>296</v>
      </c>
      <c r="B147" s="113" t="s">
        <v>625</v>
      </c>
      <c r="D147" s="14"/>
      <c r="E147" s="14"/>
    </row>
    <row r="148" spans="1:5">
      <c r="A148" s="112" t="s">
        <v>705</v>
      </c>
      <c r="B148" s="113" t="s">
        <v>622</v>
      </c>
      <c r="D148" s="14"/>
      <c r="E148" s="14"/>
    </row>
    <row r="149" spans="1:5">
      <c r="A149" s="112" t="s">
        <v>133</v>
      </c>
      <c r="B149" s="113" t="s">
        <v>596</v>
      </c>
      <c r="D149" s="14"/>
      <c r="E149" s="14"/>
    </row>
    <row r="150" spans="1:5">
      <c r="A150" s="112" t="s">
        <v>175</v>
      </c>
      <c r="B150" s="113" t="s">
        <v>621</v>
      </c>
      <c r="D150" s="14"/>
      <c r="E150" s="14"/>
    </row>
    <row r="151" spans="1:5">
      <c r="A151" s="112" t="s">
        <v>158</v>
      </c>
      <c r="B151" s="113" t="s">
        <v>632</v>
      </c>
      <c r="D151" s="14"/>
      <c r="E151" s="14"/>
    </row>
    <row r="152" spans="1:5">
      <c r="A152" s="112" t="s">
        <v>86</v>
      </c>
      <c r="B152" s="113" t="s">
        <v>666</v>
      </c>
      <c r="D152" s="14"/>
      <c r="E152" s="14"/>
    </row>
    <row r="153" spans="1:5">
      <c r="A153" s="112" t="s">
        <v>68</v>
      </c>
      <c r="B153" s="113" t="s">
        <v>622</v>
      </c>
      <c r="D153" s="14"/>
      <c r="E153" s="14"/>
    </row>
    <row r="154" spans="1:5">
      <c r="A154" s="112" t="s">
        <v>187</v>
      </c>
      <c r="B154" s="113" t="s">
        <v>619</v>
      </c>
      <c r="D154" s="14"/>
      <c r="E154" s="14"/>
    </row>
    <row r="155" spans="1:5">
      <c r="A155" s="112" t="s">
        <v>191</v>
      </c>
      <c r="B155" s="113" t="s">
        <v>611</v>
      </c>
      <c r="D155" s="14"/>
      <c r="E155" s="14"/>
    </row>
    <row r="156" spans="1:5">
      <c r="A156" s="112" t="s">
        <v>144</v>
      </c>
      <c r="B156" s="113" t="s">
        <v>648</v>
      </c>
      <c r="D156" s="14"/>
      <c r="E156" s="14"/>
    </row>
    <row r="157" spans="1:5">
      <c r="A157" s="112" t="s">
        <v>71</v>
      </c>
      <c r="B157" s="113" t="s">
        <v>620</v>
      </c>
      <c r="D157" s="14"/>
      <c r="E157" s="14"/>
    </row>
    <row r="158" spans="1:5">
      <c r="A158" s="112" t="s">
        <v>180</v>
      </c>
      <c r="B158" s="113" t="s">
        <v>621</v>
      </c>
      <c r="D158" s="14"/>
      <c r="E158" s="14"/>
    </row>
    <row r="159" spans="1:5">
      <c r="A159" s="112" t="s">
        <v>241</v>
      </c>
      <c r="B159" s="113" t="s">
        <v>618</v>
      </c>
      <c r="D159" s="14"/>
      <c r="E159" s="14"/>
    </row>
    <row r="160" spans="1:5">
      <c r="A160" s="112" t="s">
        <v>194</v>
      </c>
      <c r="B160" s="113" t="s">
        <v>619</v>
      </c>
      <c r="D160" s="14"/>
      <c r="E160" s="14"/>
    </row>
    <row r="161" spans="1:5">
      <c r="A161" s="112" t="s">
        <v>706</v>
      </c>
      <c r="B161" s="113" t="s">
        <v>626</v>
      </c>
      <c r="D161" s="14"/>
      <c r="E161" s="14"/>
    </row>
    <row r="162" spans="1:5">
      <c r="A162" s="112" t="s">
        <v>236</v>
      </c>
      <c r="B162" s="113" t="s">
        <v>632</v>
      </c>
      <c r="D162" s="14"/>
      <c r="E162" s="14"/>
    </row>
    <row r="163" spans="1:5">
      <c r="A163" s="112" t="s">
        <v>277</v>
      </c>
      <c r="B163" s="113" t="s">
        <v>609</v>
      </c>
      <c r="D163" s="14"/>
      <c r="E163" s="14"/>
    </row>
    <row r="164" spans="1:5">
      <c r="A164" s="112" t="s">
        <v>119</v>
      </c>
      <c r="B164" s="113" t="s">
        <v>625</v>
      </c>
      <c r="D164" s="14"/>
      <c r="E164" s="14"/>
    </row>
    <row r="165" spans="1:5">
      <c r="A165" s="112" t="s">
        <v>271</v>
      </c>
      <c r="B165" s="113" t="s">
        <v>671</v>
      </c>
      <c r="D165" s="14"/>
      <c r="E165" s="14"/>
    </row>
    <row r="166" spans="1:5">
      <c r="A166" s="112" t="s">
        <v>698</v>
      </c>
      <c r="B166" s="113" t="s">
        <v>620</v>
      </c>
      <c r="D166" s="14"/>
      <c r="E166" s="14"/>
    </row>
    <row r="167" spans="1:5">
      <c r="A167" s="112" t="s">
        <v>219</v>
      </c>
      <c r="B167" s="113" t="s">
        <v>630</v>
      </c>
      <c r="D167" s="14"/>
      <c r="E167" s="14"/>
    </row>
    <row r="168" spans="1:5">
      <c r="A168" s="112" t="s">
        <v>186</v>
      </c>
      <c r="B168" s="113" t="s">
        <v>618</v>
      </c>
      <c r="D168" s="14"/>
      <c r="E168" s="14"/>
    </row>
    <row r="169" spans="1:5">
      <c r="A169" s="112" t="s">
        <v>120</v>
      </c>
      <c r="B169" s="113" t="s">
        <v>615</v>
      </c>
      <c r="D169" s="14"/>
      <c r="E169" s="14"/>
    </row>
    <row r="170" spans="1:5">
      <c r="A170" s="112" t="s">
        <v>143</v>
      </c>
      <c r="B170" s="113" t="s">
        <v>632</v>
      </c>
      <c r="D170" s="14"/>
      <c r="E170" s="14"/>
    </row>
    <row r="171" spans="1:5">
      <c r="A171" s="112" t="s">
        <v>157</v>
      </c>
      <c r="B171" s="113" t="s">
        <v>632</v>
      </c>
      <c r="D171" s="14"/>
      <c r="E171" s="14"/>
    </row>
    <row r="172" spans="1:5">
      <c r="A172" s="112" t="s">
        <v>168</v>
      </c>
      <c r="B172" s="113" t="s">
        <v>652</v>
      </c>
      <c r="D172" s="14"/>
      <c r="E172" s="14"/>
    </row>
    <row r="173" spans="1:5">
      <c r="A173" s="112" t="s">
        <v>152</v>
      </c>
      <c r="B173" s="113" t="s">
        <v>652</v>
      </c>
      <c r="D173" s="14"/>
      <c r="E173" s="14"/>
    </row>
    <row r="174" spans="1:5">
      <c r="A174" s="112" t="s">
        <v>139</v>
      </c>
      <c r="B174" s="113" t="s">
        <v>645</v>
      </c>
      <c r="D174" s="14"/>
      <c r="E174" s="14"/>
    </row>
    <row r="175" spans="1:5">
      <c r="A175" s="112" t="s">
        <v>707</v>
      </c>
      <c r="B175" s="113" t="s">
        <v>619</v>
      </c>
      <c r="D175" s="14"/>
      <c r="E175" s="14"/>
    </row>
    <row r="176" spans="1:5">
      <c r="A176" s="112" t="s">
        <v>278</v>
      </c>
      <c r="B176" s="113" t="s">
        <v>614</v>
      </c>
      <c r="D176" s="14"/>
      <c r="E176" s="14"/>
    </row>
    <row r="177" spans="1:5">
      <c r="A177" s="112" t="s">
        <v>279</v>
      </c>
      <c r="B177" s="113" t="s">
        <v>634</v>
      </c>
      <c r="D177" s="14"/>
      <c r="E177" s="14"/>
    </row>
    <row r="178" spans="1:5">
      <c r="A178" s="112" t="s">
        <v>845</v>
      </c>
      <c r="B178" s="113" t="s">
        <v>632</v>
      </c>
      <c r="D178" s="14"/>
      <c r="E178" s="14"/>
    </row>
    <row r="179" spans="1:5">
      <c r="A179" s="112" t="s">
        <v>847</v>
      </c>
      <c r="B179" s="113" t="s">
        <v>632</v>
      </c>
      <c r="D179" s="14"/>
      <c r="E179" s="14"/>
    </row>
    <row r="180" spans="1:5">
      <c r="A180" s="112" t="s">
        <v>169</v>
      </c>
      <c r="B180" s="113" t="s">
        <v>632</v>
      </c>
      <c r="D180" s="14"/>
      <c r="E180" s="14"/>
    </row>
    <row r="181" spans="1:5">
      <c r="A181" s="112" t="s">
        <v>167</v>
      </c>
      <c r="B181" s="113" t="s">
        <v>621</v>
      </c>
      <c r="D181" s="14"/>
      <c r="E181" s="14"/>
    </row>
    <row r="182" spans="1:5">
      <c r="A182" s="112" t="s">
        <v>122</v>
      </c>
      <c r="B182" s="113" t="s">
        <v>606</v>
      </c>
      <c r="D182" s="14"/>
      <c r="E182" s="14"/>
    </row>
    <row r="183" spans="1:5">
      <c r="A183" s="112" t="s">
        <v>164</v>
      </c>
      <c r="B183" s="113" t="s">
        <v>621</v>
      </c>
      <c r="D183" s="14"/>
      <c r="E183" s="14"/>
    </row>
    <row r="184" spans="1:5">
      <c r="A184" s="112" t="s">
        <v>293</v>
      </c>
      <c r="B184" s="113" t="s">
        <v>625</v>
      </c>
      <c r="D184" s="14"/>
      <c r="E184" s="14"/>
    </row>
    <row r="185" spans="1:5">
      <c r="A185" s="112" t="s">
        <v>228</v>
      </c>
      <c r="B185" s="113" t="s">
        <v>708</v>
      </c>
      <c r="D185" s="14"/>
      <c r="E185" s="14"/>
    </row>
    <row r="186" spans="1:5">
      <c r="A186" s="112" t="s">
        <v>220</v>
      </c>
      <c r="B186" s="113" t="s">
        <v>663</v>
      </c>
      <c r="D186" s="14"/>
      <c r="E186" s="14"/>
    </row>
    <row r="187" spans="1:5">
      <c r="A187" s="112" t="s">
        <v>83</v>
      </c>
      <c r="B187" s="113" t="s">
        <v>619</v>
      </c>
      <c r="D187" s="14"/>
      <c r="E187" s="14"/>
    </row>
    <row r="188" spans="1:5">
      <c r="A188" s="112" t="s">
        <v>109</v>
      </c>
      <c r="B188" s="113" t="s">
        <v>637</v>
      </c>
      <c r="D188" s="14"/>
      <c r="E188" s="14"/>
    </row>
    <row r="189" spans="1:5">
      <c r="A189" s="112" t="s">
        <v>296</v>
      </c>
      <c r="B189" s="113" t="s">
        <v>630</v>
      </c>
      <c r="D189" s="14"/>
      <c r="E189" s="14"/>
    </row>
    <row r="190" spans="1:5">
      <c r="A190" s="112" t="s">
        <v>158</v>
      </c>
      <c r="B190" s="113" t="s">
        <v>630</v>
      </c>
      <c r="D190" s="14"/>
      <c r="E190" s="14"/>
    </row>
    <row r="191" spans="1:5">
      <c r="A191" s="112" t="s">
        <v>192</v>
      </c>
      <c r="B191" s="113" t="s">
        <v>643</v>
      </c>
      <c r="D191" s="14"/>
      <c r="E191" s="14"/>
    </row>
    <row r="192" spans="1:5">
      <c r="A192" s="112" t="s">
        <v>807</v>
      </c>
      <c r="B192" s="113" t="s">
        <v>643</v>
      </c>
      <c r="D192" s="14"/>
      <c r="E192" s="14"/>
    </row>
    <row r="193" spans="1:5">
      <c r="A193" s="112" t="s">
        <v>156</v>
      </c>
      <c r="B193" s="113" t="s">
        <v>647</v>
      </c>
      <c r="D193" s="14"/>
      <c r="E193" s="14"/>
    </row>
    <row r="194" spans="1:5">
      <c r="A194" s="112" t="s">
        <v>79</v>
      </c>
      <c r="B194" s="113" t="s">
        <v>635</v>
      </c>
      <c r="D194" s="14"/>
      <c r="E194" s="14"/>
    </row>
    <row r="195" spans="1:5">
      <c r="A195" s="112" t="s">
        <v>71</v>
      </c>
      <c r="B195" s="113" t="s">
        <v>617</v>
      </c>
      <c r="D195" s="14"/>
      <c r="E195" s="14"/>
    </row>
    <row r="196" spans="1:5">
      <c r="A196" s="112" t="s">
        <v>245</v>
      </c>
      <c r="B196" s="113" t="s">
        <v>708</v>
      </c>
      <c r="D196" s="14"/>
      <c r="E196" s="14"/>
    </row>
    <row r="197" spans="1:5">
      <c r="A197" s="112" t="s">
        <v>71</v>
      </c>
      <c r="B197" s="113" t="s">
        <v>619</v>
      </c>
      <c r="D197" s="14"/>
      <c r="E197" s="14"/>
    </row>
    <row r="198" spans="1:5">
      <c r="A198" s="112" t="s">
        <v>55</v>
      </c>
      <c r="B198" s="113" t="s">
        <v>628</v>
      </c>
      <c r="D198" s="14"/>
      <c r="E198" s="14"/>
    </row>
    <row r="199" spans="1:5">
      <c r="A199" s="112" t="s">
        <v>313</v>
      </c>
      <c r="B199" s="113" t="s">
        <v>617</v>
      </c>
      <c r="D199" s="14"/>
      <c r="E199" s="14"/>
    </row>
    <row r="200" spans="1:5">
      <c r="A200" s="112" t="s">
        <v>300</v>
      </c>
      <c r="B200" s="113" t="s">
        <v>647</v>
      </c>
      <c r="D200" s="14"/>
      <c r="E200" s="14"/>
    </row>
    <row r="201" spans="1:5">
      <c r="A201" s="112" t="s">
        <v>60</v>
      </c>
      <c r="B201" s="113" t="s">
        <v>617</v>
      </c>
      <c r="D201" s="14"/>
      <c r="E201" s="14"/>
    </row>
    <row r="202" spans="1:5">
      <c r="A202" s="112" t="s">
        <v>216</v>
      </c>
      <c r="B202" s="113" t="s">
        <v>662</v>
      </c>
      <c r="D202" s="14"/>
      <c r="E202" s="14"/>
    </row>
    <row r="203" spans="1:5">
      <c r="A203" s="112" t="s">
        <v>63</v>
      </c>
      <c r="B203" s="113" t="s">
        <v>621</v>
      </c>
      <c r="D203" s="14"/>
      <c r="E203" s="14"/>
    </row>
    <row r="204" spans="1:5">
      <c r="A204" s="112" t="s">
        <v>261</v>
      </c>
      <c r="B204" s="113" t="s">
        <v>613</v>
      </c>
      <c r="D204" s="14"/>
      <c r="E204" s="14"/>
    </row>
    <row r="205" spans="1:5">
      <c r="A205" s="112" t="s">
        <v>87</v>
      </c>
      <c r="B205" s="113" t="s">
        <v>606</v>
      </c>
      <c r="D205" s="14"/>
      <c r="E205" s="14"/>
    </row>
    <row r="206" spans="1:5">
      <c r="A206" s="112" t="s">
        <v>110</v>
      </c>
      <c r="B206" s="113" t="s">
        <v>647</v>
      </c>
      <c r="D206" s="14"/>
      <c r="E206" s="14"/>
    </row>
    <row r="207" spans="1:5">
      <c r="A207" s="112" t="s">
        <v>250</v>
      </c>
      <c r="B207" s="113" t="s">
        <v>628</v>
      </c>
      <c r="D207" s="14"/>
      <c r="E207" s="14"/>
    </row>
    <row r="208" spans="1:5">
      <c r="A208" s="112" t="s">
        <v>149</v>
      </c>
      <c r="B208" s="113" t="s">
        <v>624</v>
      </c>
      <c r="D208" s="14"/>
      <c r="E208" s="14"/>
    </row>
    <row r="209" spans="1:5">
      <c r="A209" s="112" t="s">
        <v>252</v>
      </c>
      <c r="B209" s="113" t="s">
        <v>628</v>
      </c>
      <c r="D209" s="14"/>
      <c r="E209" s="14"/>
    </row>
    <row r="210" spans="1:5">
      <c r="A210" s="112" t="s">
        <v>142</v>
      </c>
      <c r="B210" s="113" t="s">
        <v>647</v>
      </c>
      <c r="D210" s="14"/>
      <c r="E210" s="14"/>
    </row>
    <row r="211" spans="1:5">
      <c r="A211" s="112" t="s">
        <v>81</v>
      </c>
      <c r="B211" s="113" t="s">
        <v>635</v>
      </c>
      <c r="D211" s="14"/>
      <c r="E211" s="14"/>
    </row>
    <row r="212" spans="1:5">
      <c r="A212" s="112" t="s">
        <v>141</v>
      </c>
      <c r="B212" s="113" t="s">
        <v>598</v>
      </c>
      <c r="D212" s="14"/>
      <c r="E212" s="14"/>
    </row>
    <row r="213" spans="1:5">
      <c r="A213" s="112" t="s">
        <v>238</v>
      </c>
      <c r="B213" s="113" t="s">
        <v>645</v>
      </c>
      <c r="D213" s="14"/>
      <c r="E213" s="14"/>
    </row>
    <row r="214" spans="1:5">
      <c r="A214" s="112" t="s">
        <v>84</v>
      </c>
      <c r="B214" s="113" t="s">
        <v>606</v>
      </c>
      <c r="D214" s="14"/>
      <c r="E214" s="14"/>
    </row>
    <row r="215" spans="1:5">
      <c r="A215" s="112" t="s">
        <v>171</v>
      </c>
      <c r="B215" s="113" t="s">
        <v>635</v>
      </c>
      <c r="D215" s="14"/>
      <c r="E215" s="14"/>
    </row>
    <row r="216" spans="1:5">
      <c r="A216" s="112" t="s">
        <v>311</v>
      </c>
      <c r="B216" s="113" t="s">
        <v>617</v>
      </c>
      <c r="D216" s="14"/>
      <c r="E216" s="14"/>
    </row>
    <row r="217" spans="1:5">
      <c r="A217" s="112" t="s">
        <v>182</v>
      </c>
      <c r="B217" s="113" t="s">
        <v>654</v>
      </c>
      <c r="D217" s="14"/>
      <c r="E217" s="14"/>
    </row>
    <row r="218" spans="1:5">
      <c r="A218" s="112" t="s">
        <v>271</v>
      </c>
      <c r="B218" s="113" t="s">
        <v>666</v>
      </c>
      <c r="D218" s="14"/>
      <c r="E218" s="14"/>
    </row>
    <row r="219" spans="1:5">
      <c r="A219" s="112" t="s">
        <v>60</v>
      </c>
      <c r="B219" s="113" t="s">
        <v>627</v>
      </c>
      <c r="D219" s="14"/>
      <c r="E219" s="14"/>
    </row>
    <row r="220" spans="1:5">
      <c r="A220" s="112" t="s">
        <v>290</v>
      </c>
      <c r="B220" s="113" t="s">
        <v>632</v>
      </c>
      <c r="D220" s="14"/>
      <c r="E220" s="14"/>
    </row>
    <row r="221" spans="1:5">
      <c r="A221" s="112" t="s">
        <v>221</v>
      </c>
      <c r="B221" s="113" t="s">
        <v>664</v>
      </c>
      <c r="D221" s="14"/>
      <c r="E221" s="14"/>
    </row>
    <row r="222" spans="1:5">
      <c r="A222" s="112" t="s">
        <v>836</v>
      </c>
      <c r="B222" s="113" t="s">
        <v>664</v>
      </c>
      <c r="D222" s="14"/>
      <c r="E222" s="14"/>
    </row>
    <row r="223" spans="1:5">
      <c r="A223" s="112" t="s">
        <v>299</v>
      </c>
      <c r="B223" s="113" t="s">
        <v>625</v>
      </c>
      <c r="D223" s="14"/>
      <c r="E223" s="14"/>
    </row>
    <row r="224" spans="1:5">
      <c r="A224" s="112" t="s">
        <v>205</v>
      </c>
      <c r="B224" s="113" t="s">
        <v>670</v>
      </c>
      <c r="D224" s="14"/>
      <c r="E224" s="14"/>
    </row>
    <row r="225" spans="1:5">
      <c r="A225" s="112" t="s">
        <v>86</v>
      </c>
      <c r="B225" s="113" t="s">
        <v>630</v>
      </c>
      <c r="D225" s="14"/>
      <c r="E225" s="14"/>
    </row>
    <row r="226" spans="1:5">
      <c r="A226" s="112" t="s">
        <v>247</v>
      </c>
      <c r="B226" s="113" t="s">
        <v>668</v>
      </c>
      <c r="D226" s="14"/>
      <c r="E226" s="14"/>
    </row>
    <row r="227" spans="1:5">
      <c r="A227" s="112" t="s">
        <v>174</v>
      </c>
      <c r="B227" s="113" t="s">
        <v>600</v>
      </c>
      <c r="D227" s="14"/>
      <c r="E227" s="14"/>
    </row>
    <row r="228" spans="1:5">
      <c r="A228" s="112" t="s">
        <v>71</v>
      </c>
      <c r="B228" s="113" t="s">
        <v>596</v>
      </c>
      <c r="D228" s="14"/>
      <c r="E228" s="14"/>
    </row>
    <row r="229" spans="1:5">
      <c r="A229" s="112" t="s">
        <v>256</v>
      </c>
      <c r="B229" s="113" t="s">
        <v>606</v>
      </c>
      <c r="D229" s="14"/>
      <c r="E229" s="14"/>
    </row>
    <row r="230" spans="1:5">
      <c r="A230" s="112" t="s">
        <v>313</v>
      </c>
      <c r="B230" s="113" t="s">
        <v>632</v>
      </c>
      <c r="D230" s="14"/>
      <c r="E230" s="14"/>
    </row>
    <row r="231" spans="1:5">
      <c r="A231" s="112" t="s">
        <v>183</v>
      </c>
      <c r="B231" s="113" t="s">
        <v>618</v>
      </c>
      <c r="D231" s="14"/>
      <c r="E231" s="14"/>
    </row>
    <row r="232" spans="1:5">
      <c r="A232" s="112" t="s">
        <v>253</v>
      </c>
      <c r="B232" s="113" t="s">
        <v>628</v>
      </c>
      <c r="D232" s="14"/>
      <c r="E232" s="14"/>
    </row>
    <row r="233" spans="1:5">
      <c r="A233" s="112" t="s">
        <v>709</v>
      </c>
      <c r="B233" s="113" t="s">
        <v>623</v>
      </c>
      <c r="D233" s="14"/>
      <c r="E233" s="14"/>
    </row>
    <row r="234" spans="1:5">
      <c r="A234" s="112" t="s">
        <v>710</v>
      </c>
      <c r="B234" s="113" t="s">
        <v>619</v>
      </c>
      <c r="D234" s="14"/>
      <c r="E234" s="14"/>
    </row>
    <row r="235" spans="1:5">
      <c r="A235" s="112" t="s">
        <v>111</v>
      </c>
      <c r="B235" s="113" t="s">
        <v>632</v>
      </c>
      <c r="D235" s="14"/>
      <c r="E235" s="14"/>
    </row>
    <row r="236" spans="1:5">
      <c r="A236" s="112" t="s">
        <v>108</v>
      </c>
      <c r="B236" s="113" t="s">
        <v>632</v>
      </c>
      <c r="D236" s="14"/>
      <c r="E236" s="14"/>
    </row>
    <row r="237" spans="1:5">
      <c r="A237" s="112" t="s">
        <v>166</v>
      </c>
      <c r="B237" s="113" t="s">
        <v>644</v>
      </c>
      <c r="D237" s="14"/>
      <c r="E237" s="14"/>
    </row>
    <row r="238" spans="1:5">
      <c r="A238" s="112" t="s">
        <v>711</v>
      </c>
      <c r="B238" s="113" t="s">
        <v>620</v>
      </c>
      <c r="D238" s="14"/>
      <c r="E238" s="14"/>
    </row>
    <row r="239" spans="1:5">
      <c r="A239" s="112" t="s">
        <v>712</v>
      </c>
      <c r="B239" s="113" t="s">
        <v>618</v>
      </c>
      <c r="D239" s="14"/>
      <c r="E239" s="14"/>
    </row>
    <row r="240" spans="1:5">
      <c r="A240" s="112" t="s">
        <v>256</v>
      </c>
      <c r="B240" s="113" t="s">
        <v>632</v>
      </c>
      <c r="D240" s="14"/>
      <c r="E240" s="14"/>
    </row>
    <row r="241" spans="1:5">
      <c r="A241" s="112" t="s">
        <v>286</v>
      </c>
      <c r="B241" s="113" t="s">
        <v>622</v>
      </c>
      <c r="D241" s="14"/>
      <c r="E241" s="14"/>
    </row>
    <row r="242" spans="1:5">
      <c r="A242" s="112" t="s">
        <v>713</v>
      </c>
      <c r="B242" s="113" t="s">
        <v>621</v>
      </c>
      <c r="D242" s="14"/>
      <c r="E242" s="14"/>
    </row>
    <row r="243" spans="1:5">
      <c r="A243" s="112" t="s">
        <v>714</v>
      </c>
      <c r="B243" s="113" t="s">
        <v>630</v>
      </c>
      <c r="D243" s="14"/>
      <c r="E243" s="14"/>
    </row>
    <row r="244" spans="1:5">
      <c r="A244" s="112" t="s">
        <v>241</v>
      </c>
      <c r="B244" s="113" t="s">
        <v>619</v>
      </c>
      <c r="D244" s="14"/>
      <c r="E244" s="14"/>
    </row>
    <row r="245" spans="1:5">
      <c r="A245" s="112" t="s">
        <v>703</v>
      </c>
      <c r="B245" s="113" t="s">
        <v>647</v>
      </c>
      <c r="D245" s="14"/>
      <c r="E245" s="14"/>
    </row>
    <row r="246" spans="1:5">
      <c r="A246" s="112" t="s">
        <v>165</v>
      </c>
      <c r="B246" s="113" t="s">
        <v>621</v>
      </c>
      <c r="D246" s="14"/>
      <c r="E246" s="14"/>
    </row>
    <row r="247" spans="1:5">
      <c r="A247" s="112" t="s">
        <v>96</v>
      </c>
      <c r="B247" s="113" t="s">
        <v>606</v>
      </c>
      <c r="D247" s="14"/>
      <c r="E247" s="14"/>
    </row>
    <row r="248" spans="1:5">
      <c r="A248" s="112" t="s">
        <v>302</v>
      </c>
      <c r="B248" s="113" t="s">
        <v>618</v>
      </c>
      <c r="D248" s="14"/>
      <c r="E248" s="14"/>
    </row>
    <row r="249" spans="1:5">
      <c r="A249" s="112" t="s">
        <v>308</v>
      </c>
      <c r="B249" s="113" t="s">
        <v>619</v>
      </c>
      <c r="D249" s="14"/>
      <c r="E249" s="14"/>
    </row>
    <row r="250" spans="1:5">
      <c r="A250" s="112" t="s">
        <v>715</v>
      </c>
      <c r="B250" s="113" t="s">
        <v>622</v>
      </c>
      <c r="D250" s="14"/>
      <c r="E250" s="14"/>
    </row>
    <row r="251" spans="1:5">
      <c r="A251" s="112" t="s">
        <v>175</v>
      </c>
      <c r="B251" s="113" t="s">
        <v>655</v>
      </c>
      <c r="D251" s="14"/>
      <c r="E251" s="14"/>
    </row>
    <row r="252" spans="1:5">
      <c r="A252" s="112" t="s">
        <v>160</v>
      </c>
      <c r="B252" s="113" t="s">
        <v>621</v>
      </c>
      <c r="D252" s="14"/>
      <c r="E252" s="14"/>
    </row>
    <row r="253" spans="1:5">
      <c r="A253" s="112" t="s">
        <v>716</v>
      </c>
      <c r="B253" s="113" t="s">
        <v>675</v>
      </c>
      <c r="D253" s="14"/>
      <c r="E253" s="14"/>
    </row>
    <row r="254" spans="1:5">
      <c r="A254" s="112" t="s">
        <v>101</v>
      </c>
      <c r="B254" s="113" t="s">
        <v>631</v>
      </c>
      <c r="D254" s="14"/>
      <c r="E254" s="14"/>
    </row>
    <row r="255" spans="1:5">
      <c r="A255" s="112" t="s">
        <v>53</v>
      </c>
      <c r="B255" s="113" t="s">
        <v>608</v>
      </c>
      <c r="D255" s="14"/>
      <c r="E255" s="14"/>
    </row>
    <row r="256" spans="1:5">
      <c r="A256" s="112" t="s">
        <v>261</v>
      </c>
      <c r="B256" s="113" t="s">
        <v>611</v>
      </c>
      <c r="D256" s="14"/>
      <c r="E256" s="14"/>
    </row>
    <row r="257" spans="1:5">
      <c r="A257" s="112" t="s">
        <v>717</v>
      </c>
      <c r="B257" s="113" t="s">
        <v>708</v>
      </c>
      <c r="D257" s="14"/>
      <c r="E257" s="14"/>
    </row>
    <row r="258" spans="1:5">
      <c r="A258" s="112" t="s">
        <v>142</v>
      </c>
      <c r="B258" s="113" t="s">
        <v>646</v>
      </c>
      <c r="D258" s="14"/>
      <c r="E258" s="14"/>
    </row>
    <row r="259" spans="1:5">
      <c r="A259" s="112" t="s">
        <v>194</v>
      </c>
      <c r="B259" s="113" t="s">
        <v>610</v>
      </c>
      <c r="D259" s="14"/>
      <c r="E259" s="14"/>
    </row>
    <row r="260" spans="1:5">
      <c r="A260" s="112" t="s">
        <v>233</v>
      </c>
      <c r="B260" s="113" t="s">
        <v>617</v>
      </c>
      <c r="D260" s="14"/>
      <c r="E260" s="14"/>
    </row>
    <row r="261" spans="1:5">
      <c r="A261" s="112" t="s">
        <v>276</v>
      </c>
      <c r="B261" s="113" t="s">
        <v>660</v>
      </c>
      <c r="D261" s="14"/>
      <c r="E261" s="14"/>
    </row>
    <row r="262" spans="1:5">
      <c r="A262" s="112" t="s">
        <v>718</v>
      </c>
      <c r="B262" s="113" t="s">
        <v>693</v>
      </c>
      <c r="D262" s="14"/>
      <c r="E262" s="14"/>
    </row>
    <row r="263" spans="1:5">
      <c r="A263" s="112" t="s">
        <v>719</v>
      </c>
      <c r="B263" s="113" t="s">
        <v>606</v>
      </c>
      <c r="D263" s="14"/>
      <c r="E263" s="14"/>
    </row>
    <row r="264" spans="1:5">
      <c r="A264" s="112" t="s">
        <v>720</v>
      </c>
      <c r="B264" s="113" t="s">
        <v>671</v>
      </c>
      <c r="D264" s="14"/>
      <c r="E264" s="14"/>
    </row>
    <row r="265" spans="1:5">
      <c r="A265" s="112" t="s">
        <v>721</v>
      </c>
      <c r="B265" s="113" t="s">
        <v>666</v>
      </c>
      <c r="D265" s="14"/>
      <c r="E265" s="14"/>
    </row>
    <row r="266" spans="1:5">
      <c r="A266" s="112" t="s">
        <v>204</v>
      </c>
      <c r="B266" s="113" t="s">
        <v>689</v>
      </c>
      <c r="D266" s="14"/>
      <c r="E266" s="14"/>
    </row>
    <row r="267" spans="1:5">
      <c r="A267" s="112" t="s">
        <v>204</v>
      </c>
      <c r="B267" s="113" t="s">
        <v>632</v>
      </c>
      <c r="D267" s="14"/>
      <c r="E267" s="14"/>
    </row>
    <row r="268" spans="1:5">
      <c r="A268" s="112" t="s">
        <v>226</v>
      </c>
      <c r="B268" s="113" t="s">
        <v>664</v>
      </c>
      <c r="D268" s="14"/>
      <c r="E268" s="14"/>
    </row>
    <row r="269" spans="1:5">
      <c r="A269" s="112" t="s">
        <v>837</v>
      </c>
      <c r="B269" s="113" t="s">
        <v>664</v>
      </c>
      <c r="D269" s="14"/>
      <c r="E269" s="14"/>
    </row>
    <row r="270" spans="1:5">
      <c r="A270" s="112" t="s">
        <v>722</v>
      </c>
      <c r="B270" s="113" t="s">
        <v>640</v>
      </c>
      <c r="D270" s="14"/>
      <c r="E270" s="14"/>
    </row>
    <row r="271" spans="1:5">
      <c r="A271" s="112" t="s">
        <v>723</v>
      </c>
      <c r="B271" s="113" t="s">
        <v>635</v>
      </c>
      <c r="D271" s="14"/>
      <c r="E271" s="14"/>
    </row>
    <row r="272" spans="1:5">
      <c r="A272" s="112" t="s">
        <v>266</v>
      </c>
      <c r="B272" s="113" t="s">
        <v>643</v>
      </c>
      <c r="D272" s="14"/>
      <c r="E272" s="14"/>
    </row>
    <row r="273" spans="1:5">
      <c r="A273" s="112" t="s">
        <v>724</v>
      </c>
      <c r="B273" s="113" t="s">
        <v>670</v>
      </c>
      <c r="D273" s="14"/>
      <c r="E273" s="14"/>
    </row>
    <row r="274" spans="1:5">
      <c r="A274" s="112" t="s">
        <v>313</v>
      </c>
      <c r="B274" s="113" t="s">
        <v>644</v>
      </c>
      <c r="D274" s="14"/>
      <c r="E274" s="14"/>
    </row>
    <row r="275" spans="1:5">
      <c r="A275" s="112" t="s">
        <v>204</v>
      </c>
      <c r="B275" s="113" t="s">
        <v>660</v>
      </c>
      <c r="D275" s="14"/>
      <c r="E275" s="14"/>
    </row>
    <row r="276" spans="1:5">
      <c r="A276" s="112" t="s">
        <v>81</v>
      </c>
      <c r="B276" s="113" t="s">
        <v>631</v>
      </c>
      <c r="D276" s="14"/>
      <c r="E276" s="14"/>
    </row>
    <row r="277" spans="1:5">
      <c r="A277" s="112" t="s">
        <v>725</v>
      </c>
      <c r="B277" s="113" t="s">
        <v>624</v>
      </c>
      <c r="D277" s="14"/>
      <c r="E277" s="14"/>
    </row>
    <row r="278" spans="1:5">
      <c r="A278" s="112" t="s">
        <v>308</v>
      </c>
      <c r="B278" s="113" t="s">
        <v>625</v>
      </c>
      <c r="D278" s="14"/>
      <c r="E278" s="14"/>
    </row>
    <row r="279" spans="1:5">
      <c r="A279" s="112" t="s">
        <v>194</v>
      </c>
      <c r="B279" s="113" t="s">
        <v>605</v>
      </c>
      <c r="D279" s="14"/>
      <c r="E279" s="14"/>
    </row>
    <row r="280" spans="1:5">
      <c r="A280" s="112" t="s">
        <v>233</v>
      </c>
      <c r="B280" s="113" t="s">
        <v>616</v>
      </c>
      <c r="D280" s="14"/>
      <c r="E280" s="14"/>
    </row>
    <row r="281" spans="1:5">
      <c r="A281" s="112" t="s">
        <v>276</v>
      </c>
      <c r="B281" s="113" t="s">
        <v>689</v>
      </c>
      <c r="D281" s="14"/>
      <c r="E281" s="14"/>
    </row>
    <row r="282" spans="1:5">
      <c r="A282" s="112" t="s">
        <v>726</v>
      </c>
      <c r="B282" s="113" t="s">
        <v>618</v>
      </c>
      <c r="D282" s="14"/>
      <c r="E282" s="14"/>
    </row>
    <row r="283" spans="1:5">
      <c r="A283" s="112" t="s">
        <v>727</v>
      </c>
      <c r="B283" s="113" t="s">
        <v>660</v>
      </c>
      <c r="D283" s="14"/>
      <c r="E283" s="14"/>
    </row>
    <row r="284" spans="1:5">
      <c r="A284" s="112" t="s">
        <v>592</v>
      </c>
      <c r="B284" s="113" t="s">
        <v>620</v>
      </c>
      <c r="D284" s="14"/>
      <c r="E284" s="14"/>
    </row>
    <row r="285" spans="1:5">
      <c r="A285" s="112" t="s">
        <v>302</v>
      </c>
      <c r="B285" s="113" t="s">
        <v>625</v>
      </c>
      <c r="D285" s="14"/>
      <c r="E285" s="14"/>
    </row>
    <row r="286" spans="1:5">
      <c r="A286" s="112" t="s">
        <v>161</v>
      </c>
      <c r="B286" s="113" t="s">
        <v>728</v>
      </c>
      <c r="D286" s="14"/>
      <c r="E286" s="14"/>
    </row>
    <row r="287" spans="1:5">
      <c r="A287" s="112" t="s">
        <v>205</v>
      </c>
      <c r="B287" s="113" t="s">
        <v>708</v>
      </c>
      <c r="D287" s="14"/>
      <c r="E287" s="14"/>
    </row>
    <row r="288" spans="1:5">
      <c r="A288" s="112" t="s">
        <v>68</v>
      </c>
      <c r="B288" s="113" t="s">
        <v>631</v>
      </c>
      <c r="D288" s="14"/>
      <c r="E288" s="14"/>
    </row>
    <row r="289" spans="1:5">
      <c r="A289" s="112" t="s">
        <v>256</v>
      </c>
      <c r="B289" s="113" t="s">
        <v>597</v>
      </c>
      <c r="D289" s="14"/>
      <c r="E289" s="14"/>
    </row>
    <row r="290" spans="1:5">
      <c r="A290" s="112" t="s">
        <v>261</v>
      </c>
      <c r="B290" s="113" t="s">
        <v>643</v>
      </c>
      <c r="D290" s="14"/>
      <c r="E290" s="14"/>
    </row>
    <row r="291" spans="1:5">
      <c r="A291" s="112" t="s">
        <v>275</v>
      </c>
      <c r="B291" s="113" t="s">
        <v>657</v>
      </c>
      <c r="D291" s="14"/>
      <c r="E291" s="14"/>
    </row>
    <row r="292" spans="1:5">
      <c r="A292" s="112" t="s">
        <v>136</v>
      </c>
      <c r="B292" s="113" t="s">
        <v>634</v>
      </c>
      <c r="D292" s="14"/>
      <c r="E292" s="14"/>
    </row>
    <row r="293" spans="1:5">
      <c r="A293" s="112" t="s">
        <v>176</v>
      </c>
      <c r="B293" s="113" t="s">
        <v>655</v>
      </c>
      <c r="D293" s="14"/>
      <c r="E293" s="14"/>
    </row>
    <row r="294" spans="1:5">
      <c r="A294" s="112" t="s">
        <v>284</v>
      </c>
      <c r="B294" s="113" t="s">
        <v>643</v>
      </c>
      <c r="D294" s="14"/>
      <c r="E294" s="14"/>
    </row>
    <row r="295" spans="1:5">
      <c r="A295" s="112" t="s">
        <v>729</v>
      </c>
      <c r="B295" s="113" t="s">
        <v>606</v>
      </c>
      <c r="D295" s="14"/>
      <c r="E295" s="14"/>
    </row>
    <row r="296" spans="1:5">
      <c r="A296" s="112" t="s">
        <v>730</v>
      </c>
      <c r="B296" s="113" t="s">
        <v>697</v>
      </c>
      <c r="D296" s="14"/>
      <c r="E296" s="14"/>
    </row>
    <row r="297" spans="1:5">
      <c r="A297" s="112" t="s">
        <v>731</v>
      </c>
      <c r="B297" s="113" t="s">
        <v>663</v>
      </c>
      <c r="D297" s="14"/>
      <c r="E297" s="14"/>
    </row>
    <row r="298" spans="1:5">
      <c r="A298" s="112" t="s">
        <v>236</v>
      </c>
      <c r="B298" s="113" t="s">
        <v>605</v>
      </c>
      <c r="D298" s="14"/>
      <c r="E298" s="14"/>
    </row>
    <row r="299" spans="1:5">
      <c r="A299" s="112" t="s">
        <v>74</v>
      </c>
      <c r="B299" s="113" t="s">
        <v>634</v>
      </c>
      <c r="D299" s="14"/>
      <c r="E299" s="14"/>
    </row>
    <row r="300" spans="1:5">
      <c r="A300" s="112" t="s">
        <v>96</v>
      </c>
      <c r="B300" s="113" t="s">
        <v>605</v>
      </c>
      <c r="D300" s="14"/>
      <c r="E300" s="14"/>
    </row>
    <row r="301" spans="1:5">
      <c r="A301" s="112" t="s">
        <v>98</v>
      </c>
      <c r="B301" s="113" t="s">
        <v>672</v>
      </c>
      <c r="D301" s="14"/>
      <c r="E301" s="14"/>
    </row>
    <row r="302" spans="1:5">
      <c r="A302" s="112" t="s">
        <v>680</v>
      </c>
      <c r="B302" s="113" t="s">
        <v>617</v>
      </c>
      <c r="D302" s="14"/>
      <c r="E302" s="14"/>
    </row>
    <row r="303" spans="1:5">
      <c r="A303" s="112" t="s">
        <v>186</v>
      </c>
      <c r="B303" s="113" t="s">
        <v>732</v>
      </c>
      <c r="D303" s="14"/>
      <c r="E303" s="14"/>
    </row>
    <row r="304" spans="1:5">
      <c r="A304" s="112" t="s">
        <v>190</v>
      </c>
      <c r="B304" s="113" t="s">
        <v>660</v>
      </c>
      <c r="D304" s="14"/>
      <c r="E304" s="14"/>
    </row>
    <row r="305" spans="1:5">
      <c r="A305" s="112" t="s">
        <v>733</v>
      </c>
      <c r="B305" s="113" t="s">
        <v>708</v>
      </c>
      <c r="D305" s="14"/>
      <c r="E305" s="14"/>
    </row>
    <row r="306" spans="1:5">
      <c r="A306" s="112" t="s">
        <v>279</v>
      </c>
      <c r="B306" s="113" t="s">
        <v>658</v>
      </c>
      <c r="D306" s="14"/>
      <c r="E306" s="14"/>
    </row>
    <row r="307" spans="1:5">
      <c r="A307" s="112" t="s">
        <v>229</v>
      </c>
      <c r="B307" s="113" t="s">
        <v>728</v>
      </c>
      <c r="D307" s="14"/>
      <c r="E307" s="14"/>
    </row>
    <row r="308" spans="1:5">
      <c r="A308" s="112" t="s">
        <v>83</v>
      </c>
      <c r="B308" s="113" t="s">
        <v>629</v>
      </c>
      <c r="D308" s="14"/>
      <c r="E308" s="14"/>
    </row>
    <row r="309" spans="1:5">
      <c r="A309" s="112" t="s">
        <v>277</v>
      </c>
      <c r="B309" s="113" t="s">
        <v>626</v>
      </c>
      <c r="D309" s="14"/>
      <c r="E309" s="14"/>
    </row>
    <row r="310" spans="1:5">
      <c r="A310" s="112" t="s">
        <v>734</v>
      </c>
      <c r="B310" s="113" t="s">
        <v>728</v>
      </c>
      <c r="D310" s="14"/>
      <c r="E310" s="14"/>
    </row>
    <row r="311" spans="1:5">
      <c r="A311" s="112" t="s">
        <v>95</v>
      </c>
      <c r="B311" s="113" t="s">
        <v>660</v>
      </c>
      <c r="D311" s="14"/>
      <c r="E311" s="14"/>
    </row>
    <row r="312" spans="1:5">
      <c r="A312" s="112" t="s">
        <v>696</v>
      </c>
      <c r="B312" s="113" t="s">
        <v>708</v>
      </c>
      <c r="D312" s="14"/>
      <c r="E312" s="14"/>
    </row>
    <row r="313" spans="1:5">
      <c r="A313" s="112" t="s">
        <v>206</v>
      </c>
      <c r="B313" s="113" t="s">
        <v>635</v>
      </c>
      <c r="D313" s="14"/>
      <c r="E313" s="14"/>
    </row>
    <row r="314" spans="1:5">
      <c r="A314" s="112" t="s">
        <v>207</v>
      </c>
      <c r="B314" s="113" t="s">
        <v>735</v>
      </c>
      <c r="D314" s="14"/>
      <c r="E314" s="14"/>
    </row>
    <row r="315" spans="1:5">
      <c r="A315" s="112" t="s">
        <v>211</v>
      </c>
      <c r="B315" s="113" t="s">
        <v>606</v>
      </c>
      <c r="D315" s="14"/>
      <c r="E315" s="14"/>
    </row>
    <row r="316" spans="1:5">
      <c r="A316" s="112" t="s">
        <v>257</v>
      </c>
      <c r="B316" s="113" t="s">
        <v>736</v>
      </c>
      <c r="D316" s="14"/>
      <c r="E316" s="14"/>
    </row>
    <row r="317" spans="1:5">
      <c r="A317" s="112" t="s">
        <v>262</v>
      </c>
      <c r="B317" s="113" t="s">
        <v>737</v>
      </c>
      <c r="D317" s="14"/>
      <c r="E317" s="14"/>
    </row>
    <row r="318" spans="1:5">
      <c r="A318" s="112" t="s">
        <v>263</v>
      </c>
      <c r="B318" s="113" t="s">
        <v>686</v>
      </c>
      <c r="D318" s="14"/>
      <c r="E318" s="14"/>
    </row>
    <row r="319" spans="1:5">
      <c r="A319" s="112" t="s">
        <v>264</v>
      </c>
      <c r="B319" s="113" t="s">
        <v>661</v>
      </c>
      <c r="D319" s="14"/>
      <c r="E319" s="14"/>
    </row>
    <row r="320" spans="1:5">
      <c r="A320" s="112" t="s">
        <v>303</v>
      </c>
      <c r="B320" s="113" t="s">
        <v>662</v>
      </c>
    </row>
    <row r="321" spans="1:2">
      <c r="A321" s="112" t="s">
        <v>310</v>
      </c>
      <c r="B321" s="113" t="s">
        <v>659</v>
      </c>
    </row>
    <row r="322" spans="1:2">
      <c r="A322" s="112" t="s">
        <v>114</v>
      </c>
      <c r="B322" s="113" t="s">
        <v>601</v>
      </c>
    </row>
    <row r="323" spans="1:2">
      <c r="A323" s="112" t="s">
        <v>224</v>
      </c>
      <c r="B323" s="113" t="s">
        <v>630</v>
      </c>
    </row>
    <row r="324" spans="1:2">
      <c r="A324" s="112" t="s">
        <v>53</v>
      </c>
      <c r="B324" s="113" t="s">
        <v>607</v>
      </c>
    </row>
    <row r="325" spans="1:2">
      <c r="A325" s="112" t="s">
        <v>221</v>
      </c>
      <c r="B325" s="113" t="s">
        <v>646</v>
      </c>
    </row>
    <row r="326" spans="1:2">
      <c r="A326" s="112" t="s">
        <v>838</v>
      </c>
      <c r="B326" s="113" t="s">
        <v>646</v>
      </c>
    </row>
    <row r="327" spans="1:2">
      <c r="A327" s="112" t="s">
        <v>269</v>
      </c>
      <c r="B327" s="113" t="s">
        <v>628</v>
      </c>
    </row>
    <row r="328" spans="1:2">
      <c r="A328" s="112" t="s">
        <v>170</v>
      </c>
      <c r="B328" s="113" t="s">
        <v>644</v>
      </c>
    </row>
    <row r="329" spans="1:2">
      <c r="A329" s="112">
        <v>0</v>
      </c>
      <c r="B329" s="113" t="s">
        <v>646</v>
      </c>
    </row>
    <row r="330" spans="1:2">
      <c r="A330" s="112">
        <v>0</v>
      </c>
      <c r="B330" s="113" t="s">
        <v>628</v>
      </c>
    </row>
    <row r="331" spans="1:2">
      <c r="A331" s="112">
        <v>0</v>
      </c>
      <c r="B331" s="113" t="s">
        <v>708</v>
      </c>
    </row>
    <row r="332" spans="1:2">
      <c r="A332" s="112">
        <v>0</v>
      </c>
      <c r="B332" s="113" t="s">
        <v>630</v>
      </c>
    </row>
    <row r="333" spans="1:2">
      <c r="A333" s="112">
        <v>0</v>
      </c>
      <c r="B333" s="113" t="s">
        <v>627</v>
      </c>
    </row>
    <row r="334" spans="1:2">
      <c r="A334" s="112">
        <v>0</v>
      </c>
      <c r="B334" s="113" t="s">
        <v>631</v>
      </c>
    </row>
    <row r="335" spans="1:2">
      <c r="A335" s="112">
        <v>0</v>
      </c>
      <c r="B335" s="113" t="s">
        <v>663</v>
      </c>
    </row>
    <row r="336" spans="1:2">
      <c r="A336" s="112">
        <v>0</v>
      </c>
      <c r="B336" s="113" t="s">
        <v>629</v>
      </c>
    </row>
    <row r="337" spans="1:2">
      <c r="A337" s="112">
        <v>0</v>
      </c>
      <c r="B337" s="113" t="s">
        <v>632</v>
      </c>
    </row>
    <row r="338" spans="1:2">
      <c r="A338" s="112" t="s">
        <v>126</v>
      </c>
      <c r="B338" s="113" t="s">
        <v>621</v>
      </c>
    </row>
    <row r="339" spans="1:2">
      <c r="A339" s="112" t="s">
        <v>234</v>
      </c>
      <c r="B339" s="113" t="s">
        <v>621</v>
      </c>
    </row>
    <row r="340" spans="1:2">
      <c r="A340" s="112" t="s">
        <v>127</v>
      </c>
      <c r="B340" s="113" t="s">
        <v>621</v>
      </c>
    </row>
    <row r="341" spans="1:2">
      <c r="A341" s="112" t="s">
        <v>86</v>
      </c>
      <c r="B341" s="113" t="s">
        <v>625</v>
      </c>
    </row>
    <row r="342" spans="1:2">
      <c r="A342" s="112" t="s">
        <v>217</v>
      </c>
      <c r="B342" s="113" t="s">
        <v>621</v>
      </c>
    </row>
    <row r="343" spans="1:2">
      <c r="A343" s="112" t="s">
        <v>738</v>
      </c>
      <c r="B343" s="113" t="s">
        <v>670</v>
      </c>
    </row>
    <row r="344" spans="1:2">
      <c r="A344" s="112" t="s">
        <v>277</v>
      </c>
      <c r="B344" s="113" t="s">
        <v>624</v>
      </c>
    </row>
    <row r="345" spans="1:2">
      <c r="A345" s="112" t="s">
        <v>174</v>
      </c>
      <c r="B345" s="113" t="s">
        <v>621</v>
      </c>
    </row>
    <row r="346" spans="1:2">
      <c r="A346" s="112" t="s">
        <v>240</v>
      </c>
      <c r="B346" s="113" t="s">
        <v>626</v>
      </c>
    </row>
    <row r="347" spans="1:2">
      <c r="A347" s="112" t="s">
        <v>301</v>
      </c>
      <c r="B347" s="113" t="s">
        <v>625</v>
      </c>
    </row>
    <row r="348" spans="1:2">
      <c r="A348" s="112" t="s">
        <v>226</v>
      </c>
      <c r="B348" s="113" t="s">
        <v>612</v>
      </c>
    </row>
    <row r="349" spans="1:2">
      <c r="A349" s="112" t="s">
        <v>231</v>
      </c>
      <c r="B349" s="113" t="s">
        <v>612</v>
      </c>
    </row>
    <row r="350" spans="1:2">
      <c r="A350" s="112" t="s">
        <v>248</v>
      </c>
      <c r="B350" s="113" t="s">
        <v>636</v>
      </c>
    </row>
    <row r="351" spans="1:2">
      <c r="A351" s="112" t="s">
        <v>277</v>
      </c>
      <c r="B351" s="113" t="s">
        <v>663</v>
      </c>
    </row>
    <row r="352" spans="1:2">
      <c r="A352" s="112" t="s">
        <v>250</v>
      </c>
      <c r="B352" s="113" t="s">
        <v>632</v>
      </c>
    </row>
    <row r="353" spans="1:2">
      <c r="A353" s="112" t="s">
        <v>155</v>
      </c>
      <c r="B353" s="113" t="s">
        <v>632</v>
      </c>
    </row>
    <row r="354" spans="1:2">
      <c r="A354" s="112" t="s">
        <v>187</v>
      </c>
      <c r="B354" s="113" t="s">
        <v>631</v>
      </c>
    </row>
    <row r="355" spans="1:2">
      <c r="A355" s="112" t="s">
        <v>269</v>
      </c>
      <c r="B355" s="113" t="s">
        <v>625</v>
      </c>
    </row>
    <row r="356" spans="1:2">
      <c r="A356" s="112" t="s">
        <v>192</v>
      </c>
      <c r="B356" s="113" t="s">
        <v>657</v>
      </c>
    </row>
    <row r="357" spans="1:2">
      <c r="A357" s="112" t="s">
        <v>119</v>
      </c>
      <c r="B357" s="113" t="s">
        <v>607</v>
      </c>
    </row>
    <row r="358" spans="1:2">
      <c r="A358" s="112" t="s">
        <v>590</v>
      </c>
      <c r="B358" s="113" t="s">
        <v>609</v>
      </c>
    </row>
    <row r="359" spans="1:2">
      <c r="A359" s="112" t="s">
        <v>53</v>
      </c>
      <c r="B359" s="113" t="s">
        <v>708</v>
      </c>
    </row>
    <row r="360" spans="1:2">
      <c r="A360" s="112" t="s">
        <v>104</v>
      </c>
      <c r="B360" s="113" t="s">
        <v>632</v>
      </c>
    </row>
    <row r="361" spans="1:2">
      <c r="A361" s="112" t="s">
        <v>86</v>
      </c>
      <c r="B361" s="113" t="s">
        <v>631</v>
      </c>
    </row>
    <row r="362" spans="1:2">
      <c r="A362" s="112" t="s">
        <v>112</v>
      </c>
      <c r="B362" s="113" t="s">
        <v>630</v>
      </c>
    </row>
    <row r="363" spans="1:2">
      <c r="A363" s="112" t="s">
        <v>130</v>
      </c>
      <c r="B363" s="113" t="s">
        <v>617</v>
      </c>
    </row>
    <row r="364" spans="1:2">
      <c r="A364" s="112" t="s">
        <v>116</v>
      </c>
      <c r="B364" s="113" t="s">
        <v>614</v>
      </c>
    </row>
    <row r="365" spans="1:2">
      <c r="A365" s="112" t="s">
        <v>71</v>
      </c>
      <c r="B365" s="113" t="s">
        <v>626</v>
      </c>
    </row>
    <row r="366" spans="1:2">
      <c r="A366" s="112" t="s">
        <v>199</v>
      </c>
      <c r="B366" s="113" t="s">
        <v>671</v>
      </c>
    </row>
    <row r="367" spans="1:2">
      <c r="A367" s="112" t="s">
        <v>177</v>
      </c>
      <c r="B367" s="113" t="s">
        <v>656</v>
      </c>
    </row>
    <row r="368" spans="1:2">
      <c r="A368" s="112" t="s">
        <v>191</v>
      </c>
      <c r="B368" s="113" t="s">
        <v>679</v>
      </c>
    </row>
    <row r="369" spans="1:2">
      <c r="A369" s="112" t="s">
        <v>63</v>
      </c>
      <c r="B369" s="113" t="s">
        <v>647</v>
      </c>
    </row>
    <row r="370" spans="1:2">
      <c r="A370" s="112" t="s">
        <v>286</v>
      </c>
      <c r="B370" s="113" t="s">
        <v>623</v>
      </c>
    </row>
    <row r="371" spans="1:2">
      <c r="A371" s="112" t="s">
        <v>116</v>
      </c>
      <c r="B371" s="113" t="s">
        <v>636</v>
      </c>
    </row>
    <row r="372" spans="1:2">
      <c r="A372" s="112" t="s">
        <v>164</v>
      </c>
      <c r="B372" s="113" t="s">
        <v>635</v>
      </c>
    </row>
    <row r="373" spans="1:2">
      <c r="A373" s="112" t="s">
        <v>175</v>
      </c>
      <c r="B373" s="113" t="s">
        <v>735</v>
      </c>
    </row>
    <row r="374" spans="1:2">
      <c r="A374" s="112" t="s">
        <v>226</v>
      </c>
      <c r="B374" s="113" t="s">
        <v>642</v>
      </c>
    </row>
    <row r="375" spans="1:2">
      <c r="A375" s="112" t="s">
        <v>241</v>
      </c>
      <c r="B375" s="113" t="s">
        <v>606</v>
      </c>
    </row>
    <row r="376" spans="1:2">
      <c r="A376" s="112" t="s">
        <v>246</v>
      </c>
      <c r="B376" s="113" t="s">
        <v>610</v>
      </c>
    </row>
    <row r="377" spans="1:2">
      <c r="A377" s="112" t="s">
        <v>195</v>
      </c>
      <c r="B377" s="113" t="s">
        <v>624</v>
      </c>
    </row>
    <row r="378" spans="1:2">
      <c r="A378" s="112" t="s">
        <v>839</v>
      </c>
      <c r="B378" s="113" t="s">
        <v>624</v>
      </c>
    </row>
    <row r="379" spans="1:2">
      <c r="A379" s="112" t="s">
        <v>241</v>
      </c>
      <c r="B379" s="113" t="s">
        <v>632</v>
      </c>
    </row>
    <row r="380" spans="1:2">
      <c r="A380" s="112" t="s">
        <v>164</v>
      </c>
      <c r="B380" s="113" t="s">
        <v>676</v>
      </c>
    </row>
    <row r="381" spans="1:2">
      <c r="A381" s="112" t="s">
        <v>172</v>
      </c>
      <c r="B381" s="113" t="s">
        <v>635</v>
      </c>
    </row>
    <row r="382" spans="1:2">
      <c r="A382" s="112" t="s">
        <v>241</v>
      </c>
      <c r="B382" s="113" t="s">
        <v>657</v>
      </c>
    </row>
    <row r="383" spans="1:2">
      <c r="A383" s="112" t="s">
        <v>259</v>
      </c>
      <c r="B383" s="113" t="s">
        <v>637</v>
      </c>
    </row>
    <row r="384" spans="1:2">
      <c r="A384" s="112" t="s">
        <v>155</v>
      </c>
      <c r="B384" s="113" t="s">
        <v>688</v>
      </c>
    </row>
    <row r="385" spans="1:2">
      <c r="A385" s="112" t="s">
        <v>161</v>
      </c>
      <c r="B385" s="113" t="s">
        <v>622</v>
      </c>
    </row>
    <row r="386" spans="1:2">
      <c r="A386" s="112" t="s">
        <v>251</v>
      </c>
      <c r="B386" s="113" t="s">
        <v>632</v>
      </c>
    </row>
    <row r="387" spans="1:2">
      <c r="A387" s="112" t="s">
        <v>159</v>
      </c>
      <c r="B387" s="113" t="s">
        <v>621</v>
      </c>
    </row>
    <row r="388" spans="1:2">
      <c r="A388" s="112" t="s">
        <v>848</v>
      </c>
      <c r="B388" s="113" t="s">
        <v>612</v>
      </c>
    </row>
    <row r="389" spans="1:2">
      <c r="A389" s="112" t="s">
        <v>846</v>
      </c>
      <c r="B389" s="113" t="s">
        <v>659</v>
      </c>
    </row>
    <row r="390" spans="1:2">
      <c r="A390" s="112" t="s">
        <v>162</v>
      </c>
      <c r="B390" s="113" t="s">
        <v>660</v>
      </c>
    </row>
    <row r="391" spans="1:2">
      <c r="A391" s="112" t="s">
        <v>83</v>
      </c>
      <c r="B391" s="113" t="s">
        <v>628</v>
      </c>
    </row>
    <row r="392" spans="1:2">
      <c r="A392" s="112" t="s">
        <v>134</v>
      </c>
      <c r="B392" s="113" t="s">
        <v>644</v>
      </c>
    </row>
    <row r="393" spans="1:2">
      <c r="A393" s="112" t="s">
        <v>270</v>
      </c>
      <c r="B393" s="113" t="s">
        <v>670</v>
      </c>
    </row>
    <row r="394" spans="1:2">
      <c r="A394" s="112" t="s">
        <v>148</v>
      </c>
      <c r="B394" s="113" t="s">
        <v>651</v>
      </c>
    </row>
    <row r="395" spans="1:2">
      <c r="A395" s="112" t="s">
        <v>61</v>
      </c>
      <c r="B395" s="113" t="s">
        <v>634</v>
      </c>
    </row>
    <row r="396" spans="1:2">
      <c r="A396" s="112" t="s">
        <v>121</v>
      </c>
      <c r="B396" s="113" t="s">
        <v>618</v>
      </c>
    </row>
    <row r="397" spans="1:2">
      <c r="A397" s="112" t="s">
        <v>128</v>
      </c>
      <c r="B397" s="113" t="s">
        <v>643</v>
      </c>
    </row>
    <row r="398" spans="1:2">
      <c r="A398" s="112" t="s">
        <v>191</v>
      </c>
      <c r="B398" s="113" t="s">
        <v>657</v>
      </c>
    </row>
    <row r="399" spans="1:2">
      <c r="A399" s="112" t="s">
        <v>86</v>
      </c>
      <c r="B399" s="113" t="s">
        <v>617</v>
      </c>
    </row>
    <row r="400" spans="1:2">
      <c r="A400" s="112" t="s">
        <v>273</v>
      </c>
      <c r="B400" s="113" t="s">
        <v>644</v>
      </c>
    </row>
    <row r="401" spans="1:2">
      <c r="A401" s="112" t="s">
        <v>208</v>
      </c>
      <c r="B401" s="113" t="s">
        <v>623</v>
      </c>
    </row>
    <row r="402" spans="1:2">
      <c r="A402" s="112" t="s">
        <v>223</v>
      </c>
      <c r="B402" s="113" t="s">
        <v>664</v>
      </c>
    </row>
    <row r="403" spans="1:2">
      <c r="A403" s="112" t="s">
        <v>222</v>
      </c>
      <c r="B403" s="113" t="s">
        <v>617</v>
      </c>
    </row>
    <row r="404" spans="1:2">
      <c r="A404" s="112" t="s">
        <v>63</v>
      </c>
      <c r="B404" s="113" t="s">
        <v>604</v>
      </c>
    </row>
    <row r="405" spans="1:2">
      <c r="A405" s="112" t="s">
        <v>129</v>
      </c>
      <c r="B405" s="113" t="s">
        <v>603</v>
      </c>
    </row>
    <row r="406" spans="1:2">
      <c r="A406" s="112" t="s">
        <v>91</v>
      </c>
      <c r="B406" s="113" t="s">
        <v>615</v>
      </c>
    </row>
    <row r="407" spans="1:2">
      <c r="A407" s="112" t="s">
        <v>115</v>
      </c>
      <c r="B407" s="113" t="s">
        <v>640</v>
      </c>
    </row>
    <row r="408" spans="1:2">
      <c r="A408" s="112" t="s">
        <v>63</v>
      </c>
      <c r="B408" s="113" t="s">
        <v>646</v>
      </c>
    </row>
    <row r="409" spans="1:2">
      <c r="A409" s="112" t="s">
        <v>199</v>
      </c>
      <c r="B409" s="113" t="s">
        <v>649</v>
      </c>
    </row>
    <row r="410" spans="1:2">
      <c r="A410" s="112" t="s">
        <v>240</v>
      </c>
      <c r="B410" s="113" t="s">
        <v>664</v>
      </c>
    </row>
    <row r="411" spans="1:2">
      <c r="A411" s="112" t="s">
        <v>317</v>
      </c>
      <c r="B411" s="113" t="s">
        <v>644</v>
      </c>
    </row>
    <row r="412" spans="1:2">
      <c r="A412" s="112" t="s">
        <v>314</v>
      </c>
      <c r="B412" s="113" t="s">
        <v>675</v>
      </c>
    </row>
    <row r="413" spans="1:2">
      <c r="A413" s="112" t="s">
        <v>315</v>
      </c>
      <c r="B413" s="113" t="s">
        <v>599</v>
      </c>
    </row>
    <row r="414" spans="1:2">
      <c r="A414" s="112" t="s">
        <v>317</v>
      </c>
      <c r="B414" s="113" t="s">
        <v>654</v>
      </c>
    </row>
    <row r="415" spans="1:2">
      <c r="A415" s="112" t="s">
        <v>316</v>
      </c>
      <c r="B415" s="113" t="s">
        <v>676</v>
      </c>
    </row>
    <row r="416" spans="1:2">
      <c r="A416" s="112" t="s">
        <v>314</v>
      </c>
      <c r="B416" s="113" t="s">
        <v>597</v>
      </c>
    </row>
    <row r="417" spans="1:2">
      <c r="A417" s="112" t="s">
        <v>154</v>
      </c>
      <c r="B417" s="113" t="s">
        <v>632</v>
      </c>
    </row>
    <row r="418" spans="1:2">
      <c r="A418" s="112" t="s">
        <v>55</v>
      </c>
      <c r="B418" s="113" t="s">
        <v>666</v>
      </c>
    </row>
    <row r="419" spans="1:2">
      <c r="A419" s="112" t="s">
        <v>309</v>
      </c>
      <c r="B419" s="113" t="s">
        <v>689</v>
      </c>
    </row>
    <row r="420" spans="1:2">
      <c r="A420" s="112" t="s">
        <v>154</v>
      </c>
      <c r="B420" s="113" t="s">
        <v>664</v>
      </c>
    </row>
    <row r="421" spans="1:2">
      <c r="A421" s="112" t="s">
        <v>101</v>
      </c>
      <c r="B421" s="113" t="s">
        <v>596</v>
      </c>
    </row>
    <row r="422" spans="1:2">
      <c r="A422" s="112" t="s">
        <v>86</v>
      </c>
      <c r="B422" s="113" t="s">
        <v>656</v>
      </c>
    </row>
    <row r="423" spans="1:2">
      <c r="A423" s="112" t="s">
        <v>227</v>
      </c>
      <c r="B423" s="113" t="s">
        <v>644</v>
      </c>
    </row>
    <row r="424" spans="1:2">
      <c r="A424" s="112" t="s">
        <v>168</v>
      </c>
      <c r="B424" s="113" t="s">
        <v>621</v>
      </c>
    </row>
    <row r="425" spans="1:2">
      <c r="A425" s="112" t="s">
        <v>124</v>
      </c>
      <c r="B425" s="113" t="s">
        <v>623</v>
      </c>
    </row>
    <row r="426" spans="1:2">
      <c r="A426" s="112" t="s">
        <v>256</v>
      </c>
      <c r="B426" s="113" t="s">
        <v>628</v>
      </c>
    </row>
    <row r="427" spans="1:2">
      <c r="A427" s="112" t="s">
        <v>168</v>
      </c>
      <c r="B427" s="113" t="s">
        <v>624</v>
      </c>
    </row>
    <row r="428" spans="1:2">
      <c r="A428" s="112" t="s">
        <v>175</v>
      </c>
      <c r="B428" s="113" t="s">
        <v>628</v>
      </c>
    </row>
    <row r="429" spans="1:2">
      <c r="A429" s="112" t="s">
        <v>252</v>
      </c>
      <c r="B429" s="113" t="s">
        <v>618</v>
      </c>
    </row>
    <row r="430" spans="1:2">
      <c r="A430" s="112" t="s">
        <v>72</v>
      </c>
      <c r="B430" s="113" t="s">
        <v>663</v>
      </c>
    </row>
    <row r="431" spans="1:2">
      <c r="A431" s="112" t="s">
        <v>76</v>
      </c>
      <c r="B431" s="113" t="s">
        <v>631</v>
      </c>
    </row>
    <row r="432" spans="1:2">
      <c r="A432" s="112" t="s">
        <v>100</v>
      </c>
      <c r="B432" s="113" t="s">
        <v>630</v>
      </c>
    </row>
    <row r="433" spans="1:2">
      <c r="A433" s="112" t="s">
        <v>97</v>
      </c>
      <c r="B433" s="113" t="s">
        <v>631</v>
      </c>
    </row>
    <row r="434" spans="1:2">
      <c r="A434" s="112" t="s">
        <v>172</v>
      </c>
      <c r="B434" s="113" t="s">
        <v>621</v>
      </c>
    </row>
    <row r="435" spans="1:2">
      <c r="A435" s="112" t="s">
        <v>271</v>
      </c>
      <c r="B435" s="113" t="s">
        <v>621</v>
      </c>
    </row>
    <row r="436" spans="1:2">
      <c r="A436" s="112" t="s">
        <v>83</v>
      </c>
      <c r="B436" s="113" t="s">
        <v>625</v>
      </c>
    </row>
    <row r="437" spans="1:2">
      <c r="A437" s="112" t="s">
        <v>84</v>
      </c>
      <c r="B437" s="113" t="s">
        <v>631</v>
      </c>
    </row>
    <row r="438" spans="1:2">
      <c r="A438" s="112" t="s">
        <v>251</v>
      </c>
      <c r="B438" s="113" t="s">
        <v>655</v>
      </c>
    </row>
    <row r="439" spans="1:2">
      <c r="A439" s="112" t="s">
        <v>55</v>
      </c>
      <c r="B439" s="113" t="s">
        <v>625</v>
      </c>
    </row>
    <row r="440" spans="1:2">
      <c r="A440" s="112" t="s">
        <v>254</v>
      </c>
      <c r="B440" s="113" t="s">
        <v>622</v>
      </c>
    </row>
    <row r="441" spans="1:2">
      <c r="A441" s="112" t="s">
        <v>315</v>
      </c>
      <c r="B441" s="113" t="s">
        <v>620</v>
      </c>
    </row>
    <row r="442" spans="1:2">
      <c r="A442" s="112" t="s">
        <v>226</v>
      </c>
      <c r="B442" s="113" t="s">
        <v>624</v>
      </c>
    </row>
    <row r="443" spans="1:2">
      <c r="A443" s="112" t="s">
        <v>739</v>
      </c>
      <c r="B443" s="113" t="s">
        <v>620</v>
      </c>
    </row>
    <row r="444" spans="1:2">
      <c r="A444" s="112" t="s">
        <v>71</v>
      </c>
      <c r="B444" s="113" t="s">
        <v>693</v>
      </c>
    </row>
    <row r="445" spans="1:2">
      <c r="A445" s="112" t="s">
        <v>300</v>
      </c>
      <c r="B445" s="113" t="s">
        <v>625</v>
      </c>
    </row>
    <row r="446" spans="1:2">
      <c r="A446" s="112" t="s">
        <v>53</v>
      </c>
      <c r="B446" s="113" t="s">
        <v>667</v>
      </c>
    </row>
    <row r="447" spans="1:2">
      <c r="A447" s="112" t="s">
        <v>109</v>
      </c>
      <c r="B447" s="113" t="s">
        <v>619</v>
      </c>
    </row>
    <row r="448" spans="1:2">
      <c r="A448" s="112" t="s">
        <v>51</v>
      </c>
      <c r="B448" s="113" t="s">
        <v>632</v>
      </c>
    </row>
    <row r="449" spans="1:2">
      <c r="A449" s="112" t="s">
        <v>740</v>
      </c>
      <c r="B449" s="113" t="s">
        <v>655</v>
      </c>
    </row>
    <row r="450" spans="1:2">
      <c r="A450" s="112" t="s">
        <v>741</v>
      </c>
      <c r="B450" s="113" t="s">
        <v>603</v>
      </c>
    </row>
    <row r="451" spans="1:2">
      <c r="A451" s="112" t="s">
        <v>251</v>
      </c>
      <c r="B451" s="113" t="s">
        <v>742</v>
      </c>
    </row>
    <row r="452" spans="1:2">
      <c r="A452" s="112" t="s">
        <v>74</v>
      </c>
      <c r="B452" s="113" t="s">
        <v>631</v>
      </c>
    </row>
    <row r="453" spans="1:2">
      <c r="A453" s="112" t="s">
        <v>265</v>
      </c>
      <c r="B453" s="113" t="s">
        <v>632</v>
      </c>
    </row>
    <row r="454" spans="1:2">
      <c r="A454" s="112" t="s">
        <v>743</v>
      </c>
      <c r="B454" s="113" t="s">
        <v>622</v>
      </c>
    </row>
    <row r="455" spans="1:2">
      <c r="A455" s="112" t="s">
        <v>168</v>
      </c>
      <c r="B455" s="113" t="s">
        <v>643</v>
      </c>
    </row>
    <row r="456" spans="1:2">
      <c r="A456" s="112" t="s">
        <v>252</v>
      </c>
      <c r="B456" s="113" t="s">
        <v>620</v>
      </c>
    </row>
    <row r="457" spans="1:2">
      <c r="A457" s="112" t="s">
        <v>240</v>
      </c>
      <c r="B457" s="113" t="s">
        <v>632</v>
      </c>
    </row>
    <row r="458" spans="1:2">
      <c r="A458" s="112" t="s">
        <v>189</v>
      </c>
      <c r="B458" s="113" t="s">
        <v>635</v>
      </c>
    </row>
    <row r="459" spans="1:2">
      <c r="A459" s="112" t="s">
        <v>744</v>
      </c>
      <c r="B459" s="113" t="s">
        <v>621</v>
      </c>
    </row>
    <row r="460" spans="1:2">
      <c r="A460" s="112" t="s">
        <v>86</v>
      </c>
      <c r="B460" s="113" t="s">
        <v>635</v>
      </c>
    </row>
    <row r="461" spans="1:2">
      <c r="A461" s="112" t="s">
        <v>745</v>
      </c>
      <c r="B461" s="113" t="s">
        <v>628</v>
      </c>
    </row>
    <row r="462" spans="1:2">
      <c r="A462" s="112" t="s">
        <v>226</v>
      </c>
      <c r="B462" s="113" t="s">
        <v>671</v>
      </c>
    </row>
    <row r="463" spans="1:2">
      <c r="A463" s="112" t="s">
        <v>271</v>
      </c>
      <c r="B463" s="113" t="s">
        <v>644</v>
      </c>
    </row>
    <row r="464" spans="1:2">
      <c r="A464" s="112" t="s">
        <v>86</v>
      </c>
      <c r="B464" s="113" t="s">
        <v>671</v>
      </c>
    </row>
    <row r="465" spans="1:2">
      <c r="A465" s="112" t="s">
        <v>254</v>
      </c>
      <c r="B465" s="113" t="s">
        <v>632</v>
      </c>
    </row>
    <row r="466" spans="1:2">
      <c r="A466" s="112" t="s">
        <v>743</v>
      </c>
      <c r="B466" s="113" t="s">
        <v>626</v>
      </c>
    </row>
    <row r="467" spans="1:2">
      <c r="A467" s="112" t="s">
        <v>97</v>
      </c>
      <c r="B467" s="113" t="s">
        <v>634</v>
      </c>
    </row>
    <row r="468" spans="1:2">
      <c r="A468" s="112" t="s">
        <v>593</v>
      </c>
      <c r="B468" s="113" t="s">
        <v>630</v>
      </c>
    </row>
    <row r="469" spans="1:2">
      <c r="A469" s="112" t="s">
        <v>63</v>
      </c>
      <c r="B469" s="113" t="s">
        <v>626</v>
      </c>
    </row>
    <row r="470" spans="1:2">
      <c r="A470" s="112" t="s">
        <v>199</v>
      </c>
      <c r="B470" s="113" t="s">
        <v>628</v>
      </c>
    </row>
    <row r="471" spans="1:2">
      <c r="A471" s="112" t="s">
        <v>292</v>
      </c>
      <c r="B471" s="113" t="s">
        <v>632</v>
      </c>
    </row>
    <row r="472" spans="1:2">
      <c r="A472" s="112" t="s">
        <v>83</v>
      </c>
      <c r="B472" s="113" t="s">
        <v>614</v>
      </c>
    </row>
    <row r="473" spans="1:2">
      <c r="A473" s="112" t="s">
        <v>166</v>
      </c>
      <c r="B473" s="113" t="s">
        <v>621</v>
      </c>
    </row>
    <row r="474" spans="1:2">
      <c r="A474" s="112" t="s">
        <v>86</v>
      </c>
      <c r="B474" s="113" t="s">
        <v>632</v>
      </c>
    </row>
    <row r="475" spans="1:2">
      <c r="A475" s="112" t="s">
        <v>746</v>
      </c>
      <c r="B475" s="113" t="s">
        <v>626</v>
      </c>
    </row>
    <row r="476" spans="1:2">
      <c r="A476" s="112" t="s">
        <v>747</v>
      </c>
      <c r="B476" s="113" t="s">
        <v>628</v>
      </c>
    </row>
    <row r="477" spans="1:2">
      <c r="A477" s="112" t="s">
        <v>101</v>
      </c>
      <c r="B477" s="113" t="s">
        <v>642</v>
      </c>
    </row>
    <row r="478" spans="1:2">
      <c r="A478" s="112" t="s">
        <v>256</v>
      </c>
      <c r="B478" s="113" t="s">
        <v>614</v>
      </c>
    </row>
    <row r="479" spans="1:2">
      <c r="A479" s="112" t="s">
        <v>748</v>
      </c>
      <c r="B479" s="113" t="s">
        <v>628</v>
      </c>
    </row>
    <row r="480" spans="1:2">
      <c r="A480" s="112" t="s">
        <v>231</v>
      </c>
      <c r="B480" s="113" t="s">
        <v>620</v>
      </c>
    </row>
    <row r="481" spans="1:2">
      <c r="A481" s="112" t="s">
        <v>240</v>
      </c>
      <c r="B481" s="113" t="s">
        <v>625</v>
      </c>
    </row>
    <row r="482" spans="1:2">
      <c r="A482" s="112" t="s">
        <v>57</v>
      </c>
      <c r="B482" s="113" t="s">
        <v>612</v>
      </c>
    </row>
    <row r="483" spans="1:2">
      <c r="A483" s="112" t="s">
        <v>209</v>
      </c>
      <c r="B483" s="113" t="s">
        <v>632</v>
      </c>
    </row>
    <row r="484" spans="1:2">
      <c r="A484" s="112" t="s">
        <v>55</v>
      </c>
      <c r="B484" s="113" t="s">
        <v>617</v>
      </c>
    </row>
    <row r="485" spans="1:2">
      <c r="A485" s="112" t="s">
        <v>66</v>
      </c>
      <c r="B485" s="113" t="s">
        <v>619</v>
      </c>
    </row>
    <row r="486" spans="1:2">
      <c r="A486" s="112" t="s">
        <v>95</v>
      </c>
      <c r="B486" s="113" t="s">
        <v>631</v>
      </c>
    </row>
    <row r="487" spans="1:2">
      <c r="A487" s="112" t="s">
        <v>63</v>
      </c>
      <c r="B487" s="113" t="s">
        <v>708</v>
      </c>
    </row>
    <row r="488" spans="1:2">
      <c r="A488" s="112" t="s">
        <v>66</v>
      </c>
      <c r="B488" s="113" t="s">
        <v>632</v>
      </c>
    </row>
    <row r="489" spans="1:2">
      <c r="A489" s="112" t="s">
        <v>157</v>
      </c>
      <c r="B489" s="113" t="s">
        <v>647</v>
      </c>
    </row>
    <row r="490" spans="1:2">
      <c r="A490" s="112" t="s">
        <v>132</v>
      </c>
      <c r="B490" s="113" t="s">
        <v>617</v>
      </c>
    </row>
    <row r="491" spans="1:2">
      <c r="A491" s="112" t="s">
        <v>215</v>
      </c>
      <c r="B491" s="113" t="s">
        <v>661</v>
      </c>
    </row>
    <row r="492" spans="1:2">
      <c r="A492" s="112" t="s">
        <v>111</v>
      </c>
      <c r="B492" s="113" t="s">
        <v>597</v>
      </c>
    </row>
    <row r="493" spans="1:2">
      <c r="A493" s="112" t="s">
        <v>111</v>
      </c>
      <c r="B493" s="113" t="s">
        <v>618</v>
      </c>
    </row>
    <row r="494" spans="1:2">
      <c r="A494" s="112" t="s">
        <v>692</v>
      </c>
      <c r="B494" s="113" t="s">
        <v>742</v>
      </c>
    </row>
    <row r="495" spans="1:2">
      <c r="A495" s="112" t="s">
        <v>749</v>
      </c>
      <c r="B495" s="113" t="s">
        <v>647</v>
      </c>
    </row>
    <row r="496" spans="1:2">
      <c r="A496" s="112" t="s">
        <v>209</v>
      </c>
      <c r="B496" s="113" t="s">
        <v>628</v>
      </c>
    </row>
    <row r="497" spans="1:2">
      <c r="A497" s="112" t="s">
        <v>307</v>
      </c>
      <c r="B497" s="113" t="s">
        <v>625</v>
      </c>
    </row>
    <row r="498" spans="1:2">
      <c r="A498" s="112" t="s">
        <v>750</v>
      </c>
      <c r="B498" s="113" t="s">
        <v>622</v>
      </c>
    </row>
    <row r="499" spans="1:2">
      <c r="A499" s="112" t="s">
        <v>116</v>
      </c>
      <c r="B499" s="113" t="s">
        <v>619</v>
      </c>
    </row>
    <row r="500" spans="1:2">
      <c r="A500" s="112" t="s">
        <v>145</v>
      </c>
      <c r="B500" s="113" t="s">
        <v>597</v>
      </c>
    </row>
    <row r="501" spans="1:2">
      <c r="A501" s="112" t="s">
        <v>315</v>
      </c>
      <c r="B501" s="113" t="s">
        <v>597</v>
      </c>
    </row>
    <row r="502" spans="1:2">
      <c r="A502" s="112" t="s">
        <v>55</v>
      </c>
      <c r="B502" s="113" t="s">
        <v>599</v>
      </c>
    </row>
    <row r="503" spans="1:2">
      <c r="A503" s="112" t="s">
        <v>213</v>
      </c>
      <c r="B503" s="113" t="s">
        <v>660</v>
      </c>
    </row>
    <row r="504" spans="1:2">
      <c r="A504" s="112" t="s">
        <v>226</v>
      </c>
      <c r="B504" s="113" t="s">
        <v>631</v>
      </c>
    </row>
    <row r="505" spans="1:2">
      <c r="A505" s="112" t="s">
        <v>92</v>
      </c>
      <c r="B505" s="113" t="s">
        <v>631</v>
      </c>
    </row>
    <row r="506" spans="1:2">
      <c r="A506" s="112" t="s">
        <v>248</v>
      </c>
      <c r="B506" s="113" t="s">
        <v>628</v>
      </c>
    </row>
    <row r="507" spans="1:2">
      <c r="A507" s="112" t="s">
        <v>252</v>
      </c>
      <c r="B507" s="113" t="s">
        <v>597</v>
      </c>
    </row>
    <row r="508" spans="1:2">
      <c r="A508" s="112" t="s">
        <v>151</v>
      </c>
      <c r="B508" s="113" t="s">
        <v>632</v>
      </c>
    </row>
    <row r="509" spans="1:2">
      <c r="A509" s="112" t="s">
        <v>248</v>
      </c>
      <c r="B509" s="113" t="s">
        <v>641</v>
      </c>
    </row>
    <row r="510" spans="1:2">
      <c r="A510" s="112" t="s">
        <v>143</v>
      </c>
      <c r="B510" s="113" t="s">
        <v>647</v>
      </c>
    </row>
    <row r="511" spans="1:2">
      <c r="A511" s="112" t="s">
        <v>140</v>
      </c>
      <c r="B511" s="113" t="s">
        <v>617</v>
      </c>
    </row>
    <row r="512" spans="1:2">
      <c r="A512" s="112" t="s">
        <v>214</v>
      </c>
      <c r="B512" s="113" t="s">
        <v>660</v>
      </c>
    </row>
    <row r="513" spans="1:2">
      <c r="A513" s="112" t="s">
        <v>240</v>
      </c>
      <c r="B513" s="113" t="s">
        <v>629</v>
      </c>
    </row>
    <row r="514" spans="1:2">
      <c r="A514" s="112" t="s">
        <v>155</v>
      </c>
      <c r="B514" s="113" t="s">
        <v>624</v>
      </c>
    </row>
    <row r="515" spans="1:2">
      <c r="A515" s="112" t="s">
        <v>312</v>
      </c>
      <c r="B515" s="113" t="s">
        <v>630</v>
      </c>
    </row>
    <row r="516" spans="1:2">
      <c r="A516" s="112" t="s">
        <v>199</v>
      </c>
      <c r="B516" s="113" t="s">
        <v>647</v>
      </c>
    </row>
    <row r="517" spans="1:2">
      <c r="A517" s="112" t="s">
        <v>195</v>
      </c>
      <c r="B517" s="113" t="s">
        <v>629</v>
      </c>
    </row>
    <row r="518" spans="1:2">
      <c r="A518" s="112" t="s">
        <v>205</v>
      </c>
      <c r="B518" s="113" t="s">
        <v>647</v>
      </c>
    </row>
    <row r="519" spans="1:2">
      <c r="A519" s="112" t="s">
        <v>141</v>
      </c>
      <c r="B519" s="113" t="s">
        <v>617</v>
      </c>
    </row>
    <row r="520" spans="1:2">
      <c r="A520" s="112" t="s">
        <v>53</v>
      </c>
      <c r="B520" s="113" t="s">
        <v>611</v>
      </c>
    </row>
    <row r="521" spans="1:2">
      <c r="A521" s="112" t="s">
        <v>131</v>
      </c>
      <c r="B521" s="113" t="s">
        <v>617</v>
      </c>
    </row>
    <row r="522" spans="1:2">
      <c r="A522" s="112" t="s">
        <v>295</v>
      </c>
      <c r="B522" s="113" t="s">
        <v>621</v>
      </c>
    </row>
    <row r="523" spans="1:2">
      <c r="A523" s="112" t="s">
        <v>128</v>
      </c>
      <c r="B523" s="113" t="s">
        <v>671</v>
      </c>
    </row>
    <row r="524" spans="1:2">
      <c r="A524" s="112" t="s">
        <v>53</v>
      </c>
      <c r="B524" s="113" t="s">
        <v>621</v>
      </c>
    </row>
    <row r="525" spans="1:2">
      <c r="A525" s="112" t="s">
        <v>217</v>
      </c>
      <c r="B525" s="113" t="s">
        <v>630</v>
      </c>
    </row>
    <row r="526" spans="1:2">
      <c r="A526" s="112" t="s">
        <v>241</v>
      </c>
      <c r="B526" s="113" t="s">
        <v>603</v>
      </c>
    </row>
    <row r="527" spans="1:2">
      <c r="A527" s="112" t="s">
        <v>249</v>
      </c>
      <c r="B527" s="113" t="s">
        <v>617</v>
      </c>
    </row>
    <row r="528" spans="1:2">
      <c r="A528" s="112" t="s">
        <v>259</v>
      </c>
      <c r="B528" s="113" t="s">
        <v>664</v>
      </c>
    </row>
    <row r="529" spans="1:2">
      <c r="A529" s="112" t="s">
        <v>751</v>
      </c>
      <c r="B529" s="113" t="s">
        <v>611</v>
      </c>
    </row>
    <row r="530" spans="1:2">
      <c r="A530" s="112" t="s">
        <v>298</v>
      </c>
      <c r="B530" s="113" t="s">
        <v>647</v>
      </c>
    </row>
    <row r="531" spans="1:2">
      <c r="A531" s="112" t="s">
        <v>306</v>
      </c>
      <c r="B531" s="113" t="s">
        <v>622</v>
      </c>
    </row>
    <row r="532" spans="1:2">
      <c r="A532" s="112" t="s">
        <v>86</v>
      </c>
      <c r="B532" s="113" t="s">
        <v>619</v>
      </c>
    </row>
    <row r="533" spans="1:2">
      <c r="A533" s="112" t="s">
        <v>269</v>
      </c>
      <c r="B533" s="113" t="s">
        <v>630</v>
      </c>
    </row>
    <row r="534" spans="1:2">
      <c r="A534" s="112" t="s">
        <v>272</v>
      </c>
      <c r="B534" s="113" t="s">
        <v>635</v>
      </c>
    </row>
    <row r="535" spans="1:2">
      <c r="A535" s="112" t="s">
        <v>163</v>
      </c>
      <c r="B535" s="113" t="s">
        <v>618</v>
      </c>
    </row>
    <row r="536" spans="1:2">
      <c r="A536" s="112" t="s">
        <v>752</v>
      </c>
      <c r="B536" s="113" t="s">
        <v>753</v>
      </c>
    </row>
    <row r="537" spans="1:2">
      <c r="A537" s="112" t="s">
        <v>699</v>
      </c>
      <c r="B537" s="113" t="s">
        <v>598</v>
      </c>
    </row>
    <row r="538" spans="1:2">
      <c r="A538" s="112" t="s">
        <v>305</v>
      </c>
      <c r="B538" s="113" t="s">
        <v>625</v>
      </c>
    </row>
    <row r="539" spans="1:2">
      <c r="A539" s="112" t="s">
        <v>151</v>
      </c>
      <c r="B539" s="113" t="s">
        <v>624</v>
      </c>
    </row>
    <row r="540" spans="1:2">
      <c r="A540" s="112" t="s">
        <v>281</v>
      </c>
      <c r="B540" s="113" t="s">
        <v>655</v>
      </c>
    </row>
    <row r="541" spans="1:2">
      <c r="A541" s="112" t="s">
        <v>237</v>
      </c>
      <c r="B541" s="113" t="s">
        <v>640</v>
      </c>
    </row>
    <row r="542" spans="1:2">
      <c r="A542" s="112" t="s">
        <v>282</v>
      </c>
      <c r="B542" s="113" t="s">
        <v>620</v>
      </c>
    </row>
    <row r="543" spans="1:2">
      <c r="A543" s="112" t="s">
        <v>65</v>
      </c>
      <c r="B543" s="113" t="s">
        <v>620</v>
      </c>
    </row>
    <row r="544" spans="1:2">
      <c r="A544" s="112" t="s">
        <v>219</v>
      </c>
      <c r="B544" s="113" t="s">
        <v>627</v>
      </c>
    </row>
    <row r="545" spans="1:2">
      <c r="A545" s="112" t="s">
        <v>205</v>
      </c>
      <c r="B545" s="113" t="s">
        <v>622</v>
      </c>
    </row>
    <row r="546" spans="1:2">
      <c r="A546" s="112" t="s">
        <v>243</v>
      </c>
      <c r="B546" s="113" t="s">
        <v>658</v>
      </c>
    </row>
    <row r="547" spans="1:2">
      <c r="A547" s="112" t="s">
        <v>266</v>
      </c>
      <c r="B547" s="113" t="s">
        <v>618</v>
      </c>
    </row>
    <row r="548" spans="1:2">
      <c r="A548" s="112" t="s">
        <v>71</v>
      </c>
      <c r="B548" s="113" t="s">
        <v>629</v>
      </c>
    </row>
    <row r="549" spans="1:2">
      <c r="A549" s="112" t="s">
        <v>63</v>
      </c>
      <c r="B549" s="113" t="s">
        <v>612</v>
      </c>
    </row>
    <row r="550" spans="1:2">
      <c r="A550" s="112" t="s">
        <v>277</v>
      </c>
      <c r="B550" s="113" t="s">
        <v>625</v>
      </c>
    </row>
    <row r="551" spans="1:2">
      <c r="A551" s="112" t="s">
        <v>146</v>
      </c>
      <c r="B551" s="113" t="s">
        <v>650</v>
      </c>
    </row>
    <row r="552" spans="1:2">
      <c r="A552" s="112" t="s">
        <v>63</v>
      </c>
      <c r="B552" s="113" t="s">
        <v>648</v>
      </c>
    </row>
    <row r="553" spans="1:2">
      <c r="A553" s="112" t="s">
        <v>268</v>
      </c>
      <c r="B553" s="113" t="s">
        <v>664</v>
      </c>
    </row>
    <row r="554" spans="1:2">
      <c r="A554" s="112" t="s">
        <v>58</v>
      </c>
      <c r="B554" s="113" t="s">
        <v>597</v>
      </c>
    </row>
    <row r="555" spans="1:2">
      <c r="A555" s="112" t="s">
        <v>169</v>
      </c>
      <c r="B555" s="113" t="s">
        <v>648</v>
      </c>
    </row>
    <row r="556" spans="1:2">
      <c r="A556" s="112" t="s">
        <v>291</v>
      </c>
      <c r="B556" s="113" t="s">
        <v>608</v>
      </c>
    </row>
    <row r="557" spans="1:2">
      <c r="A557" s="112" t="s">
        <v>196</v>
      </c>
      <c r="B557" s="113" t="s">
        <v>635</v>
      </c>
    </row>
    <row r="558" spans="1:2">
      <c r="A558" s="112" t="s">
        <v>227</v>
      </c>
      <c r="B558" s="113" t="s">
        <v>667</v>
      </c>
    </row>
    <row r="559" spans="1:2">
      <c r="A559" s="112" t="s">
        <v>297</v>
      </c>
      <c r="B559" s="113" t="s">
        <v>673</v>
      </c>
    </row>
    <row r="560" spans="1:2">
      <c r="A560" s="112" t="s">
        <v>142</v>
      </c>
      <c r="B560" s="113" t="s">
        <v>624</v>
      </c>
    </row>
    <row r="561" spans="1:2">
      <c r="A561" s="112" t="s">
        <v>199</v>
      </c>
      <c r="B561" s="113" t="s">
        <v>659</v>
      </c>
    </row>
    <row r="562" spans="1:2">
      <c r="A562" s="112" t="s">
        <v>110</v>
      </c>
      <c r="B562" s="113" t="s">
        <v>638</v>
      </c>
    </row>
    <row r="563" spans="1:2">
      <c r="A563" s="112" t="s">
        <v>173</v>
      </c>
      <c r="B563" s="113" t="s">
        <v>654</v>
      </c>
    </row>
    <row r="564" spans="1:2">
      <c r="A564" s="112" t="s">
        <v>123</v>
      </c>
      <c r="B564" s="113" t="s">
        <v>642</v>
      </c>
    </row>
    <row r="565" spans="1:2">
      <c r="A565" s="112" t="s">
        <v>234</v>
      </c>
      <c r="B565" s="113" t="s">
        <v>626</v>
      </c>
    </row>
    <row r="566" spans="1:2">
      <c r="A566" s="112" t="s">
        <v>110</v>
      </c>
      <c r="B566" s="113" t="s">
        <v>619</v>
      </c>
    </row>
    <row r="567" spans="1:2">
      <c r="A567" s="112" t="s">
        <v>124</v>
      </c>
      <c r="B567" s="113" t="s">
        <v>611</v>
      </c>
    </row>
    <row r="568" spans="1:2">
      <c r="A568" s="112" t="s">
        <v>218</v>
      </c>
      <c r="B568" s="113" t="s">
        <v>647</v>
      </c>
    </row>
    <row r="569" spans="1:2">
      <c r="A569" s="112" t="s">
        <v>232</v>
      </c>
      <c r="B569" s="113" t="s">
        <v>663</v>
      </c>
    </row>
    <row r="570" spans="1:2">
      <c r="A570" s="112" t="s">
        <v>290</v>
      </c>
      <c r="B570" s="113" t="s">
        <v>630</v>
      </c>
    </row>
    <row r="571" spans="1:2">
      <c r="A571" s="112" t="s">
        <v>230</v>
      </c>
      <c r="B571" s="113" t="s">
        <v>754</v>
      </c>
    </row>
    <row r="572" spans="1:2">
      <c r="A572" s="112" t="s">
        <v>240</v>
      </c>
      <c r="B572" s="113" t="s">
        <v>621</v>
      </c>
    </row>
    <row r="573" spans="1:2">
      <c r="A573" s="112" t="s">
        <v>254</v>
      </c>
      <c r="B573" s="113" t="s">
        <v>628</v>
      </c>
    </row>
    <row r="574" spans="1:2">
      <c r="A574" s="112" t="s">
        <v>236</v>
      </c>
      <c r="B574" s="113" t="s">
        <v>626</v>
      </c>
    </row>
    <row r="575" spans="1:2">
      <c r="A575" s="112" t="s">
        <v>214</v>
      </c>
      <c r="B575" s="113" t="s">
        <v>632</v>
      </c>
    </row>
    <row r="576" spans="1:2">
      <c r="A576" s="112" t="s">
        <v>192</v>
      </c>
      <c r="B576" s="113" t="s">
        <v>618</v>
      </c>
    </row>
    <row r="577" spans="1:2">
      <c r="A577" s="112" t="s">
        <v>210</v>
      </c>
      <c r="B577" s="113" t="s">
        <v>660</v>
      </c>
    </row>
    <row r="578" spans="1:2">
      <c r="A578" s="112" t="s">
        <v>154</v>
      </c>
      <c r="B578" s="113" t="s">
        <v>624</v>
      </c>
    </row>
    <row r="579" spans="1:2">
      <c r="A579" s="112" t="s">
        <v>112</v>
      </c>
      <c r="B579" s="113" t="s">
        <v>639</v>
      </c>
    </row>
    <row r="580" spans="1:2">
      <c r="A580" s="112" t="s">
        <v>225</v>
      </c>
      <c r="B580" s="113" t="s">
        <v>665</v>
      </c>
    </row>
    <row r="581" spans="1:2">
      <c r="A581" s="112" t="s">
        <v>255</v>
      </c>
      <c r="B581" s="113" t="s">
        <v>669</v>
      </c>
    </row>
    <row r="582" spans="1:2">
      <c r="A582" s="112" t="s">
        <v>287</v>
      </c>
      <c r="B582" s="113" t="s">
        <v>672</v>
      </c>
    </row>
    <row r="583" spans="1:2">
      <c r="A583" s="112" t="s">
        <v>230</v>
      </c>
      <c r="B583" s="113" t="s">
        <v>622</v>
      </c>
    </row>
    <row r="584" spans="1:2">
      <c r="A584" s="112" t="s">
        <v>139</v>
      </c>
      <c r="B584" s="113" t="s">
        <v>686</v>
      </c>
    </row>
    <row r="585" spans="1:2">
      <c r="A585" s="112" t="s">
        <v>200</v>
      </c>
      <c r="B585" s="113" t="s">
        <v>658</v>
      </c>
    </row>
    <row r="586" spans="1:2">
      <c r="A586" s="112" t="s">
        <v>102</v>
      </c>
      <c r="B586" s="113" t="s">
        <v>631</v>
      </c>
    </row>
    <row r="587" spans="1:2">
      <c r="A587" s="112" t="s">
        <v>216</v>
      </c>
      <c r="B587" s="113" t="s">
        <v>611</v>
      </c>
    </row>
    <row r="588" spans="1:2">
      <c r="A588" s="112" t="s">
        <v>83</v>
      </c>
      <c r="B588" s="113" t="s">
        <v>618</v>
      </c>
    </row>
    <row r="589" spans="1:2">
      <c r="A589" s="112" t="s">
        <v>120</v>
      </c>
      <c r="B589" s="113" t="s">
        <v>617</v>
      </c>
    </row>
    <row r="590" spans="1:2">
      <c r="A590" s="112" t="s">
        <v>590</v>
      </c>
      <c r="B590" s="113" t="s">
        <v>708</v>
      </c>
    </row>
    <row r="591" spans="1:2">
      <c r="A591" s="112" t="s">
        <v>283</v>
      </c>
      <c r="B591" s="113" t="s">
        <v>620</v>
      </c>
    </row>
    <row r="592" spans="1:2">
      <c r="A592" s="112" t="s">
        <v>245</v>
      </c>
      <c r="B592" s="113" t="s">
        <v>626</v>
      </c>
    </row>
    <row r="593" spans="1:2">
      <c r="A593" s="112" t="s">
        <v>280</v>
      </c>
      <c r="B593" s="113" t="s">
        <v>620</v>
      </c>
    </row>
    <row r="594" spans="1:2">
      <c r="A594" s="112" t="s">
        <v>259</v>
      </c>
      <c r="B594" s="113" t="s">
        <v>628</v>
      </c>
    </row>
    <row r="595" spans="1:2">
      <c r="A595" s="112" t="s">
        <v>695</v>
      </c>
      <c r="B595" s="113" t="s">
        <v>629</v>
      </c>
    </row>
    <row r="596" spans="1:2">
      <c r="A596" s="112" t="s">
        <v>233</v>
      </c>
      <c r="B596" s="113" t="s">
        <v>620</v>
      </c>
    </row>
    <row r="597" spans="1:2">
      <c r="A597" s="112" t="s">
        <v>55</v>
      </c>
      <c r="B597" s="113" t="s">
        <v>616</v>
      </c>
    </row>
    <row r="598" spans="1:2">
      <c r="A598" s="112" t="s">
        <v>60</v>
      </c>
      <c r="B598" s="113" t="s">
        <v>742</v>
      </c>
    </row>
    <row r="599" spans="1:2">
      <c r="A599" s="112" t="s">
        <v>711</v>
      </c>
      <c r="B599" s="113" t="s">
        <v>628</v>
      </c>
    </row>
    <row r="600" spans="1:2">
      <c r="A600" s="112" t="s">
        <v>682</v>
      </c>
      <c r="B600" s="113" t="s">
        <v>612</v>
      </c>
    </row>
    <row r="601" spans="1:2">
      <c r="A601" s="112" t="s">
        <v>755</v>
      </c>
      <c r="B601" s="113" t="s">
        <v>742</v>
      </c>
    </row>
    <row r="602" spans="1:2">
      <c r="A602" s="112" t="s">
        <v>60</v>
      </c>
      <c r="B602" s="113" t="s">
        <v>630</v>
      </c>
    </row>
    <row r="603" spans="1:2">
      <c r="A603" s="112" t="s">
        <v>91</v>
      </c>
      <c r="B603" s="113" t="s">
        <v>628</v>
      </c>
    </row>
    <row r="604" spans="1:2">
      <c r="A604" s="112" t="s">
        <v>307</v>
      </c>
      <c r="B604" s="113" t="s">
        <v>660</v>
      </c>
    </row>
    <row r="605" spans="1:2">
      <c r="A605" s="112" t="s">
        <v>123</v>
      </c>
      <c r="B605" s="113" t="s">
        <v>661</v>
      </c>
    </row>
    <row r="606" spans="1:2">
      <c r="A606" s="112" t="s">
        <v>288</v>
      </c>
      <c r="B606" s="113" t="s">
        <v>611</v>
      </c>
    </row>
    <row r="607" spans="1:2">
      <c r="A607" s="112" t="s">
        <v>149</v>
      </c>
      <c r="B607" s="113" t="s">
        <v>637</v>
      </c>
    </row>
    <row r="608" spans="1:2">
      <c r="A608" s="112" t="s">
        <v>203</v>
      </c>
      <c r="B608" s="113" t="s">
        <v>669</v>
      </c>
    </row>
    <row r="609" spans="1:2">
      <c r="A609" s="112" t="s">
        <v>241</v>
      </c>
      <c r="B609" s="113" t="s">
        <v>629</v>
      </c>
    </row>
    <row r="610" spans="1:2">
      <c r="A610" s="112" t="s">
        <v>258</v>
      </c>
      <c r="B610" s="113" t="s">
        <v>628</v>
      </c>
    </row>
    <row r="611" spans="1:2">
      <c r="A611" s="112" t="s">
        <v>247</v>
      </c>
      <c r="B611" s="113" t="s">
        <v>628</v>
      </c>
    </row>
    <row r="612" spans="1:2">
      <c r="A612" s="112" t="s">
        <v>108</v>
      </c>
      <c r="B612" s="113" t="s">
        <v>619</v>
      </c>
    </row>
    <row r="613" spans="1:2">
      <c r="A613" s="112" t="s">
        <v>239</v>
      </c>
      <c r="B613" s="113" t="s">
        <v>626</v>
      </c>
    </row>
    <row r="614" spans="1:2">
      <c r="A614" s="112" t="s">
        <v>118</v>
      </c>
      <c r="B614" s="113" t="s">
        <v>619</v>
      </c>
    </row>
    <row r="615" spans="1:2">
      <c r="A615" s="112" t="s">
        <v>254</v>
      </c>
      <c r="B615" s="113" t="s">
        <v>669</v>
      </c>
    </row>
    <row r="616" spans="1:2">
      <c r="A616" s="112" t="s">
        <v>150</v>
      </c>
      <c r="B616" s="113" t="s">
        <v>624</v>
      </c>
    </row>
    <row r="617" spans="1:2">
      <c r="A617" s="112" t="s">
        <v>106</v>
      </c>
      <c r="B617" s="113" t="s">
        <v>597</v>
      </c>
    </row>
    <row r="618" spans="1:2">
      <c r="A618" s="112" t="s">
        <v>137</v>
      </c>
      <c r="B618" s="113" t="s">
        <v>617</v>
      </c>
    </row>
    <row r="619" spans="1:2">
      <c r="A619" s="112" t="s">
        <v>212</v>
      </c>
      <c r="B619" s="113" t="s">
        <v>660</v>
      </c>
    </row>
    <row r="620" spans="1:2">
      <c r="A620" s="112" t="s">
        <v>101</v>
      </c>
      <c r="B620" s="113" t="s">
        <v>625</v>
      </c>
    </row>
    <row r="621" spans="1:2">
      <c r="A621" s="112" t="s">
        <v>718</v>
      </c>
      <c r="B621" s="113" t="s">
        <v>660</v>
      </c>
    </row>
    <row r="622" spans="1:2">
      <c r="A622" s="112" t="s">
        <v>756</v>
      </c>
      <c r="B622" s="113" t="s">
        <v>632</v>
      </c>
    </row>
    <row r="623" spans="1:2">
      <c r="A623" s="112" t="s">
        <v>756</v>
      </c>
      <c r="B623" s="113" t="s">
        <v>613</v>
      </c>
    </row>
    <row r="624" spans="1:2">
      <c r="A624" s="112" t="s">
        <v>95</v>
      </c>
      <c r="B624" s="113" t="s">
        <v>619</v>
      </c>
    </row>
    <row r="625" spans="1:2">
      <c r="A625" s="112" t="s">
        <v>757</v>
      </c>
      <c r="B625" s="113" t="s">
        <v>619</v>
      </c>
    </row>
    <row r="626" spans="1:2">
      <c r="A626" s="112" t="s">
        <v>758</v>
      </c>
      <c r="B626" s="113" t="s">
        <v>623</v>
      </c>
    </row>
    <row r="627" spans="1:2">
      <c r="A627" s="112" t="s">
        <v>759</v>
      </c>
      <c r="B627" s="113" t="s">
        <v>628</v>
      </c>
    </row>
    <row r="628" spans="1:2">
      <c r="A628" s="112" t="s">
        <v>716</v>
      </c>
      <c r="B628" s="113" t="s">
        <v>624</v>
      </c>
    </row>
    <row r="629" spans="1:2">
      <c r="A629" s="112" t="s">
        <v>760</v>
      </c>
      <c r="B629" s="113" t="s">
        <v>624</v>
      </c>
    </row>
    <row r="630" spans="1:2">
      <c r="A630" s="112" t="s">
        <v>761</v>
      </c>
      <c r="B630" s="113" t="s">
        <v>631</v>
      </c>
    </row>
    <row r="631" spans="1:2">
      <c r="A631" s="112" t="s">
        <v>762</v>
      </c>
      <c r="B631" s="113" t="s">
        <v>623</v>
      </c>
    </row>
    <row r="632" spans="1:2">
      <c r="A632" s="112" t="s">
        <v>763</v>
      </c>
      <c r="B632" s="113" t="s">
        <v>623</v>
      </c>
    </row>
    <row r="633" spans="1:2">
      <c r="A633" s="112" t="s">
        <v>83</v>
      </c>
      <c r="B633" s="113" t="s">
        <v>663</v>
      </c>
    </row>
    <row r="634" spans="1:2">
      <c r="A634" s="112" t="s">
        <v>174</v>
      </c>
      <c r="B634" s="113" t="s">
        <v>764</v>
      </c>
    </row>
    <row r="635" spans="1:2">
      <c r="A635" s="112" t="s">
        <v>765</v>
      </c>
      <c r="B635" s="113" t="s">
        <v>647</v>
      </c>
    </row>
    <row r="636" spans="1:2">
      <c r="A636" s="112" t="s">
        <v>256</v>
      </c>
      <c r="B636" s="113" t="s">
        <v>626</v>
      </c>
    </row>
    <row r="637" spans="1:2">
      <c r="A637" s="112" t="s">
        <v>55</v>
      </c>
      <c r="B637" s="113" t="s">
        <v>645</v>
      </c>
    </row>
    <row r="638" spans="1:2">
      <c r="A638" s="112" t="s">
        <v>245</v>
      </c>
      <c r="B638" s="113" t="s">
        <v>550</v>
      </c>
    </row>
    <row r="639" spans="1:2">
      <c r="A639" s="112" t="s">
        <v>766</v>
      </c>
      <c r="B639" s="113" t="s">
        <v>617</v>
      </c>
    </row>
    <row r="640" spans="1:2">
      <c r="A640" s="112" t="s">
        <v>767</v>
      </c>
      <c r="B640" s="113" t="s">
        <v>624</v>
      </c>
    </row>
    <row r="641" spans="1:2">
      <c r="A641" s="112" t="s">
        <v>243</v>
      </c>
      <c r="B641" s="113" t="s">
        <v>632</v>
      </c>
    </row>
    <row r="642" spans="1:2">
      <c r="A642" s="112" t="s">
        <v>256</v>
      </c>
      <c r="B642" s="113" t="s">
        <v>708</v>
      </c>
    </row>
    <row r="643" spans="1:2">
      <c r="A643" s="112" t="s">
        <v>86</v>
      </c>
      <c r="B643" s="113" t="s">
        <v>663</v>
      </c>
    </row>
    <row r="644" spans="1:2">
      <c r="A644" s="112" t="s">
        <v>195</v>
      </c>
      <c r="B644" s="113" t="s">
        <v>632</v>
      </c>
    </row>
    <row r="645" spans="1:2">
      <c r="A645" s="112" t="s">
        <v>145</v>
      </c>
      <c r="B645" s="113" t="s">
        <v>649</v>
      </c>
    </row>
    <row r="646" spans="1:2">
      <c r="A646" s="112" t="s">
        <v>193</v>
      </c>
      <c r="B646" s="113" t="s">
        <v>610</v>
      </c>
    </row>
    <row r="647" spans="1:2">
      <c r="A647" s="112" t="s">
        <v>153</v>
      </c>
      <c r="B647" s="113" t="s">
        <v>653</v>
      </c>
    </row>
    <row r="648" spans="1:2">
      <c r="A648" s="112" t="s">
        <v>768</v>
      </c>
      <c r="B648" s="113" t="s">
        <v>619</v>
      </c>
    </row>
    <row r="649" spans="1:2">
      <c r="A649" s="112" t="s">
        <v>769</v>
      </c>
      <c r="B649" s="113" t="s">
        <v>622</v>
      </c>
    </row>
    <row r="650" spans="1:2">
      <c r="A650" s="112" t="s">
        <v>770</v>
      </c>
      <c r="B650" s="113" t="s">
        <v>660</v>
      </c>
    </row>
    <row r="651" spans="1:2">
      <c r="A651" s="112" t="s">
        <v>771</v>
      </c>
      <c r="B651" s="113" t="s">
        <v>660</v>
      </c>
    </row>
    <row r="652" spans="1:2">
      <c r="A652" s="112" t="s">
        <v>249</v>
      </c>
      <c r="B652" s="113" t="s">
        <v>632</v>
      </c>
    </row>
    <row r="653" spans="1:2">
      <c r="A653" s="112" t="s">
        <v>184</v>
      </c>
      <c r="B653" s="113" t="s">
        <v>618</v>
      </c>
    </row>
    <row r="654" spans="1:2">
      <c r="A654" s="112" t="s">
        <v>147</v>
      </c>
      <c r="B654" s="113" t="s">
        <v>647</v>
      </c>
    </row>
    <row r="655" spans="1:2">
      <c r="A655" s="112" t="s">
        <v>91</v>
      </c>
      <c r="B655" s="113" t="s">
        <v>618</v>
      </c>
    </row>
    <row r="656" spans="1:2">
      <c r="A656" s="112" t="s">
        <v>246</v>
      </c>
      <c r="B656" s="113" t="s">
        <v>612</v>
      </c>
    </row>
    <row r="657" spans="1:2">
      <c r="A657" s="112" t="s">
        <v>224</v>
      </c>
      <c r="B657" s="113" t="s">
        <v>624</v>
      </c>
    </row>
    <row r="658" spans="1:2">
      <c r="A658" s="112" t="s">
        <v>276</v>
      </c>
      <c r="B658" s="113" t="s">
        <v>643</v>
      </c>
    </row>
    <row r="659" spans="1:2">
      <c r="A659" s="112" t="s">
        <v>239</v>
      </c>
      <c r="B659" s="113" t="s">
        <v>629</v>
      </c>
    </row>
    <row r="660" spans="1:2">
      <c r="A660" s="112" t="s">
        <v>772</v>
      </c>
      <c r="B660" s="113" t="s">
        <v>624</v>
      </c>
    </row>
    <row r="661" spans="1:2">
      <c r="A661" s="112" t="s">
        <v>231</v>
      </c>
      <c r="B661" s="113" t="s">
        <v>626</v>
      </c>
    </row>
    <row r="662" spans="1:2">
      <c r="A662" s="112" t="s">
        <v>721</v>
      </c>
      <c r="B662" s="113" t="s">
        <v>598</v>
      </c>
    </row>
    <row r="663" spans="1:2">
      <c r="A663" s="112" t="s">
        <v>78</v>
      </c>
      <c r="B663" s="113" t="s">
        <v>622</v>
      </c>
    </row>
    <row r="664" spans="1:2">
      <c r="A664" s="112" t="s">
        <v>199</v>
      </c>
      <c r="B664" s="113" t="s">
        <v>618</v>
      </c>
    </row>
    <row r="665" spans="1:2">
      <c r="A665" s="112" t="s">
        <v>178</v>
      </c>
      <c r="B665" s="113" t="s">
        <v>671</v>
      </c>
    </row>
    <row r="666" spans="1:2">
      <c r="A666" s="112" t="s">
        <v>217</v>
      </c>
      <c r="B666" s="113" t="s">
        <v>666</v>
      </c>
    </row>
    <row r="667" spans="1:2">
      <c r="A667" s="112" t="s">
        <v>226</v>
      </c>
      <c r="B667" s="113" t="s">
        <v>668</v>
      </c>
    </row>
    <row r="668" spans="1:2">
      <c r="A668" s="112" t="s">
        <v>265</v>
      </c>
      <c r="B668" s="113" t="s">
        <v>664</v>
      </c>
    </row>
    <row r="669" spans="1:2">
      <c r="A669" s="112" t="s">
        <v>271</v>
      </c>
      <c r="B669" s="113" t="s">
        <v>708</v>
      </c>
    </row>
    <row r="670" spans="1:2">
      <c r="A670" s="112" t="s">
        <v>110</v>
      </c>
      <c r="B670" s="113" t="s">
        <v>693</v>
      </c>
    </row>
    <row r="671" spans="1:2">
      <c r="A671" s="112" t="s">
        <v>89</v>
      </c>
      <c r="B671" s="113" t="s">
        <v>635</v>
      </c>
    </row>
    <row r="672" spans="1:2">
      <c r="A672" s="112" t="s">
        <v>110</v>
      </c>
      <c r="B672" s="113" t="s">
        <v>599</v>
      </c>
    </row>
    <row r="673" spans="1:2">
      <c r="A673" s="112" t="s">
        <v>119</v>
      </c>
      <c r="B673" s="113" t="s">
        <v>655</v>
      </c>
    </row>
    <row r="674" spans="1:2">
      <c r="A674" s="112" t="s">
        <v>125</v>
      </c>
      <c r="B674" s="113" t="s">
        <v>632</v>
      </c>
    </row>
    <row r="675" spans="1:2">
      <c r="A675" s="112" t="s">
        <v>773</v>
      </c>
      <c r="B675" s="113" t="s">
        <v>612</v>
      </c>
    </row>
    <row r="676" spans="1:2">
      <c r="A676" s="112" t="s">
        <v>260</v>
      </c>
      <c r="B676" s="113" t="s">
        <v>626</v>
      </c>
    </row>
    <row r="677" spans="1:2">
      <c r="A677" s="112" t="s">
        <v>161</v>
      </c>
      <c r="B677" s="113" t="s">
        <v>671</v>
      </c>
    </row>
    <row r="678" spans="1:2">
      <c r="A678" s="112" t="s">
        <v>160</v>
      </c>
      <c r="B678" s="113" t="s">
        <v>693</v>
      </c>
    </row>
    <row r="679" spans="1:2">
      <c r="A679" s="112" t="s">
        <v>228</v>
      </c>
      <c r="B679" s="113" t="s">
        <v>630</v>
      </c>
    </row>
    <row r="680" spans="1:2">
      <c r="A680" s="112" t="s">
        <v>231</v>
      </c>
      <c r="B680" s="113" t="s">
        <v>631</v>
      </c>
    </row>
    <row r="681" spans="1:2">
      <c r="A681" s="112" t="s">
        <v>107</v>
      </c>
      <c r="B681" s="113" t="s">
        <v>617</v>
      </c>
    </row>
    <row r="682" spans="1:2">
      <c r="A682" s="112" t="s">
        <v>115</v>
      </c>
      <c r="B682" s="113" t="s">
        <v>626</v>
      </c>
    </row>
    <row r="683" spans="1:2">
      <c r="A683" s="112" t="s">
        <v>116</v>
      </c>
      <c r="B683" s="113" t="s">
        <v>668</v>
      </c>
    </row>
    <row r="684" spans="1:2">
      <c r="A684" s="112" t="s">
        <v>117</v>
      </c>
      <c r="B684" s="113" t="s">
        <v>620</v>
      </c>
    </row>
    <row r="685" spans="1:2">
      <c r="A685" s="112" t="s">
        <v>97</v>
      </c>
      <c r="B685" s="113" t="s">
        <v>607</v>
      </c>
    </row>
    <row r="686" spans="1:2">
      <c r="A686" s="112" t="s">
        <v>101</v>
      </c>
      <c r="B686" s="113" t="s">
        <v>609</v>
      </c>
    </row>
    <row r="687" spans="1:2">
      <c r="A687" s="112" t="s">
        <v>271</v>
      </c>
      <c r="B687" s="113" t="s">
        <v>668</v>
      </c>
    </row>
    <row r="688" spans="1:2">
      <c r="A688" s="112" t="s">
        <v>97</v>
      </c>
      <c r="B688" s="113" t="s">
        <v>609</v>
      </c>
    </row>
    <row r="689" spans="1:2">
      <c r="A689" s="112" t="s">
        <v>81</v>
      </c>
      <c r="B689" s="113" t="s">
        <v>597</v>
      </c>
    </row>
    <row r="690" spans="1:2">
      <c r="A690" s="112" t="s">
        <v>63</v>
      </c>
      <c r="B690" s="113" t="s">
        <v>666</v>
      </c>
    </row>
    <row r="691" spans="1:2">
      <c r="A691" s="112" t="s">
        <v>57</v>
      </c>
      <c r="B691" s="113" t="s">
        <v>631</v>
      </c>
    </row>
    <row r="692" spans="1:2">
      <c r="A692" s="112" t="s">
        <v>226</v>
      </c>
      <c r="B692" s="113" t="s">
        <v>708</v>
      </c>
    </row>
    <row r="693" spans="1:2">
      <c r="A693" s="112" t="s">
        <v>774</v>
      </c>
      <c r="B693" s="113" t="s">
        <v>661</v>
      </c>
    </row>
    <row r="694" spans="1:2">
      <c r="A694" s="112" t="s">
        <v>97</v>
      </c>
      <c r="B694" s="113" t="s">
        <v>616</v>
      </c>
    </row>
    <row r="695" spans="1:2">
      <c r="A695" s="112" t="s">
        <v>694</v>
      </c>
      <c r="B695" s="113" t="s">
        <v>673</v>
      </c>
    </row>
    <row r="696" spans="1:2">
      <c r="A696" s="112" t="s">
        <v>69</v>
      </c>
      <c r="B696" s="113" t="s">
        <v>632</v>
      </c>
    </row>
    <row r="697" spans="1:2">
      <c r="A697" s="112" t="s">
        <v>691</v>
      </c>
      <c r="B697" s="113" t="s">
        <v>631</v>
      </c>
    </row>
    <row r="698" spans="1:2">
      <c r="A698" s="112" t="s">
        <v>101</v>
      </c>
      <c r="B698" s="113" t="s">
        <v>668</v>
      </c>
    </row>
    <row r="699" spans="1:2">
      <c r="A699" s="112" t="s">
        <v>120</v>
      </c>
      <c r="B699" s="113" t="s">
        <v>642</v>
      </c>
    </row>
    <row r="700" spans="1:2">
      <c r="A700" s="112" t="s">
        <v>121</v>
      </c>
      <c r="B700" s="113" t="s">
        <v>669</v>
      </c>
    </row>
    <row r="701" spans="1:2">
      <c r="A701" s="112" t="s">
        <v>738</v>
      </c>
      <c r="B701" s="113" t="s">
        <v>664</v>
      </c>
    </row>
    <row r="702" spans="1:2">
      <c r="A702" s="112" t="s">
        <v>161</v>
      </c>
      <c r="B702" s="113" t="s">
        <v>638</v>
      </c>
    </row>
    <row r="703" spans="1:2">
      <c r="A703" s="112" t="s">
        <v>775</v>
      </c>
      <c r="B703" s="113" t="s">
        <v>753</v>
      </c>
    </row>
    <row r="704" spans="1:2">
      <c r="A704" s="112" t="s">
        <v>217</v>
      </c>
      <c r="B704" s="113" t="s">
        <v>635</v>
      </c>
    </row>
    <row r="705" spans="1:2">
      <c r="A705" s="112" t="s">
        <v>228</v>
      </c>
      <c r="B705" s="113" t="s">
        <v>602</v>
      </c>
    </row>
    <row r="706" spans="1:2">
      <c r="A706" s="112" t="s">
        <v>266</v>
      </c>
      <c r="B706" s="113" t="s">
        <v>623</v>
      </c>
    </row>
    <row r="707" spans="1:2">
      <c r="A707" s="112" t="s">
        <v>267</v>
      </c>
      <c r="B707" s="113" t="s">
        <v>632</v>
      </c>
    </row>
    <row r="708" spans="1:2">
      <c r="A708" s="112" t="s">
        <v>285</v>
      </c>
      <c r="B708" s="113" t="s">
        <v>622</v>
      </c>
    </row>
    <row r="709" spans="1:2">
      <c r="A709" s="112" t="s">
        <v>776</v>
      </c>
      <c r="B709" s="113" t="s">
        <v>708</v>
      </c>
    </row>
    <row r="710" spans="1:2">
      <c r="A710" s="112" t="s">
        <v>159</v>
      </c>
      <c r="B710" s="113" t="s">
        <v>598</v>
      </c>
    </row>
    <row r="711" spans="1:2">
      <c r="A711" s="112" t="s">
        <v>160</v>
      </c>
      <c r="B711" s="113" t="s">
        <v>654</v>
      </c>
    </row>
    <row r="712" spans="1:2">
      <c r="A712" s="112" t="s">
        <v>226</v>
      </c>
      <c r="B712" s="113" t="s">
        <v>621</v>
      </c>
    </row>
    <row r="713" spans="1:2">
      <c r="A713" s="112" t="s">
        <v>217</v>
      </c>
      <c r="B713" s="113" t="s">
        <v>647</v>
      </c>
    </row>
    <row r="714" spans="1:2">
      <c r="A714" s="112" t="s">
        <v>53</v>
      </c>
      <c r="B714" s="113" t="s">
        <v>550</v>
      </c>
    </row>
    <row r="715" spans="1:2">
      <c r="A715" s="112" t="s">
        <v>228</v>
      </c>
      <c r="B715" s="113" t="s">
        <v>627</v>
      </c>
    </row>
    <row r="716" spans="1:2">
      <c r="A716" s="112" t="s">
        <v>777</v>
      </c>
      <c r="B716" s="113" t="s">
        <v>637</v>
      </c>
    </row>
    <row r="717" spans="1:2">
      <c r="A717" s="112" t="s">
        <v>161</v>
      </c>
      <c r="B717" s="113" t="s">
        <v>666</v>
      </c>
    </row>
    <row r="718" spans="1:2">
      <c r="A718" s="112" t="s">
        <v>226</v>
      </c>
      <c r="B718" s="113" t="s">
        <v>688</v>
      </c>
    </row>
    <row r="719" spans="1:2">
      <c r="A719" s="112" t="s">
        <v>772</v>
      </c>
      <c r="B719" s="113" t="s">
        <v>647</v>
      </c>
    </row>
    <row r="720" spans="1:2">
      <c r="A720" s="112" t="s">
        <v>269</v>
      </c>
      <c r="B720" s="113" t="s">
        <v>624</v>
      </c>
    </row>
    <row r="721" spans="1:2">
      <c r="A721" s="112" t="s">
        <v>96</v>
      </c>
      <c r="B721" s="113" t="s">
        <v>631</v>
      </c>
    </row>
    <row r="722" spans="1:2">
      <c r="A722" s="112" t="s">
        <v>217</v>
      </c>
      <c r="B722" s="113" t="s">
        <v>631</v>
      </c>
    </row>
    <row r="723" spans="1:2">
      <c r="A723" s="112" t="s">
        <v>245</v>
      </c>
      <c r="B723" s="113" t="s">
        <v>663</v>
      </c>
    </row>
    <row r="724" spans="1:2">
      <c r="A724" s="112" t="s">
        <v>121</v>
      </c>
      <c r="B724" s="113" t="s">
        <v>732</v>
      </c>
    </row>
    <row r="725" spans="1:2">
      <c r="A725" s="112" t="s">
        <v>739</v>
      </c>
      <c r="B725" s="113" t="s">
        <v>728</v>
      </c>
    </row>
    <row r="726" spans="1:2">
      <c r="A726" s="112" t="s">
        <v>83</v>
      </c>
      <c r="B726" s="113" t="s">
        <v>631</v>
      </c>
    </row>
    <row r="727" spans="1:2">
      <c r="A727" s="112" t="s">
        <v>265</v>
      </c>
      <c r="B727" s="113" t="s">
        <v>666</v>
      </c>
    </row>
    <row r="728" spans="1:2">
      <c r="A728" s="112" t="s">
        <v>778</v>
      </c>
      <c r="B728" s="113" t="s">
        <v>632</v>
      </c>
    </row>
    <row r="729" spans="1:2">
      <c r="A729" s="112" t="s">
        <v>178</v>
      </c>
      <c r="B729" s="113" t="s">
        <v>732</v>
      </c>
    </row>
    <row r="730" spans="1:2">
      <c r="A730" s="112" t="s">
        <v>91</v>
      </c>
      <c r="B730" s="113" t="s">
        <v>600</v>
      </c>
    </row>
    <row r="731" spans="1:2">
      <c r="A731" s="112" t="s">
        <v>185</v>
      </c>
      <c r="B731" s="113" t="s">
        <v>670</v>
      </c>
    </row>
    <row r="732" spans="1:2">
      <c r="A732" s="112" t="s">
        <v>247</v>
      </c>
      <c r="B732" s="113" t="s">
        <v>621</v>
      </c>
    </row>
    <row r="733" spans="1:2">
      <c r="A733" s="112" t="s">
        <v>256</v>
      </c>
      <c r="B733" s="113" t="s">
        <v>671</v>
      </c>
    </row>
    <row r="734" spans="1:2">
      <c r="A734" s="112" t="s">
        <v>289</v>
      </c>
      <c r="B734" s="113" t="s">
        <v>657</v>
      </c>
    </row>
    <row r="735" spans="1:2">
      <c r="A735" s="112" t="s">
        <v>188</v>
      </c>
      <c r="B735" s="113" t="s">
        <v>612</v>
      </c>
    </row>
    <row r="736" spans="1:2">
      <c r="A736" s="112" t="s">
        <v>246</v>
      </c>
      <c r="B736" s="113" t="s">
        <v>735</v>
      </c>
    </row>
    <row r="737" spans="1:2">
      <c r="A737" s="112" t="s">
        <v>221</v>
      </c>
      <c r="B737" s="113" t="s">
        <v>697</v>
      </c>
    </row>
    <row r="738" spans="1:2">
      <c r="A738" s="112" t="s">
        <v>231</v>
      </c>
      <c r="B738" s="113" t="s">
        <v>619</v>
      </c>
    </row>
    <row r="739" spans="1:2">
      <c r="A739" s="112" t="s">
        <v>161</v>
      </c>
      <c r="B739" s="113" t="s">
        <v>632</v>
      </c>
    </row>
    <row r="740" spans="1:2">
      <c r="A740" s="112" t="s">
        <v>755</v>
      </c>
      <c r="B740" s="113" t="s">
        <v>630</v>
      </c>
    </row>
    <row r="741" spans="1:2">
      <c r="A741" s="112" t="s">
        <v>66</v>
      </c>
      <c r="B741" s="113" t="s">
        <v>612</v>
      </c>
    </row>
    <row r="742" spans="1:2">
      <c r="A742" s="112" t="s">
        <v>292</v>
      </c>
      <c r="B742" s="113" t="s">
        <v>607</v>
      </c>
    </row>
    <row r="743" spans="1:2">
      <c r="A743" s="112" t="s">
        <v>221</v>
      </c>
      <c r="B743" s="113" t="s">
        <v>650</v>
      </c>
    </row>
    <row r="744" spans="1:2">
      <c r="A744" s="112" t="s">
        <v>292</v>
      </c>
      <c r="B744" s="113" t="s">
        <v>609</v>
      </c>
    </row>
    <row r="745" spans="1:2">
      <c r="A745" s="112" t="s">
        <v>84</v>
      </c>
      <c r="B745" s="113" t="s">
        <v>596</v>
      </c>
    </row>
    <row r="746" spans="1:2">
      <c r="A746" s="112" t="s">
        <v>104</v>
      </c>
      <c r="B746" s="113" t="s">
        <v>676</v>
      </c>
    </row>
    <row r="747" spans="1:2">
      <c r="A747" s="112" t="s">
        <v>108</v>
      </c>
      <c r="B747" s="113" t="s">
        <v>647</v>
      </c>
    </row>
    <row r="748" spans="1:2">
      <c r="A748" s="112" t="s">
        <v>246</v>
      </c>
      <c r="B748" s="113" t="s">
        <v>626</v>
      </c>
    </row>
    <row r="749" spans="1:2">
      <c r="A749" s="112" t="s">
        <v>107</v>
      </c>
      <c r="B749" s="113" t="s">
        <v>616</v>
      </c>
    </row>
    <row r="750" spans="1:2">
      <c r="A750" s="112" t="s">
        <v>247</v>
      </c>
      <c r="B750" s="113" t="s">
        <v>634</v>
      </c>
    </row>
    <row r="751" spans="1:2">
      <c r="A751" s="112" t="s">
        <v>301</v>
      </c>
      <c r="B751" s="113" t="s">
        <v>673</v>
      </c>
    </row>
    <row r="752" spans="1:2">
      <c r="A752" s="112" t="s">
        <v>104</v>
      </c>
      <c r="B752" s="113" t="s">
        <v>619</v>
      </c>
    </row>
    <row r="753" spans="1:2">
      <c r="A753" s="112" t="s">
        <v>160</v>
      </c>
      <c r="B753" s="113" t="s">
        <v>643</v>
      </c>
    </row>
    <row r="754" spans="1:2">
      <c r="A754" s="112" t="s">
        <v>261</v>
      </c>
      <c r="B754" s="113" t="s">
        <v>623</v>
      </c>
    </row>
    <row r="755" spans="1:2">
      <c r="A755" s="112" t="s">
        <v>74</v>
      </c>
      <c r="B755" s="113" t="s">
        <v>617</v>
      </c>
    </row>
    <row r="756" spans="1:2">
      <c r="A756" s="112" t="s">
        <v>104</v>
      </c>
      <c r="B756" s="113" t="s">
        <v>601</v>
      </c>
    </row>
    <row r="757" spans="1:2">
      <c r="A757" s="112" t="s">
        <v>114</v>
      </c>
      <c r="B757" s="113" t="s">
        <v>619</v>
      </c>
    </row>
    <row r="758" spans="1:2">
      <c r="A758" s="112" t="s">
        <v>113</v>
      </c>
      <c r="B758" s="113" t="s">
        <v>601</v>
      </c>
    </row>
    <row r="759" spans="1:2">
      <c r="A759" s="112" t="s">
        <v>114</v>
      </c>
      <c r="B759" s="113" t="s">
        <v>660</v>
      </c>
    </row>
    <row r="760" spans="1:2">
      <c r="A760" s="112" t="s">
        <v>125</v>
      </c>
      <c r="B760" s="113" t="s">
        <v>623</v>
      </c>
    </row>
    <row r="761" spans="1:2">
      <c r="A761" s="112" t="s">
        <v>65</v>
      </c>
      <c r="B761" s="113" t="s">
        <v>622</v>
      </c>
    </row>
    <row r="762" spans="1:2">
      <c r="A762" s="112" t="s">
        <v>221</v>
      </c>
      <c r="B762" s="113" t="s">
        <v>683</v>
      </c>
    </row>
    <row r="763" spans="1:2">
      <c r="A763" s="112" t="s">
        <v>230</v>
      </c>
      <c r="B763" s="113" t="s">
        <v>634</v>
      </c>
    </row>
    <row r="764" spans="1:2">
      <c r="A764" s="112" t="s">
        <v>233</v>
      </c>
      <c r="B764" s="113" t="s">
        <v>672</v>
      </c>
    </row>
    <row r="765" spans="1:2">
      <c r="A765" s="112" t="s">
        <v>722</v>
      </c>
      <c r="B765" s="113" t="s">
        <v>661</v>
      </c>
    </row>
    <row r="766" spans="1:2">
      <c r="A766" s="112" t="s">
        <v>248</v>
      </c>
      <c r="B766" s="113" t="s">
        <v>620</v>
      </c>
    </row>
    <row r="767" spans="1:2">
      <c r="A767" s="112" t="s">
        <v>95</v>
      </c>
      <c r="B767" s="113" t="s">
        <v>632</v>
      </c>
    </row>
    <row r="768" spans="1:2">
      <c r="A768" s="112" t="s">
        <v>749</v>
      </c>
      <c r="B768" s="113" t="s">
        <v>742</v>
      </c>
    </row>
    <row r="769" spans="1:2">
      <c r="A769" s="112" t="s">
        <v>722</v>
      </c>
      <c r="B769" s="113" t="s">
        <v>599</v>
      </c>
    </row>
    <row r="770" spans="1:2">
      <c r="A770" s="112" t="s">
        <v>265</v>
      </c>
      <c r="B770" s="113" t="s">
        <v>601</v>
      </c>
    </row>
    <row r="771" spans="1:2">
      <c r="A771" s="112" t="s">
        <v>267</v>
      </c>
      <c r="B771" s="113" t="s">
        <v>779</v>
      </c>
    </row>
    <row r="772" spans="1:2">
      <c r="A772" s="112" t="s">
        <v>53</v>
      </c>
      <c r="B772" s="113" t="s">
        <v>609</v>
      </c>
    </row>
    <row r="773" spans="1:2">
      <c r="A773" s="112" t="s">
        <v>266</v>
      </c>
      <c r="B773" s="113" t="s">
        <v>621</v>
      </c>
    </row>
    <row r="774" spans="1:2">
      <c r="A774" s="112" t="s">
        <v>197</v>
      </c>
      <c r="B774" s="113" t="s">
        <v>630</v>
      </c>
    </row>
    <row r="775" spans="1:2">
      <c r="A775" s="112" t="s">
        <v>198</v>
      </c>
      <c r="B775" s="113" t="s">
        <v>622</v>
      </c>
    </row>
    <row r="776" spans="1:2">
      <c r="A776" s="112" t="s">
        <v>69</v>
      </c>
      <c r="B776" s="113" t="s">
        <v>631</v>
      </c>
    </row>
    <row r="777" spans="1:2">
      <c r="A777" s="112" t="s">
        <v>210</v>
      </c>
      <c r="B777" s="113" t="s">
        <v>632</v>
      </c>
    </row>
    <row r="778" spans="1:2">
      <c r="A778" s="112" t="s">
        <v>780</v>
      </c>
      <c r="B778" s="113" t="s">
        <v>620</v>
      </c>
    </row>
    <row r="779" spans="1:2">
      <c r="A779" s="112" t="s">
        <v>722</v>
      </c>
      <c r="B779" s="113" t="s">
        <v>611</v>
      </c>
    </row>
    <row r="780" spans="1:2">
      <c r="A780" s="112" t="s">
        <v>120</v>
      </c>
      <c r="B780" s="113" t="s">
        <v>628</v>
      </c>
    </row>
    <row r="781" spans="1:2">
      <c r="A781" s="112" t="s">
        <v>276</v>
      </c>
      <c r="B781" s="113" t="s">
        <v>667</v>
      </c>
    </row>
    <row r="782" spans="1:2">
      <c r="A782" s="112" t="s">
        <v>781</v>
      </c>
      <c r="B782" s="113" t="s">
        <v>642</v>
      </c>
    </row>
    <row r="783" spans="1:2">
      <c r="A783" s="112" t="s">
        <v>142</v>
      </c>
      <c r="B783" s="113" t="s">
        <v>622</v>
      </c>
    </row>
    <row r="784" spans="1:2">
      <c r="A784" s="112" t="s">
        <v>217</v>
      </c>
      <c r="B784" s="113" t="s">
        <v>671</v>
      </c>
    </row>
    <row r="785" spans="1:2">
      <c r="A785" s="112" t="s">
        <v>104</v>
      </c>
      <c r="B785" s="113" t="s">
        <v>639</v>
      </c>
    </row>
    <row r="786" spans="1:2">
      <c r="A786" s="112" t="s">
        <v>104</v>
      </c>
      <c r="B786" s="113" t="s">
        <v>640</v>
      </c>
    </row>
    <row r="787" spans="1:2">
      <c r="A787" s="112" t="s">
        <v>292</v>
      </c>
      <c r="B787" s="113" t="s">
        <v>625</v>
      </c>
    </row>
    <row r="788" spans="1:2">
      <c r="A788" s="112" t="s">
        <v>221</v>
      </c>
      <c r="B788" s="113" t="s">
        <v>631</v>
      </c>
    </row>
    <row r="789" spans="1:2">
      <c r="A789" s="112" t="s">
        <v>292</v>
      </c>
      <c r="B789" s="113" t="s">
        <v>597</v>
      </c>
    </row>
    <row r="790" spans="1:2">
      <c r="A790" s="112" t="s">
        <v>69</v>
      </c>
      <c r="B790" s="113" t="s">
        <v>635</v>
      </c>
    </row>
    <row r="791" spans="1:2">
      <c r="A791" s="112" t="s">
        <v>119</v>
      </c>
      <c r="B791" s="113" t="s">
        <v>619</v>
      </c>
    </row>
    <row r="792" spans="1:2">
      <c r="A792" s="112" t="s">
        <v>99</v>
      </c>
      <c r="B792" s="113" t="s">
        <v>632</v>
      </c>
    </row>
    <row r="793" spans="1:2">
      <c r="A793" s="112" t="s">
        <v>238</v>
      </c>
      <c r="B793" s="113" t="s">
        <v>639</v>
      </c>
    </row>
    <row r="794" spans="1:2">
      <c r="A794" s="112" t="s">
        <v>195</v>
      </c>
      <c r="B794" s="113" t="s">
        <v>631</v>
      </c>
    </row>
    <row r="795" spans="1:2">
      <c r="A795" s="112" t="s">
        <v>119</v>
      </c>
      <c r="B795" s="113" t="s">
        <v>597</v>
      </c>
    </row>
    <row r="796" spans="1:2">
      <c r="A796" s="112" t="s">
        <v>271</v>
      </c>
      <c r="B796" s="113" t="s">
        <v>625</v>
      </c>
    </row>
    <row r="797" spans="1:2">
      <c r="A797" s="112" t="s">
        <v>178</v>
      </c>
      <c r="B797" s="113" t="s">
        <v>753</v>
      </c>
    </row>
    <row r="798" spans="1:2">
      <c r="A798" s="112" t="s">
        <v>224</v>
      </c>
      <c r="B798" s="113" t="s">
        <v>629</v>
      </c>
    </row>
    <row r="799" spans="1:2">
      <c r="A799" s="112" t="s">
        <v>235</v>
      </c>
      <c r="B799" s="113" t="s">
        <v>617</v>
      </c>
    </row>
    <row r="800" spans="1:2">
      <c r="A800" s="112" t="s">
        <v>97</v>
      </c>
      <c r="B800" s="113" t="s">
        <v>628</v>
      </c>
    </row>
    <row r="801" spans="1:2">
      <c r="A801" s="112" t="s">
        <v>187</v>
      </c>
      <c r="B801" s="113" t="s">
        <v>659</v>
      </c>
    </row>
    <row r="802" spans="1:2">
      <c r="A802" s="112" t="s">
        <v>103</v>
      </c>
      <c r="B802" s="113" t="s">
        <v>631</v>
      </c>
    </row>
    <row r="803" spans="1:2">
      <c r="A803" s="112" t="s">
        <v>63</v>
      </c>
      <c r="B803" s="113" t="s">
        <v>622</v>
      </c>
    </row>
    <row r="804" spans="1:2">
      <c r="A804" s="112" t="s">
        <v>121</v>
      </c>
      <c r="B804" s="113" t="s">
        <v>611</v>
      </c>
    </row>
    <row r="805" spans="1:2">
      <c r="A805" s="112" t="s">
        <v>138</v>
      </c>
      <c r="B805" s="113" t="s">
        <v>610</v>
      </c>
    </row>
    <row r="806" spans="1:2">
      <c r="A806" s="112" t="s">
        <v>97</v>
      </c>
      <c r="B806" s="113" t="s">
        <v>612</v>
      </c>
    </row>
    <row r="807" spans="1:2">
      <c r="A807" s="112" t="s">
        <v>84</v>
      </c>
      <c r="B807" s="113" t="s">
        <v>753</v>
      </c>
    </row>
    <row r="808" spans="1:2">
      <c r="A808" s="112" t="s">
        <v>185</v>
      </c>
      <c r="B808" s="113" t="s">
        <v>628</v>
      </c>
    </row>
    <row r="809" spans="1:2">
      <c r="A809" s="112" t="s">
        <v>201</v>
      </c>
      <c r="B809" s="113" t="s">
        <v>622</v>
      </c>
    </row>
    <row r="810" spans="1:2">
      <c r="A810" s="112" t="s">
        <v>84</v>
      </c>
      <c r="B810" s="113" t="s">
        <v>618</v>
      </c>
    </row>
    <row r="811" spans="1:2">
      <c r="A811" s="112" t="s">
        <v>69</v>
      </c>
      <c r="B811" s="113" t="s">
        <v>618</v>
      </c>
    </row>
    <row r="812" spans="1:2">
      <c r="A812" s="112" t="s">
        <v>92</v>
      </c>
      <c r="B812" s="113" t="s">
        <v>632</v>
      </c>
    </row>
    <row r="813" spans="1:2">
      <c r="A813" s="112" t="s">
        <v>81</v>
      </c>
      <c r="B813" s="113" t="s">
        <v>612</v>
      </c>
    </row>
    <row r="814" spans="1:2">
      <c r="A814" s="112" t="s">
        <v>178</v>
      </c>
      <c r="B814" s="113" t="s">
        <v>666</v>
      </c>
    </row>
    <row r="815" spans="1:2">
      <c r="A815" s="112" t="s">
        <v>79</v>
      </c>
      <c r="B815" s="113" t="s">
        <v>624</v>
      </c>
    </row>
    <row r="816" spans="1:2">
      <c r="A816" s="112" t="s">
        <v>69</v>
      </c>
      <c r="B816" s="113" t="s">
        <v>623</v>
      </c>
    </row>
    <row r="817" spans="1:2">
      <c r="A817" s="112" t="s">
        <v>113</v>
      </c>
      <c r="B817" s="113" t="s">
        <v>632</v>
      </c>
    </row>
    <row r="818" spans="1:2">
      <c r="A818" s="112" t="s">
        <v>135</v>
      </c>
      <c r="B818" s="113" t="s">
        <v>610</v>
      </c>
    </row>
    <row r="819" spans="1:2">
      <c r="A819" s="112" t="s">
        <v>63</v>
      </c>
      <c r="B819" s="113" t="s">
        <v>619</v>
      </c>
    </row>
    <row r="820" spans="1:2">
      <c r="A820" s="112" t="s">
        <v>101</v>
      </c>
      <c r="B820" s="113" t="s">
        <v>597</v>
      </c>
    </row>
    <row r="821" spans="1:2">
      <c r="A821" s="112" t="s">
        <v>105</v>
      </c>
      <c r="B821" s="113" t="s">
        <v>619</v>
      </c>
    </row>
    <row r="822" spans="1:2">
      <c r="A822" s="112" t="s">
        <v>782</v>
      </c>
      <c r="B822" s="113" t="s">
        <v>607</v>
      </c>
    </row>
    <row r="823" spans="1:2">
      <c r="A823" s="112" t="s">
        <v>94</v>
      </c>
      <c r="B823" s="113" t="s">
        <v>659</v>
      </c>
    </row>
    <row r="824" spans="1:2">
      <c r="A824" s="112" t="s">
        <v>92</v>
      </c>
      <c r="B824" s="113" t="s">
        <v>606</v>
      </c>
    </row>
    <row r="825" spans="1:2">
      <c r="A825" s="112" t="s">
        <v>95</v>
      </c>
      <c r="B825" s="113" t="s">
        <v>635</v>
      </c>
    </row>
    <row r="826" spans="1:2">
      <c r="A826" s="112" t="s">
        <v>66</v>
      </c>
      <c r="B826" s="113" t="s">
        <v>631</v>
      </c>
    </row>
    <row r="827" spans="1:2">
      <c r="A827" s="112" t="s">
        <v>181</v>
      </c>
      <c r="B827" s="113" t="s">
        <v>635</v>
      </c>
    </row>
    <row r="828" spans="1:2">
      <c r="A828" s="112" t="s">
        <v>113</v>
      </c>
      <c r="B828" s="113" t="s">
        <v>619</v>
      </c>
    </row>
    <row r="829" spans="1:2">
      <c r="A829" s="112" t="s">
        <v>240</v>
      </c>
      <c r="B829" s="113" t="s">
        <v>605</v>
      </c>
    </row>
    <row r="830" spans="1:2">
      <c r="A830" s="112" t="s">
        <v>99</v>
      </c>
      <c r="B830" s="113" t="s">
        <v>631</v>
      </c>
    </row>
    <row r="831" spans="1:2">
      <c r="A831" s="112" t="s">
        <v>187</v>
      </c>
      <c r="B831" s="113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CA793"/>
  <sheetViews>
    <sheetView topLeftCell="BI1" zoomScale="70" zoomScaleNormal="70" workbookViewId="0">
      <pane ySplit="1" topLeftCell="A2" activePane="bottomLeft" state="frozen"/>
      <selection pane="bottomLeft" activeCell="BZ5" sqref="BZ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16384" width="12.42578125" style="29"/>
  </cols>
  <sheetData>
    <row r="1" spans="1:79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833</v>
      </c>
      <c r="CA1" s="28"/>
    </row>
    <row r="2" spans="1:79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</row>
    <row r="3" spans="1:79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928</v>
      </c>
    </row>
    <row r="4" spans="1:79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/>
      <c r="BZ4" s="33"/>
      <c r="CA4" s="33"/>
    </row>
    <row r="5" spans="1:79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</row>
    <row r="6" spans="1:79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</row>
    <row r="7" spans="1:79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</row>
    <row r="8" spans="1:79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</row>
    <row r="9" spans="1:79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</row>
    <row r="10" spans="1:79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</row>
    <row r="11" spans="1:79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</row>
    <row r="12" spans="1:79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</row>
    <row r="13" spans="1:79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</row>
    <row r="14" spans="1:79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</row>
    <row r="15" spans="1:79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</row>
    <row r="16" spans="1:79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</row>
    <row r="17" spans="2:78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</row>
    <row r="18" spans="2:78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</row>
    <row r="19" spans="2:78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</row>
    <row r="20" spans="2:78" s="29" customFormat="1" ht="105.75" customHeight="1" thickBot="1">
      <c r="B20" s="169" t="s">
        <v>556</v>
      </c>
      <c r="C20" s="170"/>
      <c r="D20" s="170"/>
      <c r="E20" s="170"/>
      <c r="F20" s="170"/>
      <c r="G20" s="170"/>
      <c r="H20" s="170"/>
      <c r="I20" s="170"/>
      <c r="J20" s="171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</row>
    <row r="21" spans="2:78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</row>
    <row r="22" spans="2:78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</row>
    <row r="23" spans="2:78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</row>
    <row r="24" spans="2:78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</row>
    <row r="25" spans="2:78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</row>
    <row r="26" spans="2:78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</row>
    <row r="27" spans="2:78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</row>
    <row r="28" spans="2:78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</row>
    <row r="29" spans="2:78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</row>
    <row r="30" spans="2:78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</row>
    <row r="31" spans="2:78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</row>
    <row r="32" spans="2:78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</row>
    <row r="33" spans="2:78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</row>
    <row r="34" spans="2:78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</row>
    <row r="35" spans="2:78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</row>
    <row r="36" spans="2:78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</row>
    <row r="37" spans="2:78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</row>
    <row r="38" spans="2:78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</row>
    <row r="39" spans="2:78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</row>
    <row r="40" spans="2:78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</row>
    <row r="41" spans="2:78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</row>
    <row r="42" spans="2:78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</row>
    <row r="43" spans="2:78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</row>
    <row r="44" spans="2:78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</row>
    <row r="45" spans="2:78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</row>
    <row r="46" spans="2:78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</row>
    <row r="47" spans="2:78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</row>
    <row r="48" spans="2:78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</row>
    <row r="49" spans="2:78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</row>
    <row r="50" spans="2:78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</row>
    <row r="51" spans="2:78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</row>
    <row r="52" spans="2:78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</row>
    <row r="53" spans="2:78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</row>
    <row r="54" spans="2:78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</row>
    <row r="55" spans="2:78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</row>
    <row r="56" spans="2:78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</row>
    <row r="57" spans="2:78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</row>
    <row r="58" spans="2:78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</row>
    <row r="59" spans="2:78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</row>
    <row r="60" spans="2:78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</row>
    <row r="61" spans="2:78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</row>
    <row r="62" spans="2:78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</row>
    <row r="63" spans="2:78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</row>
    <row r="64" spans="2:78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</row>
    <row r="65" spans="2:78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</row>
    <row r="66" spans="2:78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</row>
    <row r="67" spans="2:78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</row>
    <row r="68" spans="2:78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</row>
    <row r="69" spans="2:78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</row>
    <row r="70" spans="2:78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</row>
    <row r="71" spans="2:78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</row>
    <row r="72" spans="2:78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</row>
    <row r="73" spans="2:78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</row>
    <row r="74" spans="2:78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</row>
    <row r="75" spans="2:78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</row>
    <row r="76" spans="2:78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</row>
    <row r="77" spans="2:78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</row>
    <row r="78" spans="2:78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</row>
    <row r="79" spans="2:78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</row>
    <row r="80" spans="2:78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</row>
    <row r="81" spans="2:78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</row>
    <row r="82" spans="2:78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</row>
    <row r="83" spans="2:78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</row>
    <row r="84" spans="2:78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</row>
    <row r="85" spans="2:78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</row>
    <row r="86" spans="2:78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</row>
    <row r="87" spans="2:78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</row>
    <row r="88" spans="2:78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</row>
    <row r="89" spans="2:78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</row>
    <row r="90" spans="2:78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</row>
    <row r="91" spans="2:78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</row>
    <row r="92" spans="2:78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</row>
    <row r="93" spans="2:78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</row>
    <row r="94" spans="2:78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</row>
    <row r="95" spans="2:78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</row>
    <row r="96" spans="2:78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</row>
    <row r="97" spans="2:78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</row>
    <row r="98" spans="2:78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</row>
    <row r="99" spans="2:78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</row>
    <row r="100" spans="2:78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</row>
    <row r="101" spans="2:78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</row>
    <row r="102" spans="2:78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</row>
    <row r="103" spans="2:78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</row>
    <row r="104" spans="2:78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</row>
    <row r="105" spans="2:78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</row>
    <row r="106" spans="2:78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</row>
    <row r="107" spans="2:78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</row>
    <row r="108" spans="2:78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</row>
    <row r="109" spans="2:78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</row>
    <row r="110" spans="2:78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</row>
    <row r="111" spans="2:78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</row>
    <row r="112" spans="2:78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</row>
    <row r="113" spans="2:78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</row>
    <row r="114" spans="2:78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</row>
    <row r="115" spans="2:78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</row>
    <row r="116" spans="2:78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</row>
    <row r="117" spans="2:78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</row>
    <row r="118" spans="2:78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</row>
    <row r="119" spans="2:78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</row>
    <row r="120" spans="2:78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</row>
    <row r="121" spans="2:78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</row>
    <row r="122" spans="2:78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</row>
    <row r="123" spans="2:78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</row>
    <row r="124" spans="2:78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</row>
    <row r="125" spans="2:78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</row>
    <row r="126" spans="2:78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</row>
    <row r="127" spans="2:78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</row>
    <row r="128" spans="2:78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</row>
    <row r="129" spans="2:78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</row>
    <row r="130" spans="2:78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</row>
    <row r="131" spans="2:78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</row>
    <row r="132" spans="2:78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</row>
    <row r="133" spans="2:78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</row>
    <row r="134" spans="2:78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</row>
    <row r="135" spans="2:78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</row>
    <row r="136" spans="2:78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</row>
    <row r="137" spans="2:78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</row>
    <row r="138" spans="2:78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</row>
    <row r="139" spans="2:78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</row>
    <row r="140" spans="2:78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</row>
    <row r="141" spans="2:78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</row>
    <row r="142" spans="2:78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</row>
    <row r="143" spans="2:78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</row>
    <row r="144" spans="2:78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</row>
    <row r="145" spans="2:78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</row>
    <row r="146" spans="2:78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</row>
    <row r="147" spans="2:78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</row>
    <row r="148" spans="2:78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</row>
    <row r="149" spans="2:78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</row>
    <row r="150" spans="2:78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</row>
    <row r="151" spans="2:78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</row>
    <row r="152" spans="2:78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</row>
    <row r="153" spans="2:78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</row>
    <row r="154" spans="2:78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</row>
    <row r="155" spans="2:78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</row>
    <row r="156" spans="2:78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</row>
    <row r="157" spans="2:78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</row>
    <row r="158" spans="2:78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</row>
    <row r="159" spans="2:78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</row>
    <row r="160" spans="2:78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</row>
    <row r="161" spans="2:78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</row>
    <row r="162" spans="2:78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</row>
    <row r="163" spans="2:78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</row>
    <row r="164" spans="2:78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</row>
    <row r="165" spans="2:78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</row>
    <row r="166" spans="2:78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</row>
    <row r="167" spans="2:78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</row>
    <row r="168" spans="2:78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</row>
    <row r="169" spans="2:78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</row>
    <row r="170" spans="2:78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</row>
    <row r="171" spans="2:78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</row>
    <row r="172" spans="2:78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</row>
    <row r="173" spans="2:78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</row>
    <row r="174" spans="2:78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</row>
    <row r="175" spans="2:78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</row>
    <row r="176" spans="2:78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</row>
    <row r="177" spans="2:78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</row>
    <row r="178" spans="2:78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</row>
    <row r="179" spans="2:78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</row>
    <row r="180" spans="2:78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</row>
    <row r="181" spans="2:78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</row>
    <row r="182" spans="2:78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</row>
    <row r="183" spans="2:78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</row>
    <row r="184" spans="2:78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</row>
    <row r="185" spans="2:78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</row>
    <row r="186" spans="2:78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</row>
    <row r="187" spans="2:78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</row>
    <row r="188" spans="2:78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</row>
    <row r="189" spans="2:78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</row>
    <row r="190" spans="2:78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</row>
    <row r="191" spans="2:78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</row>
    <row r="192" spans="2:78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</row>
    <row r="193" spans="2:78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</row>
    <row r="194" spans="2:78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</row>
    <row r="195" spans="2:78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</row>
    <row r="196" spans="2:78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</row>
    <row r="197" spans="2:78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</row>
    <row r="198" spans="2:78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</row>
    <row r="199" spans="2:78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</row>
    <row r="200" spans="2:78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</row>
    <row r="201" spans="2:78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</row>
    <row r="202" spans="2:78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</row>
    <row r="203" spans="2:78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</row>
    <row r="204" spans="2:78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</row>
    <row r="205" spans="2:78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</row>
    <row r="206" spans="2:78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</row>
    <row r="207" spans="2:78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</row>
    <row r="208" spans="2:78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</row>
    <row r="209" spans="2:78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</row>
    <row r="210" spans="2:78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</row>
    <row r="211" spans="2:78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</row>
    <row r="212" spans="2:78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</row>
    <row r="213" spans="2:78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</row>
    <row r="214" spans="2:78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</row>
    <row r="215" spans="2:78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</row>
    <row r="216" spans="2:78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</row>
    <row r="217" spans="2:78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</row>
    <row r="218" spans="2:78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</row>
    <row r="219" spans="2:78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</row>
    <row r="220" spans="2:78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</row>
    <row r="221" spans="2:78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</row>
    <row r="222" spans="2:78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</row>
    <row r="223" spans="2:78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</row>
    <row r="224" spans="2:78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</row>
    <row r="225" spans="2:78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</row>
    <row r="226" spans="2:78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</row>
    <row r="227" spans="2:78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</row>
    <row r="228" spans="2:78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</row>
    <row r="229" spans="2:78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</row>
    <row r="230" spans="2:78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</row>
    <row r="231" spans="2:78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</row>
    <row r="232" spans="2:78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</row>
    <row r="233" spans="2:78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</row>
    <row r="234" spans="2:78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</row>
    <row r="235" spans="2:78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</row>
    <row r="236" spans="2:78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</row>
    <row r="237" spans="2:78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</row>
    <row r="238" spans="2:78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</row>
    <row r="239" spans="2:78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</row>
    <row r="240" spans="2:78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</row>
    <row r="241" spans="2:78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</row>
    <row r="242" spans="2:78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</row>
    <row r="243" spans="2:78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</row>
    <row r="244" spans="2:78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</row>
    <row r="245" spans="2:78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</row>
    <row r="246" spans="2:78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</row>
    <row r="247" spans="2:78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</row>
    <row r="248" spans="2:78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</row>
    <row r="249" spans="2:78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</row>
    <row r="250" spans="2:78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</row>
    <row r="251" spans="2:78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</row>
    <row r="252" spans="2:78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</row>
    <row r="253" spans="2:78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</row>
    <row r="254" spans="2:78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</row>
    <row r="255" spans="2:78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</row>
    <row r="256" spans="2:78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</row>
    <row r="257" spans="2:78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</row>
    <row r="258" spans="2:78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</row>
    <row r="259" spans="2:78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</row>
    <row r="260" spans="2:78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</row>
    <row r="261" spans="2:78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</row>
    <row r="262" spans="2:78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</row>
    <row r="263" spans="2:78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</row>
    <row r="264" spans="2:78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</row>
    <row r="265" spans="2:78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</row>
    <row r="266" spans="2:78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</row>
    <row r="267" spans="2:78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</row>
    <row r="268" spans="2:78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</row>
    <row r="269" spans="2:78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</row>
    <row r="270" spans="2:78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</row>
    <row r="271" spans="2:78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</row>
    <row r="272" spans="2:78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</row>
    <row r="273" spans="2:78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</row>
    <row r="274" spans="2:78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</row>
    <row r="275" spans="2:78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</row>
    <row r="276" spans="2:78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</row>
    <row r="277" spans="2:78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</row>
    <row r="278" spans="2:78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</row>
    <row r="279" spans="2:78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</row>
    <row r="280" spans="2:78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</row>
    <row r="281" spans="2:78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</row>
    <row r="282" spans="2:78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</row>
    <row r="283" spans="2:78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</row>
    <row r="284" spans="2:78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</row>
    <row r="285" spans="2:78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</row>
    <row r="286" spans="2:78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</row>
    <row r="287" spans="2:78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</row>
    <row r="288" spans="2:78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</row>
    <row r="289" spans="2:78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</row>
    <row r="290" spans="2:78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</row>
    <row r="291" spans="2:78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</row>
    <row r="292" spans="2:78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</row>
    <row r="293" spans="2:78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</row>
    <row r="294" spans="2:78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</row>
    <row r="295" spans="2:78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</row>
    <row r="296" spans="2:78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</row>
    <row r="297" spans="2:78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</row>
    <row r="298" spans="2:78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</row>
    <row r="299" spans="2:78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</row>
    <row r="300" spans="2:78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</row>
    <row r="301" spans="2:78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</row>
    <row r="302" spans="2:78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</row>
    <row r="303" spans="2:78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</row>
    <row r="304" spans="2:78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</row>
    <row r="305" spans="2:78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</row>
    <row r="306" spans="2:78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</row>
    <row r="307" spans="2:78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</row>
    <row r="308" spans="2:78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</row>
    <row r="309" spans="2:78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</row>
    <row r="310" spans="2:78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</row>
    <row r="311" spans="2:78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</row>
    <row r="312" spans="2:78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</row>
    <row r="313" spans="2:78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</row>
    <row r="314" spans="2:78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</row>
    <row r="315" spans="2:78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</row>
    <row r="316" spans="2:78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</row>
    <row r="317" spans="2:78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</row>
    <row r="318" spans="2:78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</row>
    <row r="319" spans="2:78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</row>
    <row r="320" spans="2:78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</row>
    <row r="321" spans="2:78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</row>
    <row r="322" spans="2:78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</row>
    <row r="323" spans="2:78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</row>
    <row r="324" spans="2:78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</row>
    <row r="325" spans="2:78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</row>
    <row r="326" spans="2:78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</row>
    <row r="327" spans="2:78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</row>
    <row r="328" spans="2:78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</row>
    <row r="329" spans="2:78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</row>
    <row r="330" spans="2:78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</row>
    <row r="331" spans="2:78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</row>
    <row r="332" spans="2:78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</row>
    <row r="333" spans="2:78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</row>
    <row r="334" spans="2:78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</row>
    <row r="335" spans="2:78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</row>
    <row r="336" spans="2:78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</row>
    <row r="337" spans="2:78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</row>
    <row r="338" spans="2:78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</row>
    <row r="339" spans="2:78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</row>
    <row r="340" spans="2:78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</row>
    <row r="341" spans="2:78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</row>
    <row r="342" spans="2:78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</row>
    <row r="343" spans="2:78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</row>
    <row r="344" spans="2:78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</row>
    <row r="345" spans="2:78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</row>
    <row r="346" spans="2:78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</row>
    <row r="347" spans="2:78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</row>
    <row r="348" spans="2:78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</row>
    <row r="349" spans="2:78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</row>
    <row r="350" spans="2:78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</row>
    <row r="351" spans="2:78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</row>
    <row r="352" spans="2:78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</row>
    <row r="353" spans="2:78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</row>
    <row r="354" spans="2:78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</row>
    <row r="355" spans="2:78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</row>
    <row r="356" spans="2:78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</row>
    <row r="357" spans="2:78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</row>
    <row r="358" spans="2:78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</row>
    <row r="359" spans="2:78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</row>
    <row r="360" spans="2:78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</row>
    <row r="361" spans="2:78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</row>
    <row r="362" spans="2:78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</row>
    <row r="363" spans="2:78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</row>
    <row r="364" spans="2:78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</row>
    <row r="365" spans="2:78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</row>
    <row r="366" spans="2:78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</row>
    <row r="367" spans="2:78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</row>
    <row r="368" spans="2:78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</row>
    <row r="369" spans="2:78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</row>
    <row r="370" spans="2:78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</row>
    <row r="371" spans="2:78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</row>
    <row r="372" spans="2:78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</row>
    <row r="373" spans="2:78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</row>
    <row r="374" spans="2:78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</row>
    <row r="375" spans="2:78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</row>
    <row r="376" spans="2:78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</row>
    <row r="377" spans="2:78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</row>
    <row r="378" spans="2:78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</row>
    <row r="379" spans="2:78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</row>
    <row r="380" spans="2:78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</row>
    <row r="381" spans="2:78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</row>
    <row r="382" spans="2:78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</row>
    <row r="383" spans="2:78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</row>
    <row r="384" spans="2:78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</row>
    <row r="385" spans="2:78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</row>
    <row r="386" spans="2:78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</row>
    <row r="387" spans="2:78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</row>
    <row r="388" spans="2:78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</row>
    <row r="389" spans="2:78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</row>
    <row r="390" spans="2:78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</row>
    <row r="391" spans="2:78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</row>
    <row r="392" spans="2:78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</row>
    <row r="393" spans="2:78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</row>
    <row r="394" spans="2:78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</row>
    <row r="395" spans="2:78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</row>
    <row r="396" spans="2:78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</row>
    <row r="397" spans="2:78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</row>
    <row r="398" spans="2:78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</row>
    <row r="399" spans="2:78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</row>
    <row r="400" spans="2:78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</row>
    <row r="401" spans="2:78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</row>
    <row r="402" spans="2:78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</row>
    <row r="403" spans="2:78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</row>
    <row r="404" spans="2:78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</row>
    <row r="405" spans="2:78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</row>
    <row r="406" spans="2:78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</row>
    <row r="407" spans="2:78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</row>
    <row r="408" spans="2:78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</row>
    <row r="409" spans="2:78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</row>
    <row r="410" spans="2:78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</row>
    <row r="411" spans="2:78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</row>
    <row r="412" spans="2:78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</row>
    <row r="413" spans="2:78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</row>
    <row r="414" spans="2:78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</row>
    <row r="415" spans="2:78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</row>
    <row r="416" spans="2:78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</row>
    <row r="417" spans="2:78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</row>
    <row r="418" spans="2:78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</row>
    <row r="419" spans="2:78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</row>
    <row r="420" spans="2:78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</row>
    <row r="421" spans="2:78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</row>
    <row r="422" spans="2:78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</row>
    <row r="423" spans="2:78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</row>
    <row r="424" spans="2:78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</row>
    <row r="425" spans="2:78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</row>
    <row r="426" spans="2:78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</row>
    <row r="427" spans="2:78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</row>
    <row r="428" spans="2:78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</row>
    <row r="429" spans="2:78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</row>
    <row r="430" spans="2:78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</row>
    <row r="431" spans="2:78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</row>
    <row r="432" spans="2:78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</row>
    <row r="433" spans="2:78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</row>
    <row r="434" spans="2:78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</row>
    <row r="435" spans="2:78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</row>
    <row r="436" spans="2:78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</row>
    <row r="437" spans="2:78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</row>
    <row r="438" spans="2:78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</row>
    <row r="439" spans="2:78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</row>
    <row r="440" spans="2:78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</row>
    <row r="441" spans="2:78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</row>
    <row r="442" spans="2:78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</row>
    <row r="443" spans="2:78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</row>
    <row r="444" spans="2:78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</row>
    <row r="445" spans="2:78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</row>
    <row r="446" spans="2:78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</row>
    <row r="447" spans="2:78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</row>
    <row r="448" spans="2:78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</row>
    <row r="449" spans="2:78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</row>
    <row r="450" spans="2:78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</row>
    <row r="451" spans="2:78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</row>
    <row r="452" spans="2:78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</row>
    <row r="453" spans="2:78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</row>
    <row r="454" spans="2:78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</row>
    <row r="455" spans="2:78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</row>
    <row r="456" spans="2:78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</row>
    <row r="457" spans="2:78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</row>
    <row r="458" spans="2:78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</row>
    <row r="459" spans="2:78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</row>
    <row r="460" spans="2:78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</row>
    <row r="461" spans="2:78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</row>
    <row r="462" spans="2:78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</row>
    <row r="463" spans="2:78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</row>
    <row r="464" spans="2:78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</row>
    <row r="465" spans="2:78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</row>
    <row r="466" spans="2:78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</row>
    <row r="467" spans="2:78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</row>
    <row r="468" spans="2:78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</row>
    <row r="469" spans="2:78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</row>
    <row r="470" spans="2:78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</row>
    <row r="471" spans="2:78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</row>
    <row r="472" spans="2:78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</row>
    <row r="473" spans="2:78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</row>
    <row r="474" spans="2:78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</row>
    <row r="475" spans="2:78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</row>
    <row r="476" spans="2:78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</row>
    <row r="477" spans="2:78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</row>
    <row r="478" spans="2:78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</row>
    <row r="479" spans="2:78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</row>
    <row r="480" spans="2:78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</row>
    <row r="481" spans="2:78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</row>
    <row r="482" spans="2:78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</row>
    <row r="483" spans="2:78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</row>
    <row r="484" spans="2:78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</row>
    <row r="485" spans="2:78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</row>
    <row r="486" spans="2:78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</row>
    <row r="487" spans="2:78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</row>
    <row r="488" spans="2:78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</row>
    <row r="489" spans="2:78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</row>
    <row r="490" spans="2:78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</row>
    <row r="491" spans="2:78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</row>
    <row r="492" spans="2:78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</row>
    <row r="493" spans="2:78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</row>
    <row r="494" spans="2:78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</row>
    <row r="495" spans="2:78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</row>
    <row r="496" spans="2:78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</row>
    <row r="497" spans="2:78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</row>
    <row r="498" spans="2:78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</row>
    <row r="499" spans="2:78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</row>
    <row r="500" spans="2:78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</row>
    <row r="501" spans="2:78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</row>
    <row r="502" spans="2:78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</row>
    <row r="503" spans="2:78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</row>
    <row r="504" spans="2:78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</row>
    <row r="505" spans="2:78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</row>
    <row r="506" spans="2:78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</row>
    <row r="507" spans="2:78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</row>
    <row r="508" spans="2:78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</row>
    <row r="509" spans="2:78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</row>
    <row r="510" spans="2:78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</row>
    <row r="511" spans="2:78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</row>
    <row r="512" spans="2:78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</row>
    <row r="513" spans="2:78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</row>
    <row r="514" spans="2:78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</row>
    <row r="515" spans="2:78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</row>
    <row r="516" spans="2:78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</row>
    <row r="517" spans="2:78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</row>
    <row r="518" spans="2:78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</row>
    <row r="519" spans="2:78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</row>
    <row r="520" spans="2:78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</row>
    <row r="521" spans="2:78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</row>
    <row r="522" spans="2:78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</row>
    <row r="523" spans="2:78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</row>
    <row r="524" spans="2:78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</row>
    <row r="525" spans="2:78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</row>
    <row r="526" spans="2:78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</row>
    <row r="527" spans="2:78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</row>
    <row r="528" spans="2:78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</row>
    <row r="529" spans="2:78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</row>
    <row r="530" spans="2:78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</row>
    <row r="531" spans="2:78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</row>
    <row r="532" spans="2:78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</row>
    <row r="533" spans="2:78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</row>
    <row r="534" spans="2:78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</row>
    <row r="535" spans="2:78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</row>
    <row r="536" spans="2:78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</row>
    <row r="537" spans="2:78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</row>
    <row r="538" spans="2:78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</row>
    <row r="539" spans="2:78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</row>
    <row r="540" spans="2:78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</row>
    <row r="541" spans="2:78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</row>
    <row r="542" spans="2:78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</row>
    <row r="543" spans="2:78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</row>
    <row r="544" spans="2:78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</row>
    <row r="545" spans="2:78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</row>
    <row r="546" spans="2:78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</row>
    <row r="547" spans="2:78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</row>
    <row r="548" spans="2:78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</row>
    <row r="549" spans="2:78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</row>
    <row r="550" spans="2:78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</row>
    <row r="551" spans="2:78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</row>
    <row r="552" spans="2:78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</row>
    <row r="553" spans="2:78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</row>
    <row r="554" spans="2:78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</row>
    <row r="555" spans="2:78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</row>
    <row r="556" spans="2:78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</row>
    <row r="557" spans="2:78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</row>
    <row r="558" spans="2:78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</row>
    <row r="559" spans="2:78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</row>
    <row r="560" spans="2:78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</row>
    <row r="561" spans="2:78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</row>
    <row r="562" spans="2:78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</row>
    <row r="563" spans="2:78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</row>
    <row r="564" spans="2:78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</row>
    <row r="565" spans="2:78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</row>
    <row r="566" spans="2:78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</row>
    <row r="567" spans="2:78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</row>
    <row r="568" spans="2:78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</row>
    <row r="569" spans="2:78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</row>
    <row r="570" spans="2:78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</row>
    <row r="571" spans="2:78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</row>
    <row r="572" spans="2:78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</row>
    <row r="573" spans="2:78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</row>
    <row r="574" spans="2:78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</row>
    <row r="575" spans="2:78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</row>
    <row r="576" spans="2:78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</row>
    <row r="577" spans="2:78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</row>
    <row r="578" spans="2:78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</row>
    <row r="579" spans="2:78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</row>
    <row r="580" spans="2:78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</row>
    <row r="581" spans="2:78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</row>
    <row r="582" spans="2:78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</row>
    <row r="583" spans="2:78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</row>
    <row r="584" spans="2:78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</row>
    <row r="585" spans="2:78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</row>
    <row r="586" spans="2:78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</row>
    <row r="587" spans="2:78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</row>
    <row r="588" spans="2:78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</row>
    <row r="589" spans="2:78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</row>
    <row r="590" spans="2:78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</row>
    <row r="591" spans="2:78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</row>
    <row r="592" spans="2:78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</row>
    <row r="593" spans="2:78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</row>
    <row r="594" spans="2:78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</row>
    <row r="595" spans="2:78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</row>
    <row r="596" spans="2:78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</row>
    <row r="597" spans="2:78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</row>
    <row r="598" spans="2:78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</row>
    <row r="599" spans="2:78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</row>
    <row r="600" spans="2:78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</row>
    <row r="601" spans="2:78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</row>
    <row r="602" spans="2:78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</row>
    <row r="603" spans="2:78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</row>
    <row r="604" spans="2:78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</row>
    <row r="605" spans="2:78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</row>
    <row r="606" spans="2:78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</row>
    <row r="607" spans="2:78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</row>
    <row r="608" spans="2:78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</row>
    <row r="609" spans="2:78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</row>
    <row r="610" spans="2:78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</row>
    <row r="611" spans="2:78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</row>
    <row r="612" spans="2:78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</row>
    <row r="613" spans="2:78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</row>
    <row r="614" spans="2:78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</row>
    <row r="615" spans="2:78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</row>
    <row r="616" spans="2:78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</row>
    <row r="617" spans="2:78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</row>
    <row r="618" spans="2:78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</row>
    <row r="619" spans="2:78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</row>
    <row r="620" spans="2:78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</row>
    <row r="621" spans="2:78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</row>
    <row r="622" spans="2:78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</row>
    <row r="623" spans="2:78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</row>
    <row r="624" spans="2:78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</row>
    <row r="625" spans="2:78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</row>
    <row r="626" spans="2:78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</row>
    <row r="627" spans="2:78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</row>
    <row r="628" spans="2:78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</row>
    <row r="629" spans="2:78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</row>
    <row r="630" spans="2:78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</row>
    <row r="631" spans="2:78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</row>
    <row r="632" spans="2:78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</row>
    <row r="633" spans="2:78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</row>
    <row r="634" spans="2:78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</row>
    <row r="635" spans="2:78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</row>
    <row r="636" spans="2:78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</row>
    <row r="637" spans="2:78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</row>
    <row r="638" spans="2:78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</row>
    <row r="639" spans="2:78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</row>
    <row r="640" spans="2:78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</row>
    <row r="641" spans="2:78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</row>
    <row r="642" spans="2:78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</row>
    <row r="643" spans="2:78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</row>
    <row r="644" spans="2:78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</row>
    <row r="645" spans="2:78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</row>
    <row r="646" spans="2:78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</row>
    <row r="647" spans="2:78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</row>
    <row r="648" spans="2:78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</row>
    <row r="649" spans="2:78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</row>
    <row r="650" spans="2:78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</row>
    <row r="651" spans="2:78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</row>
    <row r="652" spans="2:78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</row>
    <row r="653" spans="2:78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</row>
    <row r="654" spans="2:78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</row>
    <row r="655" spans="2:78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</row>
    <row r="656" spans="2:78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</row>
    <row r="657" spans="2:78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</row>
    <row r="658" spans="2:78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</row>
    <row r="659" spans="2:78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</row>
    <row r="660" spans="2:78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</row>
    <row r="661" spans="2:78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</row>
    <row r="662" spans="2:78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</row>
    <row r="663" spans="2:78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</row>
    <row r="664" spans="2:78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</row>
    <row r="665" spans="2:78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</row>
    <row r="666" spans="2:78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</row>
    <row r="667" spans="2:78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</row>
    <row r="668" spans="2:78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</row>
    <row r="669" spans="2:78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</row>
    <row r="670" spans="2:78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</row>
    <row r="671" spans="2:78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</row>
    <row r="672" spans="2:78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</row>
    <row r="673" spans="2:78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</row>
    <row r="674" spans="2:78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</row>
    <row r="675" spans="2:78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</row>
    <row r="676" spans="2:78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</row>
    <row r="677" spans="2:78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</row>
    <row r="678" spans="2:78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</row>
    <row r="679" spans="2:78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</row>
    <row r="680" spans="2:78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</row>
    <row r="681" spans="2:78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</row>
    <row r="682" spans="2:78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</row>
    <row r="683" spans="2:78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</row>
    <row r="684" spans="2:78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</row>
    <row r="685" spans="2:78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</row>
    <row r="686" spans="2:78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</row>
    <row r="687" spans="2:78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</row>
    <row r="688" spans="2:78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</row>
    <row r="689" spans="2:78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</row>
    <row r="690" spans="2:78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</row>
    <row r="691" spans="2:78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</row>
    <row r="692" spans="2:78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</row>
    <row r="693" spans="2:78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</row>
    <row r="694" spans="2:78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</row>
    <row r="695" spans="2:78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</row>
    <row r="696" spans="2:78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</row>
    <row r="697" spans="2:78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</row>
    <row r="698" spans="2:78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</row>
    <row r="699" spans="2:78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</row>
    <row r="700" spans="2:78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</row>
    <row r="701" spans="2:78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</row>
    <row r="702" spans="2:78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</row>
    <row r="703" spans="2:78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</row>
    <row r="704" spans="2:78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</row>
    <row r="705" spans="2:78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</row>
    <row r="706" spans="2:78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</row>
    <row r="707" spans="2:78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</row>
    <row r="708" spans="2:78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</row>
    <row r="709" spans="2:78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</row>
    <row r="710" spans="2:78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</row>
    <row r="711" spans="2:78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</row>
    <row r="712" spans="2:78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</row>
    <row r="713" spans="2:78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</row>
    <row r="714" spans="2:78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</row>
    <row r="715" spans="2:78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</row>
    <row r="716" spans="2:78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</row>
    <row r="717" spans="2:78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</row>
    <row r="718" spans="2:78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</row>
    <row r="719" spans="2:78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</row>
    <row r="720" spans="2:78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</row>
    <row r="721" spans="2:78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</row>
    <row r="722" spans="2:78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</row>
    <row r="723" spans="2:78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</row>
    <row r="724" spans="2:78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</row>
    <row r="725" spans="2:78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</row>
    <row r="726" spans="2:78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</row>
    <row r="727" spans="2:78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</row>
    <row r="728" spans="2:78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</row>
    <row r="729" spans="2:78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</row>
    <row r="730" spans="2:78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</row>
    <row r="731" spans="2:78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</row>
    <row r="732" spans="2:78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</row>
    <row r="733" spans="2:78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</row>
    <row r="734" spans="2:78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</row>
    <row r="735" spans="2:78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</row>
    <row r="736" spans="2:78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</row>
    <row r="737" spans="2:78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</row>
    <row r="738" spans="2:78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</row>
    <row r="739" spans="2:78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</row>
    <row r="740" spans="2:78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</row>
    <row r="741" spans="2:78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</row>
    <row r="742" spans="2:78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</row>
    <row r="743" spans="2:78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</row>
    <row r="744" spans="2:78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</row>
    <row r="745" spans="2:78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</row>
    <row r="746" spans="2:78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</row>
    <row r="747" spans="2:78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</row>
    <row r="748" spans="2:78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</row>
    <row r="749" spans="2:78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</row>
    <row r="750" spans="2:78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</row>
    <row r="751" spans="2:78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</row>
    <row r="752" spans="2:78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</row>
    <row r="753" spans="2:78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</row>
    <row r="754" spans="2:78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</row>
    <row r="755" spans="2:78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</row>
    <row r="756" spans="2:78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</row>
    <row r="757" spans="2:78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</row>
    <row r="758" spans="2:78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</row>
    <row r="759" spans="2:78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</row>
    <row r="760" spans="2:78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</row>
    <row r="761" spans="2:78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</row>
    <row r="762" spans="2:78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</row>
    <row r="763" spans="2:78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</row>
    <row r="764" spans="2:78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</row>
    <row r="765" spans="2:78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</row>
    <row r="766" spans="2:78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</row>
    <row r="767" spans="2:78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</row>
    <row r="768" spans="2:78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</row>
    <row r="769" spans="2:78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</row>
    <row r="770" spans="2:78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</row>
    <row r="771" spans="2:78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</row>
    <row r="772" spans="2:78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</row>
    <row r="773" spans="2:78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</row>
    <row r="774" spans="2:78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</row>
    <row r="775" spans="2:78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</row>
    <row r="776" spans="2:78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</row>
    <row r="777" spans="2:78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</row>
    <row r="778" spans="2:78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</row>
    <row r="779" spans="2:78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</row>
    <row r="780" spans="2:78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</row>
    <row r="781" spans="2:78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</row>
    <row r="782" spans="2:78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</row>
    <row r="783" spans="2:78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</row>
    <row r="784" spans="2:78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</row>
    <row r="785" spans="2:78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</row>
    <row r="786" spans="2:78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</row>
    <row r="787" spans="2:78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</row>
    <row r="788" spans="2:78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</row>
    <row r="789" spans="2:78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</row>
    <row r="790" spans="2:78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</row>
    <row r="791" spans="2:78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</row>
    <row r="792" spans="2:78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</row>
    <row r="793" spans="2:78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T1" workbookViewId="0">
      <pane ySplit="1" topLeftCell="A2" activePane="bottomLeft" state="frozen"/>
      <selection pane="bottomLeft" activeCell="AJ2" sqref="AJ2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26" style="103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1" width="9.7109375" style="103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4" t="s">
        <v>853</v>
      </c>
      <c r="AB1" s="77" t="s">
        <v>557</v>
      </c>
      <c r="AC1" s="75">
        <f>MAX(AC2:AC10000)</f>
        <v>94</v>
      </c>
      <c r="AD1" s="75"/>
      <c r="AE1" s="75" t="str">
        <f>RIGHT(TEXT(MAX(AE2:AE10000),"###"),3)</f>
        <v>018</v>
      </c>
      <c r="AF1" s="76" t="str">
        <f>RIGHT("000"&amp;AC1,2)&amp;"-"&amp;RIGHT("000"&amp;AE1,3)</f>
        <v>94-018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94-019-</v>
      </c>
      <c r="AI1" s="78" t="s">
        <v>582</v>
      </c>
      <c r="AJ1" s="142" t="s">
        <v>927</v>
      </c>
      <c r="AK1" s="78" t="s">
        <v>852</v>
      </c>
      <c r="AL1" s="143">
        <v>0</v>
      </c>
    </row>
    <row r="2" spans="1:38">
      <c r="A2" s="81" t="str">
        <f>IF(G2&amp;Q2&lt;&gt;"",W2&amp;Q2,"")</f>
        <v>110F</v>
      </c>
      <c r="B2" s="81" t="str">
        <f>IF(C2&lt;&gt;"",LEFT(C2,9),"")</f>
        <v>94-001-</v>
      </c>
      <c r="C2" s="103" t="s">
        <v>853</v>
      </c>
      <c r="G2" s="103" t="s">
        <v>854</v>
      </c>
      <c r="V2" s="81" t="str">
        <f>W2&amp;H2</f>
        <v>110F</v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110F</v>
      </c>
      <c r="X2" s="81" t="str">
        <f>IF(A2&lt;&gt;"",IFERROR(IF(FIND(" ",G2)&gt;=1,MID(G2,FIND(" ",G2)+1,LEN(G2)),""),""),"")</f>
        <v/>
      </c>
      <c r="AC2" s="60">
        <f>IFERROR(VALUE(MID($C2,1,2)),0)</f>
        <v>94</v>
      </c>
      <c r="AD2" s="49">
        <f t="shared" ref="AD2:AD66" si="1">IFERROR(VALUE(MID($C2,4,3)),0)</f>
        <v>1</v>
      </c>
      <c r="AE2" s="60">
        <f>VALUE(RIGHT("00"&amp;AC2,2)&amp;RIGHT("000"&amp;AD2,3))</f>
        <v>94001</v>
      </c>
    </row>
    <row r="3" spans="1:38">
      <c r="A3" s="81" t="str">
        <f t="shared" ref="A3:A66" si="2">IF(G3&amp;Q3&lt;&gt;"",W3&amp;Q3,"")</f>
        <v>5089M</v>
      </c>
      <c r="B3" s="81" t="str">
        <f t="shared" ref="B3:B66" si="3">IF(C3&lt;&gt;"",LEFT(C3,9),"")</f>
        <v>94-002-</v>
      </c>
      <c r="C3" s="103" t="s">
        <v>909</v>
      </c>
      <c r="G3" s="103" t="s">
        <v>855</v>
      </c>
      <c r="V3" s="81" t="str">
        <f t="shared" ref="V3:V66" si="4">W3&amp;H3</f>
        <v>5089M</v>
      </c>
      <c r="W3" s="81" t="str">
        <f t="shared" si="0"/>
        <v>5089M</v>
      </c>
      <c r="X3" s="81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94</v>
      </c>
      <c r="AD3" s="49">
        <f t="shared" si="1"/>
        <v>2</v>
      </c>
      <c r="AE3" s="60">
        <f t="shared" ref="AE3:AE66" si="7">VALUE(RIGHT("00"&amp;AC3,2)&amp;RIGHT("000"&amp;AD3,3))</f>
        <v>94002</v>
      </c>
    </row>
    <row r="4" spans="1:38">
      <c r="A4" s="81" t="str">
        <f t="shared" si="2"/>
        <v>6005FF</v>
      </c>
      <c r="B4" s="81" t="str">
        <f t="shared" si="3"/>
        <v>94-003-</v>
      </c>
      <c r="C4" s="103" t="s">
        <v>910</v>
      </c>
      <c r="G4" s="103" t="s">
        <v>856</v>
      </c>
      <c r="V4" s="81" t="str">
        <f t="shared" si="4"/>
        <v>6005FF</v>
      </c>
      <c r="W4" s="81" t="str">
        <f t="shared" si="0"/>
        <v>6005FF</v>
      </c>
      <c r="X4" s="81" t="str">
        <f t="shared" si="5"/>
        <v/>
      </c>
      <c r="AC4" s="60">
        <f t="shared" si="6"/>
        <v>94</v>
      </c>
      <c r="AD4" s="49">
        <f t="shared" si="1"/>
        <v>3</v>
      </c>
      <c r="AE4" s="60">
        <f t="shared" si="7"/>
        <v>94003</v>
      </c>
    </row>
    <row r="5" spans="1:38">
      <c r="A5" s="81" t="str">
        <f t="shared" si="2"/>
        <v>6007</v>
      </c>
      <c r="B5" s="81" t="str">
        <f t="shared" si="3"/>
        <v>94-004-</v>
      </c>
      <c r="C5" s="103" t="s">
        <v>911</v>
      </c>
      <c r="G5" s="103">
        <v>6007</v>
      </c>
      <c r="V5" s="81" t="str">
        <f t="shared" si="4"/>
        <v>6007</v>
      </c>
      <c r="W5" s="81" t="str">
        <f t="shared" si="0"/>
        <v>6007</v>
      </c>
      <c r="X5" s="81" t="str">
        <f t="shared" si="5"/>
        <v/>
      </c>
      <c r="AC5" s="60">
        <f t="shared" si="6"/>
        <v>94</v>
      </c>
      <c r="AD5" s="49">
        <f t="shared" si="1"/>
        <v>4</v>
      </c>
      <c r="AE5" s="60">
        <f t="shared" si="7"/>
        <v>94004</v>
      </c>
    </row>
    <row r="6" spans="1:38">
      <c r="A6" s="81" t="str">
        <f t="shared" si="2"/>
        <v>6007T</v>
      </c>
      <c r="B6" s="81" t="str">
        <f t="shared" si="3"/>
        <v>94-005-</v>
      </c>
      <c r="C6" s="103" t="s">
        <v>912</v>
      </c>
      <c r="G6" s="103" t="s">
        <v>858</v>
      </c>
      <c r="V6" s="81" t="str">
        <f t="shared" si="4"/>
        <v>6007T</v>
      </c>
      <c r="W6" s="81" t="str">
        <f t="shared" si="0"/>
        <v>6007T</v>
      </c>
      <c r="X6" s="81" t="str">
        <f t="shared" si="5"/>
        <v/>
      </c>
      <c r="AC6" s="60">
        <f t="shared" si="6"/>
        <v>94</v>
      </c>
      <c r="AD6" s="49">
        <f t="shared" si="1"/>
        <v>5</v>
      </c>
      <c r="AE6" s="60">
        <f t="shared" si="7"/>
        <v>94005</v>
      </c>
    </row>
    <row r="7" spans="1:38">
      <c r="A7" s="81" t="str">
        <f t="shared" si="2"/>
        <v>6089CM</v>
      </c>
      <c r="B7" s="81" t="str">
        <f t="shared" si="3"/>
        <v>94-006-</v>
      </c>
      <c r="C7" s="103" t="s">
        <v>913</v>
      </c>
      <c r="G7" s="103" t="s">
        <v>859</v>
      </c>
      <c r="V7" s="81" t="str">
        <f t="shared" si="4"/>
        <v>6089CM</v>
      </c>
      <c r="W7" s="81" t="str">
        <f t="shared" si="0"/>
        <v>6089CM</v>
      </c>
      <c r="X7" s="81" t="str">
        <f t="shared" si="5"/>
        <v/>
      </c>
      <c r="AC7" s="60">
        <f t="shared" si="6"/>
        <v>94</v>
      </c>
      <c r="AD7" s="49">
        <f t="shared" si="1"/>
        <v>6</v>
      </c>
      <c r="AE7" s="60">
        <f t="shared" si="7"/>
        <v>94006</v>
      </c>
    </row>
    <row r="8" spans="1:38">
      <c r="A8" s="81" t="str">
        <f t="shared" si="2"/>
        <v>6089M</v>
      </c>
      <c r="B8" s="81" t="str">
        <f t="shared" si="3"/>
        <v>94-007-</v>
      </c>
      <c r="C8" s="103" t="s">
        <v>914</v>
      </c>
      <c r="G8" s="103" t="s">
        <v>860</v>
      </c>
      <c r="V8" s="81" t="str">
        <f t="shared" si="4"/>
        <v>6089M</v>
      </c>
      <c r="W8" s="81" t="str">
        <f t="shared" si="0"/>
        <v>6089M</v>
      </c>
      <c r="X8" s="81" t="str">
        <f t="shared" si="5"/>
        <v/>
      </c>
      <c r="AC8" s="60">
        <f t="shared" si="6"/>
        <v>94</v>
      </c>
      <c r="AD8" s="49">
        <f t="shared" si="1"/>
        <v>7</v>
      </c>
      <c r="AE8" s="60">
        <f t="shared" si="7"/>
        <v>94007</v>
      </c>
    </row>
    <row r="9" spans="1:38">
      <c r="A9" s="81" t="str">
        <f t="shared" si="2"/>
        <v>6089MC</v>
      </c>
      <c r="B9" s="81" t="str">
        <f t="shared" si="3"/>
        <v>94-008-</v>
      </c>
      <c r="C9" s="103" t="s">
        <v>915</v>
      </c>
      <c r="G9" s="103" t="s">
        <v>861</v>
      </c>
      <c r="V9" s="81" t="str">
        <f t="shared" si="4"/>
        <v>6089MC</v>
      </c>
      <c r="W9" s="81" t="str">
        <f t="shared" si="0"/>
        <v>6089MC</v>
      </c>
      <c r="X9" s="81" t="str">
        <f t="shared" si="5"/>
        <v/>
      </c>
      <c r="AC9" s="60">
        <f t="shared" si="6"/>
        <v>94</v>
      </c>
      <c r="AD9" s="49">
        <f t="shared" si="1"/>
        <v>8</v>
      </c>
      <c r="AE9" s="60">
        <f t="shared" si="7"/>
        <v>94008</v>
      </c>
    </row>
    <row r="10" spans="1:38">
      <c r="A10" s="81" t="str">
        <f t="shared" si="2"/>
        <v>6089MT</v>
      </c>
      <c r="B10" s="81" t="str">
        <f t="shared" si="3"/>
        <v>94-009-</v>
      </c>
      <c r="C10" s="103" t="s">
        <v>916</v>
      </c>
      <c r="G10" s="103" t="s">
        <v>862</v>
      </c>
      <c r="V10" s="81" t="str">
        <f t="shared" si="4"/>
        <v>6089MT</v>
      </c>
      <c r="W10" s="81" t="str">
        <f t="shared" si="0"/>
        <v>6089MT</v>
      </c>
      <c r="X10" s="81" t="str">
        <f t="shared" si="5"/>
        <v/>
      </c>
      <c r="AC10" s="60">
        <f t="shared" si="6"/>
        <v>94</v>
      </c>
      <c r="AD10" s="49">
        <f t="shared" si="1"/>
        <v>9</v>
      </c>
      <c r="AE10" s="60">
        <f t="shared" si="7"/>
        <v>94009</v>
      </c>
    </row>
    <row r="11" spans="1:38">
      <c r="A11" s="81" t="str">
        <f t="shared" si="2"/>
        <v>6089TC</v>
      </c>
      <c r="B11" s="81" t="str">
        <f t="shared" si="3"/>
        <v>94-010-</v>
      </c>
      <c r="C11" s="103" t="s">
        <v>917</v>
      </c>
      <c r="G11" s="103" t="s">
        <v>863</v>
      </c>
      <c r="V11" s="81" t="str">
        <f t="shared" si="4"/>
        <v>6089TC</v>
      </c>
      <c r="W11" s="81" t="str">
        <f t="shared" si="0"/>
        <v>6089TC</v>
      </c>
      <c r="X11" s="81" t="str">
        <f t="shared" si="5"/>
        <v/>
      </c>
      <c r="AC11" s="60">
        <f t="shared" si="6"/>
        <v>94</v>
      </c>
      <c r="AD11" s="49">
        <f t="shared" si="1"/>
        <v>10</v>
      </c>
      <c r="AE11" s="60">
        <f t="shared" si="7"/>
        <v>94010</v>
      </c>
    </row>
    <row r="12" spans="1:38">
      <c r="A12" s="81" t="str">
        <f t="shared" si="2"/>
        <v>6277</v>
      </c>
      <c r="B12" s="81" t="str">
        <f t="shared" si="3"/>
        <v>94-011-</v>
      </c>
      <c r="C12" s="103" t="s">
        <v>918</v>
      </c>
      <c r="G12" s="103">
        <v>6277</v>
      </c>
      <c r="V12" s="81" t="str">
        <f t="shared" si="4"/>
        <v>6277</v>
      </c>
      <c r="W12" s="81" t="str">
        <f t="shared" si="0"/>
        <v>6277</v>
      </c>
      <c r="X12" s="81" t="str">
        <f t="shared" si="5"/>
        <v/>
      </c>
      <c r="AC12" s="60">
        <f t="shared" si="6"/>
        <v>94</v>
      </c>
      <c r="AD12" s="49">
        <f t="shared" si="1"/>
        <v>11</v>
      </c>
      <c r="AE12" s="60">
        <f t="shared" si="7"/>
        <v>94011</v>
      </c>
    </row>
    <row r="13" spans="1:38">
      <c r="A13" s="81" t="str">
        <f t="shared" si="2"/>
        <v>6320</v>
      </c>
      <c r="B13" s="81" t="str">
        <f t="shared" si="3"/>
        <v>94-012-</v>
      </c>
      <c r="C13" s="103" t="s">
        <v>919</v>
      </c>
      <c r="G13" s="103">
        <v>6320</v>
      </c>
      <c r="V13" s="81" t="str">
        <f t="shared" si="4"/>
        <v>6320</v>
      </c>
      <c r="W13" s="81" t="str">
        <f t="shared" si="0"/>
        <v>6320</v>
      </c>
      <c r="X13" s="81" t="str">
        <f t="shared" si="5"/>
        <v/>
      </c>
      <c r="AC13" s="60">
        <f t="shared" si="6"/>
        <v>94</v>
      </c>
      <c r="AD13" s="49">
        <f t="shared" si="1"/>
        <v>12</v>
      </c>
      <c r="AE13" s="60">
        <f t="shared" si="7"/>
        <v>94012</v>
      </c>
    </row>
    <row r="14" spans="1:38">
      <c r="A14" s="81" t="str">
        <f t="shared" si="2"/>
        <v>6511</v>
      </c>
      <c r="B14" s="81" t="str">
        <f t="shared" si="3"/>
        <v>94-013-</v>
      </c>
      <c r="C14" s="103" t="s">
        <v>920</v>
      </c>
      <c r="G14" s="103">
        <v>6511</v>
      </c>
      <c r="V14" s="81" t="str">
        <f t="shared" si="4"/>
        <v>6511</v>
      </c>
      <c r="W14" s="81" t="str">
        <f t="shared" si="0"/>
        <v>6511</v>
      </c>
      <c r="X14" s="81" t="str">
        <f t="shared" si="5"/>
        <v/>
      </c>
      <c r="AC14" s="60">
        <f t="shared" si="6"/>
        <v>94</v>
      </c>
      <c r="AD14" s="49">
        <f t="shared" si="1"/>
        <v>13</v>
      </c>
      <c r="AE14" s="60">
        <f t="shared" si="7"/>
        <v>94013</v>
      </c>
    </row>
    <row r="15" spans="1:38">
      <c r="A15" s="81" t="str">
        <f t="shared" si="2"/>
        <v>6533</v>
      </c>
      <c r="B15" s="81" t="str">
        <f t="shared" si="3"/>
        <v>94-014-</v>
      </c>
      <c r="C15" s="103" t="s">
        <v>921</v>
      </c>
      <c r="G15" s="103">
        <v>6533</v>
      </c>
      <c r="V15" s="81" t="str">
        <f t="shared" si="4"/>
        <v>6533</v>
      </c>
      <c r="W15" s="81" t="str">
        <f t="shared" si="0"/>
        <v>6533</v>
      </c>
      <c r="X15" s="81" t="str">
        <f t="shared" si="5"/>
        <v/>
      </c>
      <c r="AC15" s="60">
        <f t="shared" si="6"/>
        <v>94</v>
      </c>
      <c r="AD15" s="49">
        <f t="shared" si="1"/>
        <v>14</v>
      </c>
      <c r="AE15" s="60">
        <f t="shared" si="7"/>
        <v>94014</v>
      </c>
    </row>
    <row r="16" spans="1:38">
      <c r="A16" s="81" t="str">
        <f t="shared" si="2"/>
        <v>6606</v>
      </c>
      <c r="B16" s="81" t="str">
        <f t="shared" si="3"/>
        <v>94-015-</v>
      </c>
      <c r="C16" s="103" t="s">
        <v>922</v>
      </c>
      <c r="G16" s="103">
        <v>6606</v>
      </c>
      <c r="V16" s="81" t="str">
        <f t="shared" si="4"/>
        <v>6606</v>
      </c>
      <c r="W16" s="81" t="str">
        <f t="shared" si="0"/>
        <v>6606</v>
      </c>
      <c r="X16" s="81" t="str">
        <f t="shared" si="5"/>
        <v/>
      </c>
      <c r="AC16" s="60">
        <f t="shared" si="6"/>
        <v>94</v>
      </c>
      <c r="AD16" s="49">
        <f t="shared" si="1"/>
        <v>15</v>
      </c>
      <c r="AE16" s="60">
        <f t="shared" si="7"/>
        <v>94015</v>
      </c>
    </row>
    <row r="17" spans="1:31">
      <c r="A17" s="81" t="str">
        <f t="shared" si="2"/>
        <v>1500KC</v>
      </c>
      <c r="B17" s="81" t="str">
        <f t="shared" si="3"/>
        <v>94-016-</v>
      </c>
      <c r="C17" s="103" t="s">
        <v>923</v>
      </c>
      <c r="G17" s="103" t="s">
        <v>869</v>
      </c>
      <c r="V17" s="81" t="str">
        <f t="shared" si="4"/>
        <v>1500KC</v>
      </c>
      <c r="W17" s="81" t="str">
        <f t="shared" si="0"/>
        <v>1500KC</v>
      </c>
      <c r="X17" s="81" t="str">
        <f t="shared" si="5"/>
        <v/>
      </c>
      <c r="AC17" s="60">
        <f t="shared" si="6"/>
        <v>94</v>
      </c>
      <c r="AD17" s="49">
        <f t="shared" si="1"/>
        <v>16</v>
      </c>
      <c r="AE17" s="60">
        <f t="shared" si="7"/>
        <v>94016</v>
      </c>
    </row>
    <row r="18" spans="1:31">
      <c r="A18" s="81" t="str">
        <f t="shared" si="2"/>
        <v>1501KC</v>
      </c>
      <c r="B18" s="81" t="str">
        <f t="shared" si="3"/>
        <v>94-017-</v>
      </c>
      <c r="C18" s="103" t="s">
        <v>924</v>
      </c>
      <c r="G18" s="103" t="s">
        <v>870</v>
      </c>
      <c r="V18" s="81" t="str">
        <f t="shared" si="4"/>
        <v>1501KC</v>
      </c>
      <c r="W18" s="81" t="str">
        <f t="shared" si="0"/>
        <v>1501KC</v>
      </c>
      <c r="X18" s="81" t="str">
        <f t="shared" si="5"/>
        <v/>
      </c>
      <c r="AC18" s="60">
        <f t="shared" si="6"/>
        <v>94</v>
      </c>
      <c r="AD18" s="49">
        <f t="shared" si="1"/>
        <v>17</v>
      </c>
      <c r="AE18" s="60">
        <f t="shared" si="7"/>
        <v>94017</v>
      </c>
    </row>
    <row r="19" spans="1:31">
      <c r="A19" s="81" t="str">
        <f t="shared" si="2"/>
        <v>1501P</v>
      </c>
      <c r="B19" s="81" t="str">
        <f t="shared" si="3"/>
        <v>94-018-</v>
      </c>
      <c r="C19" s="103" t="s">
        <v>925</v>
      </c>
      <c r="G19" s="103" t="s">
        <v>871</v>
      </c>
      <c r="V19" s="81" t="str">
        <f t="shared" si="4"/>
        <v>1501P</v>
      </c>
      <c r="W19" s="81" t="str">
        <f t="shared" si="0"/>
        <v>1501P</v>
      </c>
      <c r="X19" s="81" t="str">
        <f t="shared" si="5"/>
        <v/>
      </c>
      <c r="AC19" s="60">
        <f t="shared" si="6"/>
        <v>94</v>
      </c>
      <c r="AD19" s="49">
        <f t="shared" si="1"/>
        <v>18</v>
      </c>
      <c r="AE19" s="60">
        <f t="shared" si="7"/>
        <v>94018</v>
      </c>
    </row>
    <row r="20" spans="1:31">
      <c r="A20" s="81" t="str">
        <f t="shared" si="2"/>
        <v/>
      </c>
      <c r="B20" s="81" t="str">
        <f t="shared" si="3"/>
        <v/>
      </c>
      <c r="V20" s="81" t="str">
        <f t="shared" si="4"/>
        <v/>
      </c>
      <c r="W20" s="81" t="str">
        <f t="shared" si="0"/>
        <v/>
      </c>
      <c r="X20" s="81" t="str">
        <f t="shared" si="5"/>
        <v/>
      </c>
      <c r="AC20" s="60">
        <f t="shared" si="6"/>
        <v>0</v>
      </c>
      <c r="AD20" s="49">
        <f t="shared" si="1"/>
        <v>0</v>
      </c>
      <c r="AE20" s="60">
        <f t="shared" si="7"/>
        <v>0</v>
      </c>
    </row>
    <row r="21" spans="1:31">
      <c r="A21" s="81" t="str">
        <f t="shared" si="2"/>
        <v/>
      </c>
      <c r="B21" s="81" t="str">
        <f t="shared" si="3"/>
        <v/>
      </c>
      <c r="V21" s="81" t="str">
        <f t="shared" si="4"/>
        <v/>
      </c>
      <c r="W21" s="81" t="str">
        <f t="shared" si="0"/>
        <v/>
      </c>
      <c r="X21" s="81" t="str">
        <f t="shared" si="5"/>
        <v/>
      </c>
      <c r="AC21" s="60">
        <f t="shared" si="6"/>
        <v>0</v>
      </c>
      <c r="AD21" s="49">
        <f t="shared" si="1"/>
        <v>0</v>
      </c>
      <c r="AE21" s="60">
        <f t="shared" si="7"/>
        <v>0</v>
      </c>
    </row>
    <row r="22" spans="1:31">
      <c r="A22" s="81" t="str">
        <f t="shared" si="2"/>
        <v/>
      </c>
      <c r="B22" s="81" t="str">
        <f t="shared" si="3"/>
        <v/>
      </c>
      <c r="V22" s="81" t="str">
        <f t="shared" si="4"/>
        <v/>
      </c>
      <c r="W22" s="81" t="str">
        <f t="shared" si="0"/>
        <v/>
      </c>
      <c r="X22" s="81" t="str">
        <f t="shared" si="5"/>
        <v/>
      </c>
      <c r="AC22" s="60">
        <f t="shared" si="6"/>
        <v>0</v>
      </c>
      <c r="AD22" s="49">
        <f t="shared" si="1"/>
        <v>0</v>
      </c>
      <c r="AE22" s="60">
        <f t="shared" si="7"/>
        <v>0</v>
      </c>
    </row>
    <row r="23" spans="1:31">
      <c r="A23" s="81" t="str">
        <f t="shared" si="2"/>
        <v/>
      </c>
      <c r="B23" s="81" t="str">
        <f t="shared" si="3"/>
        <v/>
      </c>
      <c r="V23" s="81" t="str">
        <f t="shared" si="4"/>
        <v/>
      </c>
      <c r="W23" s="81" t="str">
        <f t="shared" si="0"/>
        <v/>
      </c>
      <c r="X23" s="81" t="str">
        <f t="shared" si="5"/>
        <v/>
      </c>
      <c r="AC23" s="60">
        <f t="shared" si="6"/>
        <v>0</v>
      </c>
      <c r="AD23" s="49">
        <f t="shared" si="1"/>
        <v>0</v>
      </c>
      <c r="AE23" s="60">
        <f t="shared" si="7"/>
        <v>0</v>
      </c>
    </row>
    <row r="24" spans="1:31">
      <c r="A24" s="81" t="str">
        <f t="shared" si="2"/>
        <v/>
      </c>
      <c r="B24" s="81" t="str">
        <f t="shared" si="3"/>
        <v/>
      </c>
      <c r="V24" s="81" t="str">
        <f t="shared" si="4"/>
        <v/>
      </c>
      <c r="W24" s="81" t="str">
        <f t="shared" si="0"/>
        <v/>
      </c>
      <c r="X24" s="81" t="str">
        <f t="shared" si="5"/>
        <v/>
      </c>
      <c r="AC24" s="60">
        <f t="shared" si="6"/>
        <v>0</v>
      </c>
      <c r="AD24" s="49">
        <f t="shared" si="1"/>
        <v>0</v>
      </c>
      <c r="AE24" s="60">
        <f t="shared" si="7"/>
        <v>0</v>
      </c>
    </row>
    <row r="25" spans="1:31">
      <c r="A25" s="81" t="str">
        <f t="shared" si="2"/>
        <v/>
      </c>
      <c r="B25" s="81" t="str">
        <f t="shared" si="3"/>
        <v/>
      </c>
      <c r="V25" s="81" t="str">
        <f t="shared" si="4"/>
        <v/>
      </c>
      <c r="W25" s="81" t="str">
        <f t="shared" si="0"/>
        <v/>
      </c>
      <c r="X25" s="81" t="str">
        <f t="shared" si="5"/>
        <v/>
      </c>
      <c r="AC25" s="60">
        <f t="shared" si="6"/>
        <v>0</v>
      </c>
      <c r="AD25" s="49">
        <f t="shared" si="1"/>
        <v>0</v>
      </c>
      <c r="AE25" s="60">
        <f t="shared" si="7"/>
        <v>0</v>
      </c>
    </row>
    <row r="26" spans="1:31">
      <c r="A26" s="81" t="str">
        <f t="shared" si="2"/>
        <v/>
      </c>
      <c r="B26" s="81" t="str">
        <f t="shared" si="3"/>
        <v/>
      </c>
      <c r="V26" s="81" t="str">
        <f t="shared" si="4"/>
        <v/>
      </c>
      <c r="W26" s="81" t="str">
        <f t="shared" si="0"/>
        <v/>
      </c>
      <c r="X26" s="81" t="str">
        <f t="shared" si="5"/>
        <v/>
      </c>
      <c r="AC26" s="60">
        <f t="shared" si="6"/>
        <v>0</v>
      </c>
      <c r="AD26" s="49">
        <f t="shared" si="1"/>
        <v>0</v>
      </c>
      <c r="AE26" s="60">
        <f t="shared" si="7"/>
        <v>0</v>
      </c>
    </row>
    <row r="27" spans="1:31">
      <c r="A27" s="81" t="str">
        <f t="shared" si="2"/>
        <v/>
      </c>
      <c r="B27" s="81" t="str">
        <f t="shared" si="3"/>
        <v/>
      </c>
      <c r="V27" s="81" t="str">
        <f t="shared" si="4"/>
        <v/>
      </c>
      <c r="W27" s="81" t="str">
        <f t="shared" si="0"/>
        <v/>
      </c>
      <c r="X27" s="81" t="str">
        <f t="shared" si="5"/>
        <v/>
      </c>
      <c r="AC27" s="60">
        <f t="shared" si="6"/>
        <v>0</v>
      </c>
      <c r="AD27" s="49">
        <f t="shared" si="1"/>
        <v>0</v>
      </c>
      <c r="AE27" s="60">
        <f t="shared" si="7"/>
        <v>0</v>
      </c>
    </row>
    <row r="28" spans="1:31">
      <c r="A28" s="81" t="str">
        <f t="shared" si="2"/>
        <v/>
      </c>
      <c r="B28" s="81" t="str">
        <f t="shared" si="3"/>
        <v/>
      </c>
      <c r="V28" s="81" t="str">
        <f t="shared" si="4"/>
        <v/>
      </c>
      <c r="W28" s="81" t="str">
        <f t="shared" si="0"/>
        <v/>
      </c>
      <c r="X28" s="81" t="str">
        <f t="shared" si="5"/>
        <v/>
      </c>
      <c r="AC28" s="60">
        <f t="shared" si="6"/>
        <v>0</v>
      </c>
      <c r="AD28" s="49">
        <f t="shared" si="1"/>
        <v>0</v>
      </c>
      <c r="AE28" s="60">
        <f t="shared" si="7"/>
        <v>0</v>
      </c>
    </row>
    <row r="29" spans="1:31">
      <c r="A29" s="81" t="str">
        <f t="shared" si="2"/>
        <v/>
      </c>
      <c r="B29" s="81" t="str">
        <f t="shared" si="3"/>
        <v/>
      </c>
      <c r="V29" s="81" t="str">
        <f t="shared" si="4"/>
        <v/>
      </c>
      <c r="W29" s="81" t="str">
        <f t="shared" si="0"/>
        <v/>
      </c>
      <c r="X29" s="81" t="str">
        <f t="shared" si="5"/>
        <v/>
      </c>
      <c r="AC29" s="60">
        <f t="shared" si="6"/>
        <v>0</v>
      </c>
      <c r="AD29" s="49">
        <f t="shared" si="1"/>
        <v>0</v>
      </c>
      <c r="AE29" s="60">
        <f t="shared" si="7"/>
        <v>0</v>
      </c>
    </row>
    <row r="30" spans="1:31">
      <c r="A30" s="81" t="str">
        <f t="shared" si="2"/>
        <v/>
      </c>
      <c r="B30" s="81" t="str">
        <f t="shared" si="3"/>
        <v/>
      </c>
      <c r="V30" s="81" t="str">
        <f t="shared" si="4"/>
        <v/>
      </c>
      <c r="W30" s="81" t="str">
        <f t="shared" si="0"/>
        <v/>
      </c>
      <c r="X30" s="81" t="str">
        <f t="shared" si="5"/>
        <v/>
      </c>
      <c r="AC30" s="60">
        <f t="shared" si="6"/>
        <v>0</v>
      </c>
      <c r="AD30" s="49">
        <f t="shared" si="1"/>
        <v>0</v>
      </c>
      <c r="AE30" s="60">
        <f t="shared" si="7"/>
        <v>0</v>
      </c>
    </row>
    <row r="31" spans="1:31">
      <c r="A31" s="81" t="str">
        <f t="shared" si="2"/>
        <v/>
      </c>
      <c r="B31" s="81" t="str">
        <f t="shared" si="3"/>
        <v/>
      </c>
      <c r="V31" s="81" t="str">
        <f t="shared" si="4"/>
        <v/>
      </c>
      <c r="W31" s="81" t="str">
        <f t="shared" si="0"/>
        <v/>
      </c>
      <c r="X31" s="81" t="str">
        <f t="shared" si="5"/>
        <v/>
      </c>
      <c r="AC31" s="60">
        <f t="shared" si="6"/>
        <v>0</v>
      </c>
      <c r="AD31" s="49">
        <f t="shared" si="1"/>
        <v>0</v>
      </c>
      <c r="AE31" s="60">
        <f t="shared" si="7"/>
        <v>0</v>
      </c>
    </row>
    <row r="32" spans="1:31">
      <c r="A32" s="81" t="str">
        <f t="shared" si="2"/>
        <v/>
      </c>
      <c r="B32" s="81" t="str">
        <f t="shared" si="3"/>
        <v/>
      </c>
      <c r="V32" s="81" t="str">
        <f t="shared" si="4"/>
        <v/>
      </c>
      <c r="W32" s="81" t="str">
        <f t="shared" si="0"/>
        <v/>
      </c>
      <c r="X32" s="81" t="str">
        <f t="shared" si="5"/>
        <v/>
      </c>
      <c r="AC32" s="60">
        <f t="shared" si="6"/>
        <v>0</v>
      </c>
      <c r="AD32" s="49">
        <f t="shared" si="1"/>
        <v>0</v>
      </c>
      <c r="AE32" s="60">
        <f t="shared" si="7"/>
        <v>0</v>
      </c>
    </row>
    <row r="33" spans="1:31">
      <c r="A33" s="81" t="str">
        <f t="shared" si="2"/>
        <v/>
      </c>
      <c r="B33" s="81" t="str">
        <f t="shared" si="3"/>
        <v/>
      </c>
      <c r="V33" s="81" t="str">
        <f t="shared" si="4"/>
        <v/>
      </c>
      <c r="W33" s="81" t="str">
        <f t="shared" si="0"/>
        <v/>
      </c>
      <c r="X33" s="81" t="str">
        <f t="shared" si="5"/>
        <v/>
      </c>
      <c r="AC33" s="60">
        <f t="shared" si="6"/>
        <v>0</v>
      </c>
      <c r="AD33" s="49">
        <f t="shared" si="1"/>
        <v>0</v>
      </c>
      <c r="AE33" s="60">
        <f t="shared" si="7"/>
        <v>0</v>
      </c>
    </row>
    <row r="34" spans="1:31">
      <c r="A34" s="81" t="str">
        <f t="shared" si="2"/>
        <v/>
      </c>
      <c r="B34" s="81" t="str">
        <f t="shared" si="3"/>
        <v/>
      </c>
      <c r="V34" s="81" t="str">
        <f t="shared" si="4"/>
        <v/>
      </c>
      <c r="W34" s="81" t="str">
        <f t="shared" si="0"/>
        <v/>
      </c>
      <c r="X34" s="81" t="str">
        <f t="shared" si="5"/>
        <v/>
      </c>
      <c r="AC34" s="60">
        <f t="shared" si="6"/>
        <v>0</v>
      </c>
      <c r="AD34" s="49">
        <f t="shared" si="1"/>
        <v>0</v>
      </c>
      <c r="AE34" s="60">
        <f t="shared" si="7"/>
        <v>0</v>
      </c>
    </row>
    <row r="35" spans="1:31">
      <c r="A35" s="81" t="str">
        <f t="shared" si="2"/>
        <v/>
      </c>
      <c r="B35" s="81" t="str">
        <f t="shared" si="3"/>
        <v/>
      </c>
      <c r="V35" s="81" t="str">
        <f t="shared" si="4"/>
        <v/>
      </c>
      <c r="W35" s="81" t="str">
        <f t="shared" si="0"/>
        <v/>
      </c>
      <c r="X35" s="81" t="str">
        <f t="shared" si="5"/>
        <v/>
      </c>
      <c r="AC35" s="60">
        <f t="shared" si="6"/>
        <v>0</v>
      </c>
      <c r="AD35" s="49">
        <f t="shared" si="1"/>
        <v>0</v>
      </c>
      <c r="AE35" s="60">
        <f t="shared" si="7"/>
        <v>0</v>
      </c>
    </row>
    <row r="36" spans="1:31">
      <c r="A36" s="81" t="str">
        <f t="shared" si="2"/>
        <v/>
      </c>
      <c r="B36" s="81" t="str">
        <f t="shared" si="3"/>
        <v/>
      </c>
      <c r="V36" s="81" t="str">
        <f t="shared" si="4"/>
        <v/>
      </c>
      <c r="W36" s="81" t="str">
        <f t="shared" si="0"/>
        <v/>
      </c>
      <c r="X36" s="81" t="str">
        <f t="shared" si="5"/>
        <v/>
      </c>
      <c r="AC36" s="60">
        <f t="shared" si="6"/>
        <v>0</v>
      </c>
      <c r="AD36" s="49">
        <f t="shared" si="1"/>
        <v>0</v>
      </c>
      <c r="AE36" s="60">
        <f t="shared" si="7"/>
        <v>0</v>
      </c>
    </row>
    <row r="37" spans="1:31">
      <c r="A37" s="81" t="str">
        <f t="shared" si="2"/>
        <v/>
      </c>
      <c r="B37" s="81" t="str">
        <f t="shared" si="3"/>
        <v/>
      </c>
      <c r="V37" s="81" t="str">
        <f t="shared" si="4"/>
        <v/>
      </c>
      <c r="W37" s="81" t="str">
        <f t="shared" si="0"/>
        <v/>
      </c>
      <c r="X37" s="81" t="str">
        <f t="shared" si="5"/>
        <v/>
      </c>
      <c r="AC37" s="60">
        <f t="shared" si="6"/>
        <v>0</v>
      </c>
      <c r="AD37" s="49">
        <f t="shared" si="1"/>
        <v>0</v>
      </c>
      <c r="AE37" s="60">
        <f t="shared" si="7"/>
        <v>0</v>
      </c>
    </row>
    <row r="38" spans="1:31">
      <c r="A38" s="81" t="str">
        <f t="shared" si="2"/>
        <v/>
      </c>
      <c r="B38" s="81" t="str">
        <f t="shared" si="3"/>
        <v/>
      </c>
      <c r="V38" s="81" t="str">
        <f t="shared" si="4"/>
        <v/>
      </c>
      <c r="W38" s="81" t="str">
        <f t="shared" si="0"/>
        <v/>
      </c>
      <c r="X38" s="81" t="str">
        <f t="shared" si="5"/>
        <v/>
      </c>
      <c r="AC38" s="60">
        <f t="shared" si="6"/>
        <v>0</v>
      </c>
      <c r="AD38" s="49">
        <f t="shared" si="1"/>
        <v>0</v>
      </c>
      <c r="AE38" s="60">
        <f t="shared" si="7"/>
        <v>0</v>
      </c>
    </row>
    <row r="39" spans="1:31">
      <c r="A39" s="81" t="str">
        <f t="shared" si="2"/>
        <v/>
      </c>
      <c r="B39" s="81" t="str">
        <f t="shared" si="3"/>
        <v/>
      </c>
      <c r="V39" s="81" t="str">
        <f t="shared" si="4"/>
        <v/>
      </c>
      <c r="W39" s="81" t="str">
        <f t="shared" si="0"/>
        <v/>
      </c>
      <c r="X39" s="81" t="str">
        <f t="shared" si="5"/>
        <v/>
      </c>
      <c r="AC39" s="60">
        <f t="shared" si="6"/>
        <v>0</v>
      </c>
      <c r="AD39" s="49">
        <f t="shared" si="1"/>
        <v>0</v>
      </c>
      <c r="AE39" s="60">
        <f t="shared" si="7"/>
        <v>0</v>
      </c>
    </row>
    <row r="40" spans="1:31">
      <c r="A40" s="81" t="str">
        <f t="shared" si="2"/>
        <v/>
      </c>
      <c r="B40" s="81" t="str">
        <f t="shared" si="3"/>
        <v/>
      </c>
      <c r="V40" s="81" t="str">
        <f t="shared" si="4"/>
        <v/>
      </c>
      <c r="W40" s="81" t="str">
        <f t="shared" si="0"/>
        <v/>
      </c>
      <c r="X40" s="81" t="str">
        <f t="shared" si="5"/>
        <v/>
      </c>
      <c r="AC40" s="60">
        <f t="shared" si="6"/>
        <v>0</v>
      </c>
      <c r="AD40" s="49">
        <f t="shared" si="1"/>
        <v>0</v>
      </c>
      <c r="AE40" s="60">
        <f t="shared" si="7"/>
        <v>0</v>
      </c>
    </row>
    <row r="41" spans="1:31">
      <c r="A41" s="81" t="str">
        <f t="shared" si="2"/>
        <v/>
      </c>
      <c r="B41" s="81" t="str">
        <f t="shared" si="3"/>
        <v/>
      </c>
      <c r="V41" s="81" t="str">
        <f t="shared" si="4"/>
        <v/>
      </c>
      <c r="W41" s="81" t="str">
        <f t="shared" si="0"/>
        <v/>
      </c>
      <c r="X41" s="81" t="str">
        <f t="shared" si="5"/>
        <v/>
      </c>
      <c r="AC41" s="60">
        <f t="shared" si="6"/>
        <v>0</v>
      </c>
      <c r="AD41" s="49">
        <f t="shared" si="1"/>
        <v>0</v>
      </c>
      <c r="AE41" s="60">
        <f t="shared" si="7"/>
        <v>0</v>
      </c>
    </row>
    <row r="42" spans="1:31">
      <c r="A42" s="81" t="str">
        <f t="shared" si="2"/>
        <v/>
      </c>
      <c r="B42" s="81" t="str">
        <f t="shared" si="3"/>
        <v/>
      </c>
      <c r="V42" s="81" t="str">
        <f t="shared" si="4"/>
        <v/>
      </c>
      <c r="W42" s="81" t="str">
        <f t="shared" si="0"/>
        <v/>
      </c>
      <c r="X42" s="81" t="str">
        <f t="shared" si="5"/>
        <v/>
      </c>
      <c r="AC42" s="60">
        <f t="shared" si="6"/>
        <v>0</v>
      </c>
      <c r="AD42" s="49">
        <f t="shared" si="1"/>
        <v>0</v>
      </c>
      <c r="AE42" s="60">
        <f t="shared" si="7"/>
        <v>0</v>
      </c>
    </row>
    <row r="43" spans="1:31">
      <c r="A43" s="81" t="str">
        <f t="shared" si="2"/>
        <v/>
      </c>
      <c r="B43" s="81" t="str">
        <f t="shared" si="3"/>
        <v/>
      </c>
      <c r="V43" s="81" t="str">
        <f t="shared" si="4"/>
        <v/>
      </c>
      <c r="W43" s="81" t="str">
        <f t="shared" si="0"/>
        <v/>
      </c>
      <c r="X43" s="81" t="str">
        <f t="shared" si="5"/>
        <v/>
      </c>
      <c r="AC43" s="60">
        <f t="shared" si="6"/>
        <v>0</v>
      </c>
      <c r="AD43" s="49">
        <f t="shared" si="1"/>
        <v>0</v>
      </c>
      <c r="AE43" s="60">
        <f t="shared" si="7"/>
        <v>0</v>
      </c>
    </row>
    <row r="44" spans="1:31">
      <c r="A44" s="81" t="str">
        <f t="shared" si="2"/>
        <v/>
      </c>
      <c r="B44" s="81" t="str">
        <f t="shared" si="3"/>
        <v/>
      </c>
      <c r="V44" s="81" t="str">
        <f t="shared" si="4"/>
        <v/>
      </c>
      <c r="W44" s="81" t="str">
        <f t="shared" si="0"/>
        <v/>
      </c>
      <c r="X44" s="81" t="str">
        <f t="shared" si="5"/>
        <v/>
      </c>
      <c r="AC44" s="60">
        <f t="shared" si="6"/>
        <v>0</v>
      </c>
      <c r="AD44" s="49">
        <f t="shared" si="1"/>
        <v>0</v>
      </c>
      <c r="AE44" s="60">
        <f t="shared" si="7"/>
        <v>0</v>
      </c>
    </row>
    <row r="45" spans="1:31">
      <c r="A45" s="81" t="str">
        <f t="shared" si="2"/>
        <v/>
      </c>
      <c r="B45" s="81" t="str">
        <f t="shared" si="3"/>
        <v/>
      </c>
      <c r="V45" s="81" t="str">
        <f t="shared" si="4"/>
        <v/>
      </c>
      <c r="W45" s="81" t="str">
        <f t="shared" si="0"/>
        <v/>
      </c>
      <c r="X45" s="81" t="str">
        <f t="shared" si="5"/>
        <v/>
      </c>
      <c r="AC45" s="60">
        <f t="shared" si="6"/>
        <v>0</v>
      </c>
      <c r="AD45" s="49">
        <f t="shared" si="1"/>
        <v>0</v>
      </c>
      <c r="AE45" s="60">
        <f t="shared" si="7"/>
        <v>0</v>
      </c>
    </row>
    <row r="46" spans="1:31">
      <c r="A46" s="81" t="str">
        <f t="shared" si="2"/>
        <v/>
      </c>
      <c r="B46" s="81" t="str">
        <f t="shared" si="3"/>
        <v/>
      </c>
      <c r="V46" s="81" t="str">
        <f t="shared" si="4"/>
        <v/>
      </c>
      <c r="W46" s="81" t="str">
        <f t="shared" si="0"/>
        <v/>
      </c>
      <c r="X46" s="81" t="str">
        <f t="shared" si="5"/>
        <v/>
      </c>
      <c r="AC46" s="60">
        <f t="shared" si="6"/>
        <v>0</v>
      </c>
      <c r="AD46" s="49">
        <f t="shared" si="1"/>
        <v>0</v>
      </c>
      <c r="AE46" s="60">
        <f t="shared" si="7"/>
        <v>0</v>
      </c>
    </row>
    <row r="47" spans="1:31">
      <c r="A47" s="81" t="str">
        <f t="shared" si="2"/>
        <v/>
      </c>
      <c r="B47" s="81" t="str">
        <f t="shared" si="3"/>
        <v/>
      </c>
      <c r="V47" s="81" t="str">
        <f t="shared" si="4"/>
        <v/>
      </c>
      <c r="W47" s="81" t="str">
        <f t="shared" si="0"/>
        <v/>
      </c>
      <c r="X47" s="81" t="str">
        <f t="shared" si="5"/>
        <v/>
      </c>
      <c r="AC47" s="60">
        <f t="shared" si="6"/>
        <v>0</v>
      </c>
      <c r="AD47" s="49">
        <f t="shared" si="1"/>
        <v>0</v>
      </c>
      <c r="AE47" s="60">
        <f t="shared" si="7"/>
        <v>0</v>
      </c>
    </row>
    <row r="48" spans="1:31">
      <c r="A48" s="81" t="str">
        <f t="shared" si="2"/>
        <v/>
      </c>
      <c r="B48" s="81" t="str">
        <f t="shared" si="3"/>
        <v/>
      </c>
      <c r="V48" s="81" t="str">
        <f t="shared" si="4"/>
        <v/>
      </c>
      <c r="W48" s="81" t="str">
        <f t="shared" si="0"/>
        <v/>
      </c>
      <c r="X48" s="81" t="str">
        <f t="shared" si="5"/>
        <v/>
      </c>
      <c r="AC48" s="60">
        <f t="shared" si="6"/>
        <v>0</v>
      </c>
      <c r="AD48" s="49">
        <f t="shared" si="1"/>
        <v>0</v>
      </c>
      <c r="AE48" s="60">
        <f t="shared" si="7"/>
        <v>0</v>
      </c>
    </row>
    <row r="49" spans="1:31">
      <c r="A49" s="81" t="str">
        <f t="shared" si="2"/>
        <v/>
      </c>
      <c r="B49" s="81" t="str">
        <f t="shared" si="3"/>
        <v/>
      </c>
      <c r="V49" s="81" t="str">
        <f t="shared" si="4"/>
        <v/>
      </c>
      <c r="W49" s="81" t="str">
        <f t="shared" si="0"/>
        <v/>
      </c>
      <c r="X49" s="81" t="str">
        <f t="shared" si="5"/>
        <v/>
      </c>
      <c r="AC49" s="60">
        <f t="shared" si="6"/>
        <v>0</v>
      </c>
      <c r="AD49" s="49">
        <f t="shared" si="1"/>
        <v>0</v>
      </c>
      <c r="AE49" s="60">
        <f t="shared" si="7"/>
        <v>0</v>
      </c>
    </row>
    <row r="50" spans="1:31">
      <c r="A50" s="81" t="str">
        <f t="shared" si="2"/>
        <v/>
      </c>
      <c r="B50" s="81" t="str">
        <f t="shared" si="3"/>
        <v/>
      </c>
      <c r="V50" s="81" t="str">
        <f t="shared" si="4"/>
        <v/>
      </c>
      <c r="W50" s="81" t="str">
        <f t="shared" si="0"/>
        <v/>
      </c>
      <c r="X50" s="81" t="str">
        <f t="shared" si="5"/>
        <v/>
      </c>
      <c r="AC50" s="60">
        <f t="shared" si="6"/>
        <v>0</v>
      </c>
      <c r="AD50" s="49">
        <f t="shared" si="1"/>
        <v>0</v>
      </c>
      <c r="AE50" s="60">
        <f t="shared" si="7"/>
        <v>0</v>
      </c>
    </row>
    <row r="51" spans="1:31">
      <c r="A51" s="81" t="str">
        <f t="shared" si="2"/>
        <v/>
      </c>
      <c r="B51" s="81" t="str">
        <f t="shared" si="3"/>
        <v/>
      </c>
      <c r="V51" s="81" t="str">
        <f t="shared" si="4"/>
        <v/>
      </c>
      <c r="W51" s="81" t="str">
        <f t="shared" si="0"/>
        <v/>
      </c>
      <c r="X51" s="81" t="str">
        <f t="shared" si="5"/>
        <v/>
      </c>
      <c r="AC51" s="60">
        <f t="shared" si="6"/>
        <v>0</v>
      </c>
      <c r="AD51" s="49">
        <f t="shared" si="1"/>
        <v>0</v>
      </c>
      <c r="AE51" s="60">
        <f t="shared" si="7"/>
        <v>0</v>
      </c>
    </row>
    <row r="52" spans="1:31">
      <c r="A52" s="81" t="str">
        <f t="shared" si="2"/>
        <v/>
      </c>
      <c r="B52" s="81" t="str">
        <f t="shared" si="3"/>
        <v/>
      </c>
      <c r="V52" s="81" t="str">
        <f t="shared" si="4"/>
        <v/>
      </c>
      <c r="W52" s="81" t="str">
        <f t="shared" si="0"/>
        <v/>
      </c>
      <c r="X52" s="81" t="str">
        <f t="shared" si="5"/>
        <v/>
      </c>
      <c r="AC52" s="60">
        <f t="shared" si="6"/>
        <v>0</v>
      </c>
      <c r="AD52" s="49">
        <f t="shared" si="1"/>
        <v>0</v>
      </c>
      <c r="AE52" s="60">
        <f t="shared" si="7"/>
        <v>0</v>
      </c>
    </row>
    <row r="53" spans="1:31">
      <c r="A53" s="81" t="str">
        <f t="shared" si="2"/>
        <v/>
      </c>
      <c r="B53" s="81" t="str">
        <f t="shared" si="3"/>
        <v/>
      </c>
      <c r="V53" s="81" t="str">
        <f t="shared" si="4"/>
        <v/>
      </c>
      <c r="W53" s="81" t="str">
        <f t="shared" si="0"/>
        <v/>
      </c>
      <c r="X53" s="81" t="str">
        <f t="shared" si="5"/>
        <v/>
      </c>
      <c r="AC53" s="60">
        <f t="shared" si="6"/>
        <v>0</v>
      </c>
      <c r="AD53" s="49">
        <f t="shared" si="1"/>
        <v>0</v>
      </c>
      <c r="AE53" s="60">
        <f t="shared" si="7"/>
        <v>0</v>
      </c>
    </row>
    <row r="54" spans="1:31">
      <c r="A54" s="81" t="str">
        <f t="shared" si="2"/>
        <v/>
      </c>
      <c r="B54" s="81" t="str">
        <f t="shared" si="3"/>
        <v/>
      </c>
      <c r="V54" s="81" t="str">
        <f t="shared" si="4"/>
        <v/>
      </c>
      <c r="W54" s="81" t="str">
        <f t="shared" si="0"/>
        <v/>
      </c>
      <c r="X54" s="81" t="str">
        <f t="shared" si="5"/>
        <v/>
      </c>
      <c r="AC54" s="60">
        <f t="shared" si="6"/>
        <v>0</v>
      </c>
      <c r="AD54" s="49">
        <f t="shared" si="1"/>
        <v>0</v>
      </c>
      <c r="AE54" s="60">
        <f t="shared" si="7"/>
        <v>0</v>
      </c>
    </row>
    <row r="55" spans="1:31">
      <c r="A55" s="81" t="str">
        <f t="shared" si="2"/>
        <v/>
      </c>
      <c r="B55" s="81" t="str">
        <f t="shared" si="3"/>
        <v/>
      </c>
      <c r="V55" s="81" t="str">
        <f t="shared" si="4"/>
        <v/>
      </c>
      <c r="W55" s="81" t="str">
        <f t="shared" si="0"/>
        <v/>
      </c>
      <c r="X55" s="81" t="str">
        <f t="shared" si="5"/>
        <v/>
      </c>
      <c r="AC55" s="60">
        <f t="shared" si="6"/>
        <v>0</v>
      </c>
      <c r="AD55" s="49">
        <f t="shared" si="1"/>
        <v>0</v>
      </c>
      <c r="AE55" s="60">
        <f t="shared" si="7"/>
        <v>0</v>
      </c>
    </row>
    <row r="56" spans="1:31">
      <c r="A56" s="81" t="str">
        <f t="shared" si="2"/>
        <v/>
      </c>
      <c r="B56" s="81" t="str">
        <f t="shared" si="3"/>
        <v/>
      </c>
      <c r="V56" s="81" t="str">
        <f t="shared" si="4"/>
        <v/>
      </c>
      <c r="W56" s="81" t="str">
        <f t="shared" si="0"/>
        <v/>
      </c>
      <c r="X56" s="81" t="str">
        <f t="shared" si="5"/>
        <v/>
      </c>
      <c r="AC56" s="60">
        <f t="shared" si="6"/>
        <v>0</v>
      </c>
      <c r="AD56" s="49">
        <f t="shared" si="1"/>
        <v>0</v>
      </c>
      <c r="AE56" s="60">
        <f t="shared" si="7"/>
        <v>0</v>
      </c>
    </row>
    <row r="57" spans="1:31">
      <c r="A57" s="81" t="str">
        <f t="shared" si="2"/>
        <v/>
      </c>
      <c r="B57" s="81" t="str">
        <f t="shared" si="3"/>
        <v/>
      </c>
      <c r="V57" s="81" t="str">
        <f t="shared" si="4"/>
        <v/>
      </c>
      <c r="W57" s="81" t="str">
        <f t="shared" si="0"/>
        <v/>
      </c>
      <c r="X57" s="81" t="str">
        <f t="shared" si="5"/>
        <v/>
      </c>
      <c r="AC57" s="60">
        <f t="shared" si="6"/>
        <v>0</v>
      </c>
      <c r="AD57" s="49">
        <f t="shared" si="1"/>
        <v>0</v>
      </c>
      <c r="AE57" s="60">
        <f t="shared" si="7"/>
        <v>0</v>
      </c>
    </row>
    <row r="58" spans="1:31">
      <c r="A58" s="81" t="str">
        <f t="shared" si="2"/>
        <v/>
      </c>
      <c r="B58" s="81" t="str">
        <f t="shared" si="3"/>
        <v/>
      </c>
      <c r="V58" s="81" t="str">
        <f t="shared" si="4"/>
        <v/>
      </c>
      <c r="W58" s="81" t="str">
        <f t="shared" si="0"/>
        <v/>
      </c>
      <c r="X58" s="81" t="str">
        <f t="shared" si="5"/>
        <v/>
      </c>
      <c r="AC58" s="60">
        <f t="shared" si="6"/>
        <v>0</v>
      </c>
      <c r="AD58" s="49">
        <f t="shared" si="1"/>
        <v>0</v>
      </c>
      <c r="AE58" s="60">
        <f t="shared" si="7"/>
        <v>0</v>
      </c>
    </row>
    <row r="59" spans="1:31">
      <c r="A59" s="81" t="str">
        <f t="shared" si="2"/>
        <v/>
      </c>
      <c r="B59" s="81" t="str">
        <f t="shared" si="3"/>
        <v/>
      </c>
      <c r="V59" s="81" t="str">
        <f t="shared" si="4"/>
        <v/>
      </c>
      <c r="W59" s="81" t="str">
        <f t="shared" si="0"/>
        <v/>
      </c>
      <c r="X59" s="81" t="str">
        <f t="shared" si="5"/>
        <v/>
      </c>
      <c r="AC59" s="60">
        <f t="shared" si="6"/>
        <v>0</v>
      </c>
      <c r="AD59" s="49">
        <f t="shared" si="1"/>
        <v>0</v>
      </c>
      <c r="AE59" s="60">
        <f t="shared" si="7"/>
        <v>0</v>
      </c>
    </row>
    <row r="60" spans="1:31">
      <c r="A60" s="81" t="str">
        <f t="shared" si="2"/>
        <v/>
      </c>
      <c r="B60" s="81" t="str">
        <f t="shared" si="3"/>
        <v/>
      </c>
      <c r="V60" s="81" t="str">
        <f t="shared" si="4"/>
        <v/>
      </c>
      <c r="W60" s="81" t="str">
        <f t="shared" si="0"/>
        <v/>
      </c>
      <c r="X60" s="81" t="str">
        <f t="shared" si="5"/>
        <v/>
      </c>
      <c r="AC60" s="60">
        <f t="shared" si="6"/>
        <v>0</v>
      </c>
      <c r="AD60" s="49">
        <f t="shared" si="1"/>
        <v>0</v>
      </c>
      <c r="AE60" s="60">
        <f t="shared" si="7"/>
        <v>0</v>
      </c>
    </row>
    <row r="61" spans="1:31">
      <c r="A61" s="81" t="str">
        <f t="shared" si="2"/>
        <v/>
      </c>
      <c r="B61" s="81" t="str">
        <f t="shared" si="3"/>
        <v/>
      </c>
      <c r="V61" s="81" t="str">
        <f t="shared" si="4"/>
        <v/>
      </c>
      <c r="W61" s="81" t="str">
        <f t="shared" si="0"/>
        <v/>
      </c>
      <c r="X61" s="81" t="str">
        <f t="shared" si="5"/>
        <v/>
      </c>
      <c r="AC61" s="60">
        <f t="shared" si="6"/>
        <v>0</v>
      </c>
      <c r="AD61" s="49">
        <f t="shared" si="1"/>
        <v>0</v>
      </c>
      <c r="AE61" s="60">
        <f t="shared" si="7"/>
        <v>0</v>
      </c>
    </row>
    <row r="62" spans="1:31">
      <c r="A62" s="81" t="str">
        <f t="shared" si="2"/>
        <v/>
      </c>
      <c r="B62" s="81" t="str">
        <f t="shared" si="3"/>
        <v/>
      </c>
      <c r="V62" s="81" t="str">
        <f t="shared" si="4"/>
        <v/>
      </c>
      <c r="W62" s="81" t="str">
        <f t="shared" si="0"/>
        <v/>
      </c>
      <c r="X62" s="81" t="str">
        <f t="shared" si="5"/>
        <v/>
      </c>
      <c r="AC62" s="60">
        <f t="shared" si="6"/>
        <v>0</v>
      </c>
      <c r="AD62" s="49">
        <f t="shared" si="1"/>
        <v>0</v>
      </c>
      <c r="AE62" s="60">
        <f t="shared" si="7"/>
        <v>0</v>
      </c>
    </row>
    <row r="63" spans="1:31">
      <c r="A63" s="81" t="str">
        <f t="shared" si="2"/>
        <v/>
      </c>
      <c r="B63" s="81" t="str">
        <f t="shared" si="3"/>
        <v/>
      </c>
      <c r="V63" s="81" t="str">
        <f t="shared" si="4"/>
        <v/>
      </c>
      <c r="W63" s="81" t="str">
        <f t="shared" si="0"/>
        <v/>
      </c>
      <c r="X63" s="81" t="str">
        <f t="shared" si="5"/>
        <v/>
      </c>
      <c r="AC63" s="60">
        <f t="shared" si="6"/>
        <v>0</v>
      </c>
      <c r="AD63" s="49">
        <f t="shared" si="1"/>
        <v>0</v>
      </c>
      <c r="AE63" s="60">
        <f t="shared" si="7"/>
        <v>0</v>
      </c>
    </row>
    <row r="64" spans="1:31">
      <c r="A64" s="81" t="str">
        <f t="shared" si="2"/>
        <v/>
      </c>
      <c r="B64" s="81" t="str">
        <f t="shared" si="3"/>
        <v/>
      </c>
      <c r="V64" s="81" t="str">
        <f t="shared" si="4"/>
        <v/>
      </c>
      <c r="W64" s="81" t="str">
        <f t="shared" si="0"/>
        <v/>
      </c>
      <c r="X64" s="81" t="str">
        <f t="shared" si="5"/>
        <v/>
      </c>
      <c r="AC64" s="60">
        <f t="shared" si="6"/>
        <v>0</v>
      </c>
      <c r="AD64" s="49">
        <f t="shared" si="1"/>
        <v>0</v>
      </c>
      <c r="AE64" s="60">
        <f t="shared" si="7"/>
        <v>0</v>
      </c>
    </row>
    <row r="65" spans="1:31">
      <c r="A65" s="81" t="str">
        <f t="shared" si="2"/>
        <v/>
      </c>
      <c r="B65" s="81" t="str">
        <f t="shared" si="3"/>
        <v/>
      </c>
      <c r="V65" s="81" t="str">
        <f t="shared" si="4"/>
        <v/>
      </c>
      <c r="W65" s="81" t="str">
        <f t="shared" si="0"/>
        <v/>
      </c>
      <c r="X65" s="81" t="str">
        <f t="shared" si="5"/>
        <v/>
      </c>
      <c r="AC65" s="60">
        <f t="shared" si="6"/>
        <v>0</v>
      </c>
      <c r="AD65" s="49">
        <f t="shared" si="1"/>
        <v>0</v>
      </c>
      <c r="AE65" s="60">
        <f t="shared" si="7"/>
        <v>0</v>
      </c>
    </row>
    <row r="66" spans="1:31">
      <c r="A66" s="81" t="str">
        <f t="shared" si="2"/>
        <v/>
      </c>
      <c r="B66" s="81" t="str">
        <f t="shared" si="3"/>
        <v/>
      </c>
      <c r="V66" s="81" t="str">
        <f t="shared" si="4"/>
        <v/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81" t="str">
        <f t="shared" si="5"/>
        <v/>
      </c>
      <c r="AC66" s="60">
        <f t="shared" si="6"/>
        <v>0</v>
      </c>
      <c r="AD66" s="49">
        <f t="shared" si="1"/>
        <v>0</v>
      </c>
      <c r="AE66" s="60">
        <f t="shared" si="7"/>
        <v>0</v>
      </c>
    </row>
    <row r="67" spans="1:31">
      <c r="A67" s="81" t="str">
        <f t="shared" ref="A67:A130" si="9">IF(G67&amp;Q67&lt;&gt;"",W67&amp;Q67,"")</f>
        <v/>
      </c>
      <c r="B67" s="81" t="str">
        <f t="shared" ref="B67:B130" si="10">IF(C67&lt;&gt;"",LEFT(C67,9),"")</f>
        <v/>
      </c>
      <c r="V67" s="81" t="str">
        <f t="shared" ref="V67:V130" si="11">W67&amp;H67</f>
        <v/>
      </c>
      <c r="W67" s="81" t="str">
        <f t="shared" si="8"/>
        <v/>
      </c>
      <c r="X67" s="81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0</v>
      </c>
      <c r="AD67" s="49">
        <f t="shared" ref="AD67:AD130" si="14">IFERROR(VALUE(MID($C67,4,3)),0)</f>
        <v>0</v>
      </c>
      <c r="AE67" s="60">
        <f t="shared" ref="AE67:AE130" si="15">VALUE(RIGHT("00"&amp;AC67,2)&amp;RIGHT("000"&amp;AD67,3))</f>
        <v>0</v>
      </c>
    </row>
    <row r="68" spans="1:31">
      <c r="A68" s="81" t="str">
        <f t="shared" si="9"/>
        <v/>
      </c>
      <c r="B68" s="81" t="str">
        <f t="shared" si="10"/>
        <v/>
      </c>
      <c r="V68" s="81" t="str">
        <f t="shared" si="11"/>
        <v/>
      </c>
      <c r="W68" s="81" t="str">
        <f t="shared" si="8"/>
        <v/>
      </c>
      <c r="X68" s="81" t="str">
        <f t="shared" si="12"/>
        <v/>
      </c>
      <c r="AC68" s="60">
        <f t="shared" si="13"/>
        <v>0</v>
      </c>
      <c r="AD68" s="49">
        <f t="shared" si="14"/>
        <v>0</v>
      </c>
      <c r="AE68" s="60">
        <f t="shared" si="15"/>
        <v>0</v>
      </c>
    </row>
    <row r="69" spans="1:31">
      <c r="A69" s="81" t="str">
        <f t="shared" si="9"/>
        <v/>
      </c>
      <c r="B69" s="81" t="str">
        <f t="shared" si="10"/>
        <v/>
      </c>
      <c r="V69" s="81" t="str">
        <f t="shared" si="11"/>
        <v/>
      </c>
      <c r="W69" s="81" t="str">
        <f t="shared" si="8"/>
        <v/>
      </c>
      <c r="X69" s="81" t="str">
        <f t="shared" si="12"/>
        <v/>
      </c>
      <c r="AC69" s="60">
        <f t="shared" si="13"/>
        <v>0</v>
      </c>
      <c r="AD69" s="49">
        <f t="shared" si="14"/>
        <v>0</v>
      </c>
      <c r="AE69" s="60">
        <f t="shared" si="15"/>
        <v>0</v>
      </c>
    </row>
    <row r="70" spans="1:31">
      <c r="A70" s="81" t="str">
        <f t="shared" si="9"/>
        <v/>
      </c>
      <c r="B70" s="81" t="str">
        <f t="shared" si="10"/>
        <v/>
      </c>
      <c r="V70" s="81" t="str">
        <f t="shared" si="11"/>
        <v/>
      </c>
      <c r="W70" s="81" t="str">
        <f t="shared" si="8"/>
        <v/>
      </c>
      <c r="X70" s="81" t="str">
        <f t="shared" si="12"/>
        <v/>
      </c>
      <c r="AC70" s="60">
        <f t="shared" si="13"/>
        <v>0</v>
      </c>
      <c r="AD70" s="49">
        <f t="shared" si="14"/>
        <v>0</v>
      </c>
      <c r="AE70" s="60">
        <f t="shared" si="15"/>
        <v>0</v>
      </c>
    </row>
    <row r="71" spans="1:31">
      <c r="A71" s="81" t="str">
        <f t="shared" si="9"/>
        <v/>
      </c>
      <c r="B71" s="81" t="str">
        <f t="shared" si="10"/>
        <v/>
      </c>
      <c r="V71" s="81" t="str">
        <f t="shared" si="11"/>
        <v/>
      </c>
      <c r="W71" s="81" t="str">
        <f t="shared" si="8"/>
        <v/>
      </c>
      <c r="X71" s="81" t="str">
        <f t="shared" si="12"/>
        <v/>
      </c>
      <c r="AC71" s="60">
        <f t="shared" si="13"/>
        <v>0</v>
      </c>
      <c r="AD71" s="49">
        <f t="shared" si="14"/>
        <v>0</v>
      </c>
      <c r="AE71" s="60">
        <f t="shared" si="15"/>
        <v>0</v>
      </c>
    </row>
    <row r="72" spans="1:31">
      <c r="A72" s="81" t="str">
        <f t="shared" si="9"/>
        <v/>
      </c>
      <c r="B72" s="81" t="str">
        <f t="shared" si="10"/>
        <v/>
      </c>
      <c r="V72" s="81" t="str">
        <f t="shared" si="11"/>
        <v/>
      </c>
      <c r="W72" s="81" t="str">
        <f t="shared" si="8"/>
        <v/>
      </c>
      <c r="X72" s="81" t="str">
        <f t="shared" si="12"/>
        <v/>
      </c>
      <c r="AC72" s="60">
        <f t="shared" si="13"/>
        <v>0</v>
      </c>
      <c r="AD72" s="49">
        <f t="shared" si="14"/>
        <v>0</v>
      </c>
      <c r="AE72" s="60">
        <f t="shared" si="15"/>
        <v>0</v>
      </c>
    </row>
    <row r="73" spans="1:31">
      <c r="A73" s="81" t="str">
        <f t="shared" si="9"/>
        <v/>
      </c>
      <c r="B73" s="81" t="str">
        <f t="shared" si="10"/>
        <v/>
      </c>
      <c r="V73" s="81" t="str">
        <f t="shared" si="11"/>
        <v/>
      </c>
      <c r="W73" s="81" t="str">
        <f t="shared" si="8"/>
        <v/>
      </c>
      <c r="X73" s="81" t="str">
        <f t="shared" si="12"/>
        <v/>
      </c>
      <c r="AC73" s="60">
        <f t="shared" si="13"/>
        <v>0</v>
      </c>
      <c r="AD73" s="49">
        <f t="shared" si="14"/>
        <v>0</v>
      </c>
      <c r="AE73" s="60">
        <f t="shared" si="15"/>
        <v>0</v>
      </c>
    </row>
    <row r="74" spans="1:31">
      <c r="A74" s="81" t="str">
        <f t="shared" si="9"/>
        <v/>
      </c>
      <c r="B74" s="81" t="str">
        <f t="shared" si="10"/>
        <v/>
      </c>
      <c r="V74" s="81" t="str">
        <f t="shared" si="11"/>
        <v/>
      </c>
      <c r="W74" s="81" t="str">
        <f t="shared" si="8"/>
        <v/>
      </c>
      <c r="X74" s="81" t="str">
        <f t="shared" si="12"/>
        <v/>
      </c>
      <c r="AC74" s="60">
        <f t="shared" si="13"/>
        <v>0</v>
      </c>
      <c r="AD74" s="49">
        <f t="shared" si="14"/>
        <v>0</v>
      </c>
      <c r="AE74" s="60">
        <f t="shared" si="15"/>
        <v>0</v>
      </c>
    </row>
    <row r="75" spans="1:31">
      <c r="A75" s="81" t="str">
        <f t="shared" si="9"/>
        <v/>
      </c>
      <c r="B75" s="81" t="str">
        <f t="shared" si="10"/>
        <v/>
      </c>
      <c r="V75" s="81" t="str">
        <f t="shared" si="11"/>
        <v/>
      </c>
      <c r="W75" s="81" t="str">
        <f t="shared" si="8"/>
        <v/>
      </c>
      <c r="X75" s="81" t="str">
        <f t="shared" si="12"/>
        <v/>
      </c>
      <c r="AC75" s="60">
        <f t="shared" si="13"/>
        <v>0</v>
      </c>
      <c r="AD75" s="49">
        <f t="shared" si="14"/>
        <v>0</v>
      </c>
      <c r="AE75" s="60">
        <f t="shared" si="15"/>
        <v>0</v>
      </c>
    </row>
    <row r="76" spans="1:31">
      <c r="A76" s="81" t="str">
        <f t="shared" si="9"/>
        <v/>
      </c>
      <c r="B76" s="81" t="str">
        <f t="shared" si="10"/>
        <v/>
      </c>
      <c r="V76" s="81" t="str">
        <f t="shared" si="11"/>
        <v/>
      </c>
      <c r="W76" s="81" t="str">
        <f t="shared" si="8"/>
        <v/>
      </c>
      <c r="X76" s="81" t="str">
        <f t="shared" si="12"/>
        <v/>
      </c>
      <c r="AC76" s="60">
        <f t="shared" si="13"/>
        <v>0</v>
      </c>
      <c r="AD76" s="49">
        <f t="shared" si="14"/>
        <v>0</v>
      </c>
      <c r="AE76" s="60">
        <f t="shared" si="15"/>
        <v>0</v>
      </c>
    </row>
    <row r="77" spans="1:31">
      <c r="A77" s="81" t="str">
        <f t="shared" si="9"/>
        <v/>
      </c>
      <c r="B77" s="81" t="str">
        <f t="shared" si="10"/>
        <v/>
      </c>
      <c r="V77" s="81" t="str">
        <f t="shared" si="11"/>
        <v/>
      </c>
      <c r="W77" s="81" t="str">
        <f t="shared" si="8"/>
        <v/>
      </c>
      <c r="X77" s="81" t="str">
        <f t="shared" si="12"/>
        <v/>
      </c>
      <c r="AC77" s="60">
        <f t="shared" si="13"/>
        <v>0</v>
      </c>
      <c r="AD77" s="49">
        <f t="shared" si="14"/>
        <v>0</v>
      </c>
      <c r="AE77" s="60">
        <f t="shared" si="15"/>
        <v>0</v>
      </c>
    </row>
    <row r="78" spans="1:31">
      <c r="A78" s="81" t="str">
        <f t="shared" si="9"/>
        <v/>
      </c>
      <c r="B78" s="81" t="str">
        <f t="shared" si="10"/>
        <v/>
      </c>
      <c r="V78" s="81" t="str">
        <f t="shared" si="11"/>
        <v/>
      </c>
      <c r="W78" s="81" t="str">
        <f t="shared" si="8"/>
        <v/>
      </c>
      <c r="X78" s="81" t="str">
        <f t="shared" si="12"/>
        <v/>
      </c>
      <c r="AC78" s="60">
        <f t="shared" si="13"/>
        <v>0</v>
      </c>
      <c r="AD78" s="49">
        <f t="shared" si="14"/>
        <v>0</v>
      </c>
      <c r="AE78" s="60">
        <f t="shared" si="15"/>
        <v>0</v>
      </c>
    </row>
    <row r="79" spans="1:31">
      <c r="A79" s="81" t="str">
        <f t="shared" si="9"/>
        <v/>
      </c>
      <c r="B79" s="81" t="str">
        <f t="shared" si="10"/>
        <v/>
      </c>
      <c r="V79" s="81" t="str">
        <f t="shared" si="11"/>
        <v/>
      </c>
      <c r="W79" s="81" t="str">
        <f t="shared" si="8"/>
        <v/>
      </c>
      <c r="X79" s="81" t="str">
        <f t="shared" si="12"/>
        <v/>
      </c>
      <c r="AC79" s="60">
        <f t="shared" si="13"/>
        <v>0</v>
      </c>
      <c r="AD79" s="49">
        <f t="shared" si="14"/>
        <v>0</v>
      </c>
      <c r="AE79" s="60">
        <f t="shared" si="15"/>
        <v>0</v>
      </c>
    </row>
    <row r="80" spans="1:31">
      <c r="A80" s="81" t="str">
        <f t="shared" si="9"/>
        <v/>
      </c>
      <c r="B80" s="81" t="str">
        <f t="shared" si="10"/>
        <v/>
      </c>
      <c r="V80" s="81" t="str">
        <f t="shared" si="11"/>
        <v/>
      </c>
      <c r="W80" s="81" t="str">
        <f t="shared" si="8"/>
        <v/>
      </c>
      <c r="X80" s="81" t="str">
        <f t="shared" si="12"/>
        <v/>
      </c>
      <c r="AC80" s="60">
        <f t="shared" si="13"/>
        <v>0</v>
      </c>
      <c r="AD80" s="49">
        <f t="shared" si="14"/>
        <v>0</v>
      </c>
      <c r="AE80" s="60">
        <f t="shared" si="15"/>
        <v>0</v>
      </c>
    </row>
    <row r="81" spans="1:31">
      <c r="A81" s="81" t="str">
        <f t="shared" si="9"/>
        <v/>
      </c>
      <c r="B81" s="81" t="str">
        <f t="shared" si="10"/>
        <v/>
      </c>
      <c r="V81" s="81" t="str">
        <f t="shared" si="11"/>
        <v/>
      </c>
      <c r="W81" s="81" t="str">
        <f t="shared" si="8"/>
        <v/>
      </c>
      <c r="X81" s="81" t="str">
        <f t="shared" si="12"/>
        <v/>
      </c>
      <c r="AC81" s="60">
        <f t="shared" si="13"/>
        <v>0</v>
      </c>
      <c r="AD81" s="49">
        <f t="shared" si="14"/>
        <v>0</v>
      </c>
      <c r="AE81" s="60">
        <f t="shared" si="15"/>
        <v>0</v>
      </c>
    </row>
    <row r="82" spans="1:31">
      <c r="A82" s="81" t="str">
        <f t="shared" si="9"/>
        <v/>
      </c>
      <c r="B82" s="81" t="str">
        <f t="shared" si="10"/>
        <v/>
      </c>
      <c r="V82" s="81" t="str">
        <f t="shared" si="11"/>
        <v/>
      </c>
      <c r="W82" s="81" t="str">
        <f t="shared" si="8"/>
        <v/>
      </c>
      <c r="X82" s="81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1" t="str">
        <f t="shared" si="9"/>
        <v/>
      </c>
      <c r="B83" s="81" t="str">
        <f t="shared" si="10"/>
        <v/>
      </c>
      <c r="V83" s="81" t="str">
        <f t="shared" si="11"/>
        <v/>
      </c>
      <c r="W83" s="81" t="str">
        <f t="shared" si="8"/>
        <v/>
      </c>
      <c r="X83" s="81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1" t="str">
        <f t="shared" si="9"/>
        <v/>
      </c>
      <c r="B84" s="81" t="str">
        <f t="shared" si="10"/>
        <v/>
      </c>
      <c r="V84" s="81" t="str">
        <f t="shared" si="11"/>
        <v/>
      </c>
      <c r="W84" s="81" t="str">
        <f t="shared" si="8"/>
        <v/>
      </c>
      <c r="X84" s="81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1" t="str">
        <f t="shared" si="9"/>
        <v/>
      </c>
      <c r="B85" s="81" t="str">
        <f t="shared" si="10"/>
        <v/>
      </c>
      <c r="V85" s="81" t="str">
        <f t="shared" si="11"/>
        <v/>
      </c>
      <c r="W85" s="81" t="str">
        <f t="shared" si="8"/>
        <v/>
      </c>
      <c r="X85" s="81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1" t="str">
        <f t="shared" si="9"/>
        <v/>
      </c>
      <c r="B86" s="81" t="str">
        <f t="shared" si="10"/>
        <v/>
      </c>
      <c r="V86" s="81" t="str">
        <f t="shared" si="11"/>
        <v/>
      </c>
      <c r="W86" s="81" t="str">
        <f t="shared" si="8"/>
        <v/>
      </c>
      <c r="X86" s="81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1" t="str">
        <f t="shared" si="9"/>
        <v/>
      </c>
      <c r="B87" s="81" t="str">
        <f t="shared" si="10"/>
        <v/>
      </c>
      <c r="V87" s="81" t="str">
        <f t="shared" si="11"/>
        <v/>
      </c>
      <c r="W87" s="81" t="str">
        <f t="shared" si="8"/>
        <v/>
      </c>
      <c r="X87" s="81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1" t="str">
        <f t="shared" si="9"/>
        <v/>
      </c>
      <c r="B88" s="81" t="str">
        <f t="shared" si="10"/>
        <v/>
      </c>
      <c r="V88" s="81" t="str">
        <f t="shared" si="11"/>
        <v/>
      </c>
      <c r="W88" s="81" t="str">
        <f t="shared" si="8"/>
        <v/>
      </c>
      <c r="X88" s="81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1" t="str">
        <f t="shared" si="9"/>
        <v/>
      </c>
      <c r="B89" s="81" t="str">
        <f t="shared" si="10"/>
        <v/>
      </c>
      <c r="V89" s="81" t="str">
        <f t="shared" si="11"/>
        <v/>
      </c>
      <c r="W89" s="81" t="str">
        <f t="shared" si="8"/>
        <v/>
      </c>
      <c r="X89" s="81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1" t="str">
        <f t="shared" si="9"/>
        <v/>
      </c>
      <c r="B90" s="81" t="str">
        <f t="shared" si="10"/>
        <v/>
      </c>
      <c r="V90" s="81" t="str">
        <f t="shared" si="11"/>
        <v/>
      </c>
      <c r="W90" s="81" t="str">
        <f t="shared" si="8"/>
        <v/>
      </c>
      <c r="X90" s="81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1" t="str">
        <f t="shared" si="9"/>
        <v/>
      </c>
      <c r="B91" s="81" t="str">
        <f t="shared" si="10"/>
        <v/>
      </c>
      <c r="V91" s="81" t="str">
        <f t="shared" si="11"/>
        <v/>
      </c>
      <c r="W91" s="81" t="str">
        <f t="shared" si="8"/>
        <v/>
      </c>
      <c r="X91" s="81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1" t="str">
        <f t="shared" si="9"/>
        <v/>
      </c>
      <c r="B92" s="81" t="str">
        <f t="shared" si="10"/>
        <v/>
      </c>
      <c r="V92" s="81" t="str">
        <f t="shared" si="11"/>
        <v/>
      </c>
      <c r="W92" s="81" t="str">
        <f t="shared" si="8"/>
        <v/>
      </c>
      <c r="X92" s="81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1" t="str">
        <f t="shared" si="9"/>
        <v/>
      </c>
      <c r="B93" s="81" t="str">
        <f t="shared" si="10"/>
        <v/>
      </c>
      <c r="V93" s="81" t="str">
        <f t="shared" si="11"/>
        <v/>
      </c>
      <c r="W93" s="81" t="str">
        <f t="shared" si="8"/>
        <v/>
      </c>
      <c r="X93" s="81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1" t="str">
        <f t="shared" si="9"/>
        <v/>
      </c>
      <c r="B94" s="81" t="str">
        <f t="shared" si="10"/>
        <v/>
      </c>
      <c r="V94" s="81" t="str">
        <f t="shared" si="11"/>
        <v/>
      </c>
      <c r="W94" s="81" t="str">
        <f t="shared" si="8"/>
        <v/>
      </c>
      <c r="X94" s="81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1" t="str">
        <f t="shared" si="9"/>
        <v/>
      </c>
      <c r="B95" s="81" t="str">
        <f t="shared" si="10"/>
        <v/>
      </c>
      <c r="V95" s="81" t="str">
        <f t="shared" si="11"/>
        <v/>
      </c>
      <c r="W95" s="81" t="str">
        <f t="shared" si="8"/>
        <v/>
      </c>
      <c r="X95" s="81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1" t="str">
        <f t="shared" si="9"/>
        <v/>
      </c>
      <c r="B96" s="81" t="str">
        <f t="shared" si="10"/>
        <v/>
      </c>
      <c r="V96" s="81" t="str">
        <f t="shared" si="11"/>
        <v/>
      </c>
      <c r="W96" s="81" t="str">
        <f t="shared" si="8"/>
        <v/>
      </c>
      <c r="X96" s="81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1" t="str">
        <f t="shared" si="9"/>
        <v/>
      </c>
      <c r="B97" s="81" t="str">
        <f t="shared" si="10"/>
        <v/>
      </c>
      <c r="V97" s="81" t="str">
        <f t="shared" si="11"/>
        <v/>
      </c>
      <c r="W97" s="81" t="str">
        <f t="shared" si="8"/>
        <v/>
      </c>
      <c r="X97" s="81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1" t="str">
        <f t="shared" si="9"/>
        <v/>
      </c>
      <c r="B98" s="81" t="str">
        <f t="shared" si="10"/>
        <v/>
      </c>
      <c r="V98" s="81" t="str">
        <f t="shared" si="11"/>
        <v/>
      </c>
      <c r="W98" s="81" t="str">
        <f t="shared" si="8"/>
        <v/>
      </c>
      <c r="X98" s="81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1" t="str">
        <f t="shared" si="9"/>
        <v/>
      </c>
      <c r="B99" s="81" t="str">
        <f t="shared" si="10"/>
        <v/>
      </c>
      <c r="V99" s="81" t="str">
        <f t="shared" si="11"/>
        <v/>
      </c>
      <c r="W99" s="81" t="str">
        <f t="shared" si="8"/>
        <v/>
      </c>
      <c r="X99" s="81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1" t="str">
        <f t="shared" si="9"/>
        <v/>
      </c>
      <c r="B100" s="81" t="str">
        <f t="shared" si="10"/>
        <v/>
      </c>
      <c r="V100" s="81" t="str">
        <f t="shared" si="11"/>
        <v/>
      </c>
      <c r="W100" s="81" t="str">
        <f t="shared" si="8"/>
        <v/>
      </c>
      <c r="X100" s="81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1" t="str">
        <f t="shared" si="9"/>
        <v/>
      </c>
      <c r="B101" s="81" t="str">
        <f t="shared" si="10"/>
        <v/>
      </c>
      <c r="V101" s="81" t="str">
        <f t="shared" si="11"/>
        <v/>
      </c>
      <c r="W101" s="81" t="str">
        <f t="shared" si="8"/>
        <v/>
      </c>
      <c r="X101" s="81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1" t="str">
        <f t="shared" si="9"/>
        <v/>
      </c>
      <c r="B102" s="81" t="str">
        <f t="shared" si="10"/>
        <v/>
      </c>
      <c r="V102" s="81" t="str">
        <f t="shared" si="11"/>
        <v/>
      </c>
      <c r="W102" s="81" t="str">
        <f t="shared" si="8"/>
        <v/>
      </c>
      <c r="X102" s="81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1" t="str">
        <f t="shared" si="9"/>
        <v/>
      </c>
      <c r="B103" s="81" t="str">
        <f t="shared" si="10"/>
        <v/>
      </c>
      <c r="V103" s="81" t="str">
        <f t="shared" si="11"/>
        <v/>
      </c>
      <c r="W103" s="81" t="str">
        <f t="shared" si="8"/>
        <v/>
      </c>
      <c r="X103" s="81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1" t="str">
        <f t="shared" si="9"/>
        <v/>
      </c>
      <c r="B104" s="81" t="str">
        <f t="shared" si="10"/>
        <v/>
      </c>
      <c r="V104" s="81" t="str">
        <f t="shared" si="11"/>
        <v/>
      </c>
      <c r="W104" s="81" t="str">
        <f t="shared" si="8"/>
        <v/>
      </c>
      <c r="X104" s="81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1" t="str">
        <f t="shared" si="9"/>
        <v/>
      </c>
      <c r="B105" s="81" t="str">
        <f t="shared" si="10"/>
        <v/>
      </c>
      <c r="V105" s="81" t="str">
        <f t="shared" si="11"/>
        <v/>
      </c>
      <c r="W105" s="81" t="str">
        <f t="shared" si="8"/>
        <v/>
      </c>
      <c r="X105" s="81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1" t="str">
        <f t="shared" si="9"/>
        <v/>
      </c>
      <c r="B106" s="81" t="str">
        <f t="shared" si="10"/>
        <v/>
      </c>
      <c r="V106" s="81" t="str">
        <f t="shared" si="11"/>
        <v/>
      </c>
      <c r="W106" s="81" t="str">
        <f t="shared" si="8"/>
        <v/>
      </c>
      <c r="X106" s="81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1" t="str">
        <f t="shared" si="9"/>
        <v/>
      </c>
      <c r="B107" s="81" t="str">
        <f t="shared" si="10"/>
        <v/>
      </c>
      <c r="V107" s="81" t="str">
        <f t="shared" si="11"/>
        <v/>
      </c>
      <c r="W107" s="81" t="str">
        <f t="shared" si="8"/>
        <v/>
      </c>
      <c r="X107" s="81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1" t="str">
        <f t="shared" si="9"/>
        <v/>
      </c>
      <c r="B108" s="81" t="str">
        <f t="shared" si="10"/>
        <v/>
      </c>
      <c r="V108" s="81" t="str">
        <f t="shared" si="11"/>
        <v/>
      </c>
      <c r="W108" s="81" t="str">
        <f t="shared" si="8"/>
        <v/>
      </c>
      <c r="X108" s="81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1" t="str">
        <f t="shared" si="9"/>
        <v/>
      </c>
      <c r="B109" s="81" t="str">
        <f t="shared" si="10"/>
        <v/>
      </c>
      <c r="V109" s="81" t="str">
        <f t="shared" si="11"/>
        <v/>
      </c>
      <c r="W109" s="81" t="str">
        <f t="shared" si="8"/>
        <v/>
      </c>
      <c r="X109" s="81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1" t="str">
        <f t="shared" si="9"/>
        <v/>
      </c>
      <c r="B110" s="81" t="str">
        <f t="shared" si="10"/>
        <v/>
      </c>
      <c r="V110" s="81" t="str">
        <f t="shared" si="11"/>
        <v/>
      </c>
      <c r="W110" s="81" t="str">
        <f t="shared" si="8"/>
        <v/>
      </c>
      <c r="X110" s="81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1" t="str">
        <f t="shared" si="9"/>
        <v/>
      </c>
      <c r="B111" s="81" t="str">
        <f t="shared" si="10"/>
        <v/>
      </c>
      <c r="V111" s="81" t="str">
        <f t="shared" si="11"/>
        <v/>
      </c>
      <c r="W111" s="81" t="str">
        <f t="shared" si="8"/>
        <v/>
      </c>
      <c r="X111" s="81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1" t="str">
        <f t="shared" si="9"/>
        <v/>
      </c>
      <c r="B112" s="81" t="str">
        <f t="shared" si="10"/>
        <v/>
      </c>
      <c r="V112" s="81" t="str">
        <f t="shared" si="11"/>
        <v/>
      </c>
      <c r="W112" s="81" t="str">
        <f t="shared" si="8"/>
        <v/>
      </c>
      <c r="X112" s="81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1" t="str">
        <f t="shared" si="9"/>
        <v/>
      </c>
      <c r="B113" s="81" t="str">
        <f t="shared" si="10"/>
        <v/>
      </c>
      <c r="V113" s="81" t="str">
        <f t="shared" si="11"/>
        <v/>
      </c>
      <c r="W113" s="81" t="str">
        <f t="shared" si="8"/>
        <v/>
      </c>
      <c r="X113" s="81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1" t="str">
        <f t="shared" si="9"/>
        <v/>
      </c>
      <c r="B114" s="81" t="str">
        <f t="shared" si="10"/>
        <v/>
      </c>
      <c r="V114" s="81" t="str">
        <f t="shared" si="11"/>
        <v/>
      </c>
      <c r="W114" s="81" t="str">
        <f t="shared" si="8"/>
        <v/>
      </c>
      <c r="X114" s="81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1" t="str">
        <f t="shared" si="9"/>
        <v/>
      </c>
      <c r="B115" s="81" t="str">
        <f t="shared" si="10"/>
        <v/>
      </c>
      <c r="V115" s="81" t="str">
        <f t="shared" si="11"/>
        <v/>
      </c>
      <c r="W115" s="81" t="str">
        <f t="shared" si="8"/>
        <v/>
      </c>
      <c r="X115" s="81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1" t="str">
        <f t="shared" si="9"/>
        <v/>
      </c>
      <c r="B116" s="81" t="str">
        <f t="shared" si="10"/>
        <v/>
      </c>
      <c r="V116" s="81" t="str">
        <f t="shared" si="11"/>
        <v/>
      </c>
      <c r="W116" s="81" t="str">
        <f t="shared" si="8"/>
        <v/>
      </c>
      <c r="X116" s="81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1" t="str">
        <f t="shared" si="9"/>
        <v/>
      </c>
      <c r="B117" s="81" t="str">
        <f t="shared" si="10"/>
        <v/>
      </c>
      <c r="V117" s="81" t="str">
        <f t="shared" si="11"/>
        <v/>
      </c>
      <c r="W117" s="81" t="str">
        <f t="shared" si="8"/>
        <v/>
      </c>
      <c r="X117" s="81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1" t="str">
        <f t="shared" si="9"/>
        <v/>
      </c>
      <c r="B118" s="81" t="str">
        <f t="shared" si="10"/>
        <v/>
      </c>
      <c r="V118" s="81" t="str">
        <f t="shared" si="11"/>
        <v/>
      </c>
      <c r="W118" s="81" t="str">
        <f t="shared" si="8"/>
        <v/>
      </c>
      <c r="X118" s="81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1" t="str">
        <f t="shared" si="9"/>
        <v/>
      </c>
      <c r="B119" s="81" t="str">
        <f t="shared" si="10"/>
        <v/>
      </c>
      <c r="V119" s="81" t="str">
        <f t="shared" si="11"/>
        <v/>
      </c>
      <c r="W119" s="81" t="str">
        <f t="shared" si="8"/>
        <v/>
      </c>
      <c r="X119" s="81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1" t="str">
        <f t="shared" si="9"/>
        <v/>
      </c>
      <c r="B120" s="81" t="str">
        <f t="shared" si="10"/>
        <v/>
      </c>
      <c r="V120" s="81" t="str">
        <f t="shared" si="11"/>
        <v/>
      </c>
      <c r="W120" s="81" t="str">
        <f t="shared" si="8"/>
        <v/>
      </c>
      <c r="X120" s="81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1" t="str">
        <f t="shared" si="9"/>
        <v/>
      </c>
      <c r="B121" s="81" t="str">
        <f t="shared" si="10"/>
        <v/>
      </c>
      <c r="V121" s="81" t="str">
        <f t="shared" si="11"/>
        <v/>
      </c>
      <c r="W121" s="81" t="str">
        <f t="shared" si="8"/>
        <v/>
      </c>
      <c r="X121" s="81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1" t="str">
        <f t="shared" si="9"/>
        <v/>
      </c>
      <c r="B122" s="81" t="str">
        <f t="shared" si="10"/>
        <v/>
      </c>
      <c r="V122" s="81" t="str">
        <f t="shared" si="11"/>
        <v/>
      </c>
      <c r="W122" s="81" t="str">
        <f t="shared" si="8"/>
        <v/>
      </c>
      <c r="X122" s="81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1" t="str">
        <f t="shared" si="9"/>
        <v/>
      </c>
      <c r="B123" s="81" t="str">
        <f t="shared" si="10"/>
        <v/>
      </c>
      <c r="V123" s="81" t="str">
        <f t="shared" si="11"/>
        <v/>
      </c>
      <c r="W123" s="81" t="str">
        <f t="shared" si="8"/>
        <v/>
      </c>
      <c r="X123" s="81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1" t="str">
        <f t="shared" si="9"/>
        <v/>
      </c>
      <c r="B124" s="81" t="str">
        <f t="shared" si="10"/>
        <v/>
      </c>
      <c r="V124" s="81" t="str">
        <f t="shared" si="11"/>
        <v/>
      </c>
      <c r="W124" s="81" t="str">
        <f t="shared" si="8"/>
        <v/>
      </c>
      <c r="X124" s="81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1" t="str">
        <f t="shared" si="9"/>
        <v/>
      </c>
      <c r="B125" s="81" t="str">
        <f t="shared" si="10"/>
        <v/>
      </c>
      <c r="V125" s="81" t="str">
        <f t="shared" si="11"/>
        <v/>
      </c>
      <c r="W125" s="81" t="str">
        <f t="shared" si="8"/>
        <v/>
      </c>
      <c r="X125" s="81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1" t="str">
        <f t="shared" si="9"/>
        <v/>
      </c>
      <c r="B126" s="81" t="str">
        <f t="shared" si="10"/>
        <v/>
      </c>
      <c r="V126" s="81" t="str">
        <f t="shared" si="11"/>
        <v/>
      </c>
      <c r="W126" s="81" t="str">
        <f t="shared" si="8"/>
        <v/>
      </c>
      <c r="X126" s="81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1" t="str">
        <f t="shared" si="9"/>
        <v/>
      </c>
      <c r="B127" s="81" t="str">
        <f t="shared" si="10"/>
        <v/>
      </c>
      <c r="V127" s="81" t="str">
        <f t="shared" si="11"/>
        <v/>
      </c>
      <c r="W127" s="81" t="str">
        <f t="shared" si="8"/>
        <v/>
      </c>
      <c r="X127" s="81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1" t="str">
        <f t="shared" si="9"/>
        <v/>
      </c>
      <c r="B128" s="81" t="str">
        <f t="shared" si="10"/>
        <v/>
      </c>
      <c r="V128" s="81" t="str">
        <f t="shared" si="11"/>
        <v/>
      </c>
      <c r="W128" s="81" t="str">
        <f t="shared" si="8"/>
        <v/>
      </c>
      <c r="X128" s="81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1" t="str">
        <f t="shared" si="9"/>
        <v/>
      </c>
      <c r="B129" s="81" t="str">
        <f t="shared" si="10"/>
        <v/>
      </c>
      <c r="V129" s="81" t="str">
        <f t="shared" si="11"/>
        <v/>
      </c>
      <c r="W129" s="81" t="str">
        <f t="shared" si="8"/>
        <v/>
      </c>
      <c r="X129" s="81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1" t="str">
        <f t="shared" si="9"/>
        <v/>
      </c>
      <c r="B130" s="81" t="str">
        <f t="shared" si="10"/>
        <v/>
      </c>
      <c r="V130" s="81" t="str">
        <f t="shared" si="11"/>
        <v/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1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1" t="str">
        <f t="shared" ref="A131:A194" si="17">IF(G131&amp;Q131&lt;&gt;"",W131&amp;Q131,"")</f>
        <v/>
      </c>
      <c r="B131" s="81" t="str">
        <f t="shared" ref="B131:B194" si="18">IF(C131&lt;&gt;"",LEFT(C131,9),"")</f>
        <v/>
      </c>
      <c r="V131" s="81" t="str">
        <f t="shared" ref="V131:V194" si="19">W131&amp;H131</f>
        <v/>
      </c>
      <c r="W131" s="81" t="str">
        <f t="shared" si="16"/>
        <v/>
      </c>
      <c r="X131" s="81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1" t="str">
        <f t="shared" si="17"/>
        <v/>
      </c>
      <c r="B132" s="81" t="str">
        <f t="shared" si="18"/>
        <v/>
      </c>
      <c r="V132" s="81" t="str">
        <f t="shared" si="19"/>
        <v/>
      </c>
      <c r="W132" s="81" t="str">
        <f t="shared" si="16"/>
        <v/>
      </c>
      <c r="X132" s="81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1" t="str">
        <f t="shared" si="17"/>
        <v/>
      </c>
      <c r="B133" s="81" t="str">
        <f t="shared" si="18"/>
        <v/>
      </c>
      <c r="V133" s="81" t="str">
        <f t="shared" si="19"/>
        <v/>
      </c>
      <c r="W133" s="81" t="str">
        <f t="shared" si="16"/>
        <v/>
      </c>
      <c r="X133" s="81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1" t="str">
        <f t="shared" si="17"/>
        <v/>
      </c>
      <c r="B134" s="81" t="str">
        <f t="shared" si="18"/>
        <v/>
      </c>
      <c r="V134" s="81" t="str">
        <f t="shared" si="19"/>
        <v/>
      </c>
      <c r="W134" s="81" t="str">
        <f t="shared" si="16"/>
        <v/>
      </c>
      <c r="X134" s="81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1" t="str">
        <f t="shared" si="17"/>
        <v/>
      </c>
      <c r="B135" s="81" t="str">
        <f t="shared" si="18"/>
        <v/>
      </c>
      <c r="V135" s="81" t="str">
        <f t="shared" si="19"/>
        <v/>
      </c>
      <c r="W135" s="81" t="str">
        <f t="shared" si="16"/>
        <v/>
      </c>
      <c r="X135" s="81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1" t="str">
        <f t="shared" si="17"/>
        <v/>
      </c>
      <c r="B136" s="81" t="str">
        <f t="shared" si="18"/>
        <v/>
      </c>
      <c r="V136" s="81" t="str">
        <f t="shared" si="19"/>
        <v/>
      </c>
      <c r="W136" s="81" t="str">
        <f t="shared" si="16"/>
        <v/>
      </c>
      <c r="X136" s="81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1" t="str">
        <f t="shared" si="17"/>
        <v/>
      </c>
      <c r="B137" s="81" t="str">
        <f t="shared" si="18"/>
        <v/>
      </c>
      <c r="V137" s="81" t="str">
        <f t="shared" si="19"/>
        <v/>
      </c>
      <c r="W137" s="81" t="str">
        <f t="shared" si="16"/>
        <v/>
      </c>
      <c r="X137" s="81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1" t="str">
        <f t="shared" si="17"/>
        <v/>
      </c>
      <c r="B138" s="81" t="str">
        <f t="shared" si="18"/>
        <v/>
      </c>
      <c r="V138" s="81" t="str">
        <f t="shared" si="19"/>
        <v/>
      </c>
      <c r="W138" s="81" t="str">
        <f t="shared" si="16"/>
        <v/>
      </c>
      <c r="X138" s="81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1" t="str">
        <f t="shared" si="17"/>
        <v/>
      </c>
      <c r="B139" s="81" t="str">
        <f t="shared" si="18"/>
        <v/>
      </c>
      <c r="V139" s="81" t="str">
        <f t="shared" si="19"/>
        <v/>
      </c>
      <c r="W139" s="81" t="str">
        <f t="shared" si="16"/>
        <v/>
      </c>
      <c r="X139" s="81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1" t="str">
        <f t="shared" si="17"/>
        <v/>
      </c>
      <c r="B140" s="81" t="str">
        <f t="shared" si="18"/>
        <v/>
      </c>
      <c r="V140" s="81" t="str">
        <f t="shared" si="19"/>
        <v/>
      </c>
      <c r="W140" s="81" t="str">
        <f t="shared" si="16"/>
        <v/>
      </c>
      <c r="X140" s="81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1" t="str">
        <f t="shared" si="17"/>
        <v/>
      </c>
      <c r="B141" s="81" t="str">
        <f t="shared" si="18"/>
        <v/>
      </c>
      <c r="V141" s="81" t="str">
        <f t="shared" si="19"/>
        <v/>
      </c>
      <c r="W141" s="81" t="str">
        <f t="shared" si="16"/>
        <v/>
      </c>
      <c r="X141" s="81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1" t="str">
        <f t="shared" si="17"/>
        <v/>
      </c>
      <c r="B142" s="81" t="str">
        <f t="shared" si="18"/>
        <v/>
      </c>
      <c r="V142" s="81" t="str">
        <f t="shared" si="19"/>
        <v/>
      </c>
      <c r="W142" s="81" t="str">
        <f t="shared" si="16"/>
        <v/>
      </c>
      <c r="X142" s="81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1" t="str">
        <f t="shared" si="17"/>
        <v/>
      </c>
      <c r="B143" s="81" t="str">
        <f t="shared" si="18"/>
        <v/>
      </c>
      <c r="V143" s="81" t="str">
        <f t="shared" si="19"/>
        <v/>
      </c>
      <c r="W143" s="81" t="str">
        <f t="shared" si="16"/>
        <v/>
      </c>
      <c r="X143" s="81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1" t="str">
        <f t="shared" si="17"/>
        <v/>
      </c>
      <c r="B144" s="81" t="str">
        <f t="shared" si="18"/>
        <v/>
      </c>
      <c r="V144" s="81" t="str">
        <f t="shared" si="19"/>
        <v/>
      </c>
      <c r="W144" s="81" t="str">
        <f t="shared" si="16"/>
        <v/>
      </c>
      <c r="X144" s="81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1" t="str">
        <f t="shared" si="17"/>
        <v/>
      </c>
      <c r="B145" s="81" t="str">
        <f t="shared" si="18"/>
        <v/>
      </c>
      <c r="V145" s="81" t="str">
        <f t="shared" si="19"/>
        <v/>
      </c>
      <c r="W145" s="81" t="str">
        <f t="shared" si="16"/>
        <v/>
      </c>
      <c r="X145" s="81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1" t="str">
        <f t="shared" si="17"/>
        <v/>
      </c>
      <c r="B146" s="81" t="str">
        <f t="shared" si="18"/>
        <v/>
      </c>
      <c r="V146" s="81" t="str">
        <f t="shared" si="19"/>
        <v/>
      </c>
      <c r="W146" s="81" t="str">
        <f t="shared" si="16"/>
        <v/>
      </c>
      <c r="X146" s="81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1" t="str">
        <f t="shared" si="17"/>
        <v/>
      </c>
      <c r="B147" s="81" t="str">
        <f t="shared" si="18"/>
        <v/>
      </c>
      <c r="V147" s="81" t="str">
        <f t="shared" si="19"/>
        <v/>
      </c>
      <c r="W147" s="81" t="str">
        <f t="shared" si="16"/>
        <v/>
      </c>
      <c r="X147" s="81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1" t="str">
        <f t="shared" si="17"/>
        <v/>
      </c>
      <c r="B148" s="81" t="str">
        <f t="shared" si="18"/>
        <v/>
      </c>
      <c r="V148" s="81" t="str">
        <f t="shared" si="19"/>
        <v/>
      </c>
      <c r="W148" s="81" t="str">
        <f t="shared" si="16"/>
        <v/>
      </c>
      <c r="X148" s="81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1" t="str">
        <f t="shared" si="17"/>
        <v/>
      </c>
      <c r="B149" s="81" t="str">
        <f t="shared" si="18"/>
        <v/>
      </c>
      <c r="V149" s="81" t="str">
        <f t="shared" si="19"/>
        <v/>
      </c>
      <c r="W149" s="81" t="str">
        <f t="shared" si="16"/>
        <v/>
      </c>
      <c r="X149" s="81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1" t="str">
        <f t="shared" si="17"/>
        <v/>
      </c>
      <c r="B150" s="81" t="str">
        <f t="shared" si="18"/>
        <v/>
      </c>
      <c r="V150" s="81" t="str">
        <f t="shared" si="19"/>
        <v/>
      </c>
      <c r="W150" s="81" t="str">
        <f t="shared" si="16"/>
        <v/>
      </c>
      <c r="X150" s="81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1" t="str">
        <f t="shared" si="17"/>
        <v/>
      </c>
      <c r="B151" s="81" t="str">
        <f t="shared" si="18"/>
        <v/>
      </c>
      <c r="V151" s="81" t="str">
        <f t="shared" si="19"/>
        <v/>
      </c>
      <c r="W151" s="81" t="str">
        <f t="shared" si="16"/>
        <v/>
      </c>
      <c r="X151" s="81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1" t="str">
        <f t="shared" si="17"/>
        <v/>
      </c>
      <c r="B152" s="81" t="str">
        <f t="shared" si="18"/>
        <v/>
      </c>
      <c r="V152" s="81" t="str">
        <f t="shared" si="19"/>
        <v/>
      </c>
      <c r="W152" s="81" t="str">
        <f t="shared" si="16"/>
        <v/>
      </c>
      <c r="X152" s="81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1" t="str">
        <f t="shared" si="17"/>
        <v/>
      </c>
      <c r="B153" s="81" t="str">
        <f t="shared" si="18"/>
        <v/>
      </c>
      <c r="V153" s="81" t="str">
        <f t="shared" si="19"/>
        <v/>
      </c>
      <c r="W153" s="81" t="str">
        <f t="shared" si="16"/>
        <v/>
      </c>
      <c r="X153" s="81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1" t="str">
        <f t="shared" si="17"/>
        <v/>
      </c>
      <c r="B154" s="81" t="str">
        <f t="shared" si="18"/>
        <v/>
      </c>
      <c r="V154" s="81" t="str">
        <f t="shared" si="19"/>
        <v/>
      </c>
      <c r="W154" s="81" t="str">
        <f t="shared" si="16"/>
        <v/>
      </c>
      <c r="X154" s="81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1" t="str">
        <f t="shared" si="17"/>
        <v/>
      </c>
      <c r="B155" s="81" t="str">
        <f t="shared" si="18"/>
        <v/>
      </c>
      <c r="V155" s="81" t="str">
        <f t="shared" si="19"/>
        <v/>
      </c>
      <c r="W155" s="81" t="str">
        <f t="shared" si="16"/>
        <v/>
      </c>
      <c r="X155" s="81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1" t="str">
        <f t="shared" si="17"/>
        <v/>
      </c>
      <c r="B156" s="81" t="str">
        <f t="shared" si="18"/>
        <v/>
      </c>
      <c r="V156" s="81" t="str">
        <f t="shared" si="19"/>
        <v/>
      </c>
      <c r="W156" s="81" t="str">
        <f t="shared" si="16"/>
        <v/>
      </c>
      <c r="X156" s="81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1" t="str">
        <f t="shared" si="17"/>
        <v/>
      </c>
      <c r="B157" s="81" t="str">
        <f t="shared" si="18"/>
        <v/>
      </c>
      <c r="V157" s="81" t="str">
        <f t="shared" si="19"/>
        <v/>
      </c>
      <c r="W157" s="81" t="str">
        <f t="shared" si="16"/>
        <v/>
      </c>
      <c r="X157" s="81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1" t="str">
        <f t="shared" si="17"/>
        <v/>
      </c>
      <c r="B158" s="81" t="str">
        <f t="shared" si="18"/>
        <v/>
      </c>
      <c r="V158" s="81" t="str">
        <f t="shared" si="19"/>
        <v/>
      </c>
      <c r="W158" s="81" t="str">
        <f t="shared" si="16"/>
        <v/>
      </c>
      <c r="X158" s="81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1" t="str">
        <f t="shared" si="17"/>
        <v/>
      </c>
      <c r="B159" s="81" t="str">
        <f t="shared" si="18"/>
        <v/>
      </c>
      <c r="V159" s="81" t="str">
        <f t="shared" si="19"/>
        <v/>
      </c>
      <c r="W159" s="81" t="str">
        <f t="shared" si="16"/>
        <v/>
      </c>
      <c r="X159" s="81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1" t="str">
        <f t="shared" si="17"/>
        <v/>
      </c>
      <c r="B160" s="81" t="str">
        <f t="shared" si="18"/>
        <v/>
      </c>
      <c r="V160" s="81" t="str">
        <f t="shared" si="19"/>
        <v/>
      </c>
      <c r="W160" s="81" t="str">
        <f t="shared" si="16"/>
        <v/>
      </c>
      <c r="X160" s="81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1" t="str">
        <f t="shared" si="17"/>
        <v/>
      </c>
      <c r="B161" s="81" t="str">
        <f t="shared" si="18"/>
        <v/>
      </c>
      <c r="V161" s="81" t="str">
        <f t="shared" si="19"/>
        <v/>
      </c>
      <c r="W161" s="81" t="str">
        <f t="shared" si="16"/>
        <v/>
      </c>
      <c r="X161" s="81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1" t="str">
        <f t="shared" si="17"/>
        <v/>
      </c>
      <c r="B162" s="81" t="str">
        <f t="shared" si="18"/>
        <v/>
      </c>
      <c r="V162" s="81" t="str">
        <f t="shared" si="19"/>
        <v/>
      </c>
      <c r="W162" s="81" t="str">
        <f t="shared" si="16"/>
        <v/>
      </c>
      <c r="X162" s="81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1" t="str">
        <f t="shared" si="17"/>
        <v/>
      </c>
      <c r="B163" s="81" t="str">
        <f t="shared" si="18"/>
        <v/>
      </c>
      <c r="V163" s="81" t="str">
        <f t="shared" si="19"/>
        <v/>
      </c>
      <c r="W163" s="81" t="str">
        <f t="shared" si="16"/>
        <v/>
      </c>
      <c r="X163" s="81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1" t="str">
        <f t="shared" si="17"/>
        <v/>
      </c>
      <c r="B164" s="81" t="str">
        <f t="shared" si="18"/>
        <v/>
      </c>
      <c r="V164" s="81" t="str">
        <f t="shared" si="19"/>
        <v/>
      </c>
      <c r="W164" s="81" t="str">
        <f t="shared" si="16"/>
        <v/>
      </c>
      <c r="X164" s="81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1" t="str">
        <f t="shared" si="17"/>
        <v/>
      </c>
      <c r="B165" s="81" t="str">
        <f t="shared" si="18"/>
        <v/>
      </c>
      <c r="V165" s="81" t="str">
        <f t="shared" si="19"/>
        <v/>
      </c>
      <c r="W165" s="81" t="str">
        <f t="shared" si="16"/>
        <v/>
      </c>
      <c r="X165" s="81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1" t="str">
        <f t="shared" si="17"/>
        <v/>
      </c>
      <c r="B166" s="81" t="str">
        <f t="shared" si="18"/>
        <v/>
      </c>
      <c r="V166" s="81" t="str">
        <f t="shared" si="19"/>
        <v/>
      </c>
      <c r="W166" s="81" t="str">
        <f t="shared" si="16"/>
        <v/>
      </c>
      <c r="X166" s="81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1" t="str">
        <f t="shared" si="17"/>
        <v/>
      </c>
      <c r="B167" s="81" t="str">
        <f t="shared" si="18"/>
        <v/>
      </c>
      <c r="V167" s="81" t="str">
        <f t="shared" si="19"/>
        <v/>
      </c>
      <c r="W167" s="81" t="str">
        <f t="shared" si="16"/>
        <v/>
      </c>
      <c r="X167" s="81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1" t="str">
        <f t="shared" si="17"/>
        <v/>
      </c>
      <c r="B168" s="81" t="str">
        <f t="shared" si="18"/>
        <v/>
      </c>
      <c r="V168" s="81" t="str">
        <f t="shared" si="19"/>
        <v/>
      </c>
      <c r="W168" s="81" t="str">
        <f t="shared" si="16"/>
        <v/>
      </c>
      <c r="X168" s="81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1" t="str">
        <f t="shared" si="17"/>
        <v/>
      </c>
      <c r="B169" s="81" t="str">
        <f t="shared" si="18"/>
        <v/>
      </c>
      <c r="V169" s="81" t="str">
        <f t="shared" si="19"/>
        <v/>
      </c>
      <c r="W169" s="81" t="str">
        <f t="shared" si="16"/>
        <v/>
      </c>
      <c r="X169" s="81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1" t="str">
        <f t="shared" si="17"/>
        <v/>
      </c>
      <c r="B170" s="81" t="str">
        <f t="shared" si="18"/>
        <v/>
      </c>
      <c r="V170" s="81" t="str">
        <f t="shared" si="19"/>
        <v/>
      </c>
      <c r="W170" s="81" t="str">
        <f t="shared" si="16"/>
        <v/>
      </c>
      <c r="X170" s="81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1" t="str">
        <f t="shared" si="17"/>
        <v/>
      </c>
      <c r="B171" s="81" t="str">
        <f t="shared" si="18"/>
        <v/>
      </c>
      <c r="V171" s="81" t="str">
        <f t="shared" si="19"/>
        <v/>
      </c>
      <c r="W171" s="81" t="str">
        <f t="shared" si="16"/>
        <v/>
      </c>
      <c r="X171" s="81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1" t="str">
        <f t="shared" si="17"/>
        <v/>
      </c>
      <c r="B172" s="81" t="str">
        <f t="shared" si="18"/>
        <v/>
      </c>
      <c r="V172" s="81" t="str">
        <f t="shared" si="19"/>
        <v/>
      </c>
      <c r="W172" s="81" t="str">
        <f t="shared" si="16"/>
        <v/>
      </c>
      <c r="X172" s="81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1" t="str">
        <f t="shared" si="17"/>
        <v/>
      </c>
      <c r="B173" s="81" t="str">
        <f t="shared" si="18"/>
        <v/>
      </c>
      <c r="V173" s="81" t="str">
        <f t="shared" si="19"/>
        <v/>
      </c>
      <c r="W173" s="81" t="str">
        <f t="shared" si="16"/>
        <v/>
      </c>
      <c r="X173" s="81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1" t="str">
        <f t="shared" si="17"/>
        <v/>
      </c>
      <c r="B174" s="81" t="str">
        <f t="shared" si="18"/>
        <v/>
      </c>
      <c r="V174" s="81" t="str">
        <f t="shared" si="19"/>
        <v/>
      </c>
      <c r="W174" s="81" t="str">
        <f t="shared" si="16"/>
        <v/>
      </c>
      <c r="X174" s="81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1" t="str">
        <f t="shared" si="17"/>
        <v/>
      </c>
      <c r="B175" s="81" t="str">
        <f t="shared" si="18"/>
        <v/>
      </c>
      <c r="V175" s="81" t="str">
        <f t="shared" si="19"/>
        <v/>
      </c>
      <c r="W175" s="81" t="str">
        <f t="shared" si="16"/>
        <v/>
      </c>
      <c r="X175" s="81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1" t="str">
        <f t="shared" si="17"/>
        <v/>
      </c>
      <c r="B176" s="81" t="str">
        <f t="shared" si="18"/>
        <v/>
      </c>
      <c r="V176" s="81" t="str">
        <f t="shared" si="19"/>
        <v/>
      </c>
      <c r="W176" s="81" t="str">
        <f t="shared" si="16"/>
        <v/>
      </c>
      <c r="X176" s="81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1" t="str">
        <f t="shared" si="17"/>
        <v/>
      </c>
      <c r="B177" s="81" t="str">
        <f t="shared" si="18"/>
        <v/>
      </c>
      <c r="V177" s="81" t="str">
        <f t="shared" si="19"/>
        <v/>
      </c>
      <c r="W177" s="81" t="str">
        <f t="shared" si="16"/>
        <v/>
      </c>
      <c r="X177" s="81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1" t="str">
        <f t="shared" si="17"/>
        <v/>
      </c>
      <c r="B178" s="81" t="str">
        <f t="shared" si="18"/>
        <v/>
      </c>
      <c r="V178" s="81" t="str">
        <f t="shared" si="19"/>
        <v/>
      </c>
      <c r="W178" s="81" t="str">
        <f t="shared" si="16"/>
        <v/>
      </c>
      <c r="X178" s="81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1" t="str">
        <f t="shared" si="17"/>
        <v/>
      </c>
      <c r="B179" s="81" t="str">
        <f t="shared" si="18"/>
        <v/>
      </c>
      <c r="V179" s="81" t="str">
        <f t="shared" si="19"/>
        <v/>
      </c>
      <c r="W179" s="81" t="str">
        <f t="shared" si="16"/>
        <v/>
      </c>
      <c r="X179" s="81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1" t="str">
        <f t="shared" si="17"/>
        <v/>
      </c>
      <c r="B180" s="81" t="str">
        <f t="shared" si="18"/>
        <v/>
      </c>
      <c r="V180" s="81" t="str">
        <f t="shared" si="19"/>
        <v/>
      </c>
      <c r="W180" s="81" t="str">
        <f t="shared" si="16"/>
        <v/>
      </c>
      <c r="X180" s="81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1" t="str">
        <f t="shared" si="17"/>
        <v/>
      </c>
      <c r="B181" s="81" t="str">
        <f t="shared" si="18"/>
        <v/>
      </c>
      <c r="V181" s="81" t="str">
        <f t="shared" si="19"/>
        <v/>
      </c>
      <c r="W181" s="81" t="str">
        <f t="shared" si="16"/>
        <v/>
      </c>
      <c r="X181" s="81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1" t="str">
        <f t="shared" si="17"/>
        <v/>
      </c>
      <c r="B182" s="81" t="str">
        <f t="shared" si="18"/>
        <v/>
      </c>
      <c r="V182" s="81" t="str">
        <f t="shared" si="19"/>
        <v/>
      </c>
      <c r="W182" s="81" t="str">
        <f t="shared" si="16"/>
        <v/>
      </c>
      <c r="X182" s="81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1" t="str">
        <f t="shared" si="17"/>
        <v/>
      </c>
      <c r="B183" s="81" t="str">
        <f t="shared" si="18"/>
        <v/>
      </c>
      <c r="V183" s="81" t="str">
        <f t="shared" si="19"/>
        <v/>
      </c>
      <c r="W183" s="81" t="str">
        <f t="shared" si="16"/>
        <v/>
      </c>
      <c r="X183" s="81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1" t="str">
        <f t="shared" si="17"/>
        <v/>
      </c>
      <c r="B184" s="81" t="str">
        <f t="shared" si="18"/>
        <v/>
      </c>
      <c r="V184" s="81" t="str">
        <f t="shared" si="19"/>
        <v/>
      </c>
      <c r="W184" s="81" t="str">
        <f t="shared" si="16"/>
        <v/>
      </c>
      <c r="X184" s="81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1" t="str">
        <f t="shared" si="17"/>
        <v/>
      </c>
      <c r="B185" s="81" t="str">
        <f t="shared" si="18"/>
        <v/>
      </c>
      <c r="V185" s="81" t="str">
        <f t="shared" si="19"/>
        <v/>
      </c>
      <c r="W185" s="81" t="str">
        <f t="shared" si="16"/>
        <v/>
      </c>
      <c r="X185" s="81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1" t="str">
        <f t="shared" si="17"/>
        <v/>
      </c>
      <c r="B186" s="81" t="str">
        <f t="shared" si="18"/>
        <v/>
      </c>
      <c r="V186" s="81" t="str">
        <f t="shared" si="19"/>
        <v/>
      </c>
      <c r="W186" s="81" t="str">
        <f t="shared" si="16"/>
        <v/>
      </c>
      <c r="X186" s="81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1" t="str">
        <f t="shared" si="17"/>
        <v/>
      </c>
      <c r="B187" s="81" t="str">
        <f t="shared" si="18"/>
        <v/>
      </c>
      <c r="V187" s="81" t="str">
        <f t="shared" si="19"/>
        <v/>
      </c>
      <c r="W187" s="81" t="str">
        <f t="shared" si="16"/>
        <v/>
      </c>
      <c r="X187" s="81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1" t="str">
        <f t="shared" si="17"/>
        <v/>
      </c>
      <c r="B188" s="81" t="str">
        <f t="shared" si="18"/>
        <v/>
      </c>
      <c r="V188" s="81" t="str">
        <f t="shared" si="19"/>
        <v/>
      </c>
      <c r="W188" s="81" t="str">
        <f t="shared" si="16"/>
        <v/>
      </c>
      <c r="X188" s="81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1" t="str">
        <f t="shared" si="17"/>
        <v/>
      </c>
      <c r="B189" s="81" t="str">
        <f t="shared" si="18"/>
        <v/>
      </c>
      <c r="V189" s="81" t="str">
        <f t="shared" si="19"/>
        <v/>
      </c>
      <c r="W189" s="81" t="str">
        <f t="shared" si="16"/>
        <v/>
      </c>
      <c r="X189" s="81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1" t="str">
        <f t="shared" si="17"/>
        <v/>
      </c>
      <c r="B190" s="81" t="str">
        <f t="shared" si="18"/>
        <v/>
      </c>
      <c r="V190" s="81" t="str">
        <f t="shared" si="19"/>
        <v/>
      </c>
      <c r="W190" s="81" t="str">
        <f t="shared" si="16"/>
        <v/>
      </c>
      <c r="X190" s="81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1" t="str">
        <f t="shared" si="17"/>
        <v/>
      </c>
      <c r="B191" s="81" t="str">
        <f t="shared" si="18"/>
        <v/>
      </c>
      <c r="V191" s="81" t="str">
        <f t="shared" si="19"/>
        <v/>
      </c>
      <c r="W191" s="81" t="str">
        <f t="shared" si="16"/>
        <v/>
      </c>
      <c r="X191" s="81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1" t="str">
        <f t="shared" si="17"/>
        <v/>
      </c>
      <c r="B192" s="81" t="str">
        <f t="shared" si="18"/>
        <v/>
      </c>
      <c r="V192" s="81" t="str">
        <f t="shared" si="19"/>
        <v/>
      </c>
      <c r="W192" s="81" t="str">
        <f t="shared" si="16"/>
        <v/>
      </c>
      <c r="X192" s="81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1" t="str">
        <f t="shared" si="17"/>
        <v/>
      </c>
      <c r="B193" s="81" t="str">
        <f t="shared" si="18"/>
        <v/>
      </c>
      <c r="V193" s="81" t="str">
        <f t="shared" si="19"/>
        <v/>
      </c>
      <c r="W193" s="81" t="str">
        <f t="shared" si="16"/>
        <v/>
      </c>
      <c r="X193" s="81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1" t="str">
        <f t="shared" si="17"/>
        <v/>
      </c>
      <c r="B194" s="81" t="str">
        <f t="shared" si="18"/>
        <v/>
      </c>
      <c r="V194" s="81" t="str">
        <f t="shared" si="19"/>
        <v/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1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1" t="str">
        <f t="shared" ref="A195:A258" si="25">IF(G195&amp;Q195&lt;&gt;"",W195&amp;Q195,"")</f>
        <v/>
      </c>
      <c r="B195" s="81" t="str">
        <f t="shared" ref="B195:B258" si="26">IF(C195&lt;&gt;"",LEFT(C195,9),"")</f>
        <v/>
      </c>
      <c r="V195" s="81" t="str">
        <f t="shared" ref="V195:V258" si="27">W195&amp;H195</f>
        <v/>
      </c>
      <c r="W195" s="81" t="str">
        <f t="shared" si="24"/>
        <v/>
      </c>
      <c r="X195" s="81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1" t="str">
        <f t="shared" si="25"/>
        <v/>
      </c>
      <c r="B196" s="81" t="str">
        <f t="shared" si="26"/>
        <v/>
      </c>
      <c r="V196" s="81" t="str">
        <f t="shared" si="27"/>
        <v/>
      </c>
      <c r="W196" s="81" t="str">
        <f t="shared" si="24"/>
        <v/>
      </c>
      <c r="X196" s="81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1" t="str">
        <f t="shared" si="25"/>
        <v/>
      </c>
      <c r="B197" s="81" t="str">
        <f t="shared" si="26"/>
        <v/>
      </c>
      <c r="V197" s="81" t="str">
        <f t="shared" si="27"/>
        <v/>
      </c>
      <c r="W197" s="81" t="str">
        <f t="shared" si="24"/>
        <v/>
      </c>
      <c r="X197" s="81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1" t="str">
        <f t="shared" si="25"/>
        <v/>
      </c>
      <c r="B198" s="81" t="str">
        <f t="shared" si="26"/>
        <v/>
      </c>
      <c r="V198" s="81" t="str">
        <f t="shared" si="27"/>
        <v/>
      </c>
      <c r="W198" s="81" t="str">
        <f t="shared" si="24"/>
        <v/>
      </c>
      <c r="X198" s="81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1" t="str">
        <f t="shared" si="25"/>
        <v/>
      </c>
      <c r="B199" s="81" t="str">
        <f t="shared" si="26"/>
        <v/>
      </c>
      <c r="V199" s="81" t="str">
        <f t="shared" si="27"/>
        <v/>
      </c>
      <c r="W199" s="81" t="str">
        <f t="shared" si="24"/>
        <v/>
      </c>
      <c r="X199" s="81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1" t="str">
        <f t="shared" si="25"/>
        <v/>
      </c>
      <c r="B200" s="81" t="str">
        <f t="shared" si="26"/>
        <v/>
      </c>
      <c r="V200" s="81" t="str">
        <f t="shared" si="27"/>
        <v/>
      </c>
      <c r="W200" s="81" t="str">
        <f t="shared" si="24"/>
        <v/>
      </c>
      <c r="X200" s="81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1" t="str">
        <f t="shared" si="25"/>
        <v/>
      </c>
      <c r="B201" s="81" t="str">
        <f t="shared" si="26"/>
        <v/>
      </c>
      <c r="V201" s="81" t="str">
        <f t="shared" si="27"/>
        <v/>
      </c>
      <c r="W201" s="81" t="str">
        <f t="shared" si="24"/>
        <v/>
      </c>
      <c r="X201" s="81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1" t="str">
        <f t="shared" si="25"/>
        <v/>
      </c>
      <c r="B202" s="81" t="str">
        <f t="shared" si="26"/>
        <v/>
      </c>
      <c r="V202" s="81" t="str">
        <f t="shared" si="27"/>
        <v/>
      </c>
      <c r="W202" s="81" t="str">
        <f t="shared" si="24"/>
        <v/>
      </c>
      <c r="X202" s="81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1" t="str">
        <f t="shared" si="25"/>
        <v/>
      </c>
      <c r="B203" s="81" t="str">
        <f t="shared" si="26"/>
        <v/>
      </c>
      <c r="V203" s="81" t="str">
        <f t="shared" si="27"/>
        <v/>
      </c>
      <c r="W203" s="81" t="str">
        <f t="shared" si="24"/>
        <v/>
      </c>
      <c r="X203" s="81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1" t="str">
        <f t="shared" si="25"/>
        <v/>
      </c>
      <c r="B204" s="81" t="str">
        <f t="shared" si="26"/>
        <v/>
      </c>
      <c r="V204" s="81" t="str">
        <f t="shared" si="27"/>
        <v/>
      </c>
      <c r="W204" s="81" t="str">
        <f t="shared" si="24"/>
        <v/>
      </c>
      <c r="X204" s="81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1" t="str">
        <f t="shared" si="25"/>
        <v/>
      </c>
      <c r="B205" s="81" t="str">
        <f t="shared" si="26"/>
        <v/>
      </c>
      <c r="V205" s="81" t="str">
        <f t="shared" si="27"/>
        <v/>
      </c>
      <c r="W205" s="81" t="str">
        <f t="shared" si="24"/>
        <v/>
      </c>
      <c r="X205" s="81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1" t="str">
        <f t="shared" si="25"/>
        <v/>
      </c>
      <c r="B206" s="81" t="str">
        <f t="shared" si="26"/>
        <v/>
      </c>
      <c r="V206" s="81" t="str">
        <f t="shared" si="27"/>
        <v/>
      </c>
      <c r="W206" s="81" t="str">
        <f t="shared" si="24"/>
        <v/>
      </c>
      <c r="X206" s="81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1" t="str">
        <f t="shared" si="25"/>
        <v/>
      </c>
      <c r="B207" s="81" t="str">
        <f t="shared" si="26"/>
        <v/>
      </c>
      <c r="V207" s="81" t="str">
        <f t="shared" si="27"/>
        <v/>
      </c>
      <c r="W207" s="81" t="str">
        <f t="shared" si="24"/>
        <v/>
      </c>
      <c r="X207" s="81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1" t="str">
        <f t="shared" si="25"/>
        <v/>
      </c>
      <c r="B208" s="81" t="str">
        <f t="shared" si="26"/>
        <v/>
      </c>
      <c r="V208" s="81" t="str">
        <f t="shared" si="27"/>
        <v/>
      </c>
      <c r="W208" s="81" t="str">
        <f t="shared" si="24"/>
        <v/>
      </c>
      <c r="X208" s="81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1" t="str">
        <f t="shared" si="25"/>
        <v/>
      </c>
      <c r="B209" s="81" t="str">
        <f t="shared" si="26"/>
        <v/>
      </c>
      <c r="V209" s="81" t="str">
        <f t="shared" si="27"/>
        <v/>
      </c>
      <c r="W209" s="81" t="str">
        <f t="shared" si="24"/>
        <v/>
      </c>
      <c r="X209" s="81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1" t="str">
        <f t="shared" si="25"/>
        <v/>
      </c>
      <c r="B210" s="81" t="str">
        <f t="shared" si="26"/>
        <v/>
      </c>
      <c r="V210" s="81" t="str">
        <f t="shared" si="27"/>
        <v/>
      </c>
      <c r="W210" s="81" t="str">
        <f t="shared" si="24"/>
        <v/>
      </c>
      <c r="X210" s="81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1" t="str">
        <f t="shared" si="25"/>
        <v/>
      </c>
      <c r="B211" s="81" t="str">
        <f t="shared" si="26"/>
        <v/>
      </c>
      <c r="V211" s="81" t="str">
        <f t="shared" si="27"/>
        <v/>
      </c>
      <c r="W211" s="81" t="str">
        <f t="shared" si="24"/>
        <v/>
      </c>
      <c r="X211" s="81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1" t="str">
        <f t="shared" si="25"/>
        <v/>
      </c>
      <c r="B212" s="81" t="str">
        <f t="shared" si="26"/>
        <v/>
      </c>
      <c r="V212" s="81" t="str">
        <f t="shared" si="27"/>
        <v/>
      </c>
      <c r="W212" s="81" t="str">
        <f t="shared" si="24"/>
        <v/>
      </c>
      <c r="X212" s="81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1" t="str">
        <f t="shared" si="25"/>
        <v/>
      </c>
      <c r="B213" s="81" t="str">
        <f t="shared" si="26"/>
        <v/>
      </c>
      <c r="V213" s="81" t="str">
        <f t="shared" si="27"/>
        <v/>
      </c>
      <c r="W213" s="81" t="str">
        <f t="shared" si="24"/>
        <v/>
      </c>
      <c r="X213" s="81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1" t="str">
        <f t="shared" si="25"/>
        <v/>
      </c>
      <c r="B214" s="81" t="str">
        <f t="shared" si="26"/>
        <v/>
      </c>
      <c r="V214" s="81" t="str">
        <f t="shared" si="27"/>
        <v/>
      </c>
      <c r="W214" s="81" t="str">
        <f t="shared" si="24"/>
        <v/>
      </c>
      <c r="X214" s="81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1" t="str">
        <f t="shared" si="25"/>
        <v/>
      </c>
      <c r="B215" s="81" t="str">
        <f t="shared" si="26"/>
        <v/>
      </c>
      <c r="V215" s="81" t="str">
        <f t="shared" si="27"/>
        <v/>
      </c>
      <c r="W215" s="81" t="str">
        <f t="shared" si="24"/>
        <v/>
      </c>
      <c r="X215" s="81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1" t="str">
        <f t="shared" si="25"/>
        <v/>
      </c>
      <c r="B216" s="81" t="str">
        <f t="shared" si="26"/>
        <v/>
      </c>
      <c r="V216" s="81" t="str">
        <f t="shared" si="27"/>
        <v/>
      </c>
      <c r="W216" s="81" t="str">
        <f t="shared" si="24"/>
        <v/>
      </c>
      <c r="X216" s="81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1" t="str">
        <f t="shared" si="25"/>
        <v/>
      </c>
      <c r="B217" s="81" t="str">
        <f t="shared" si="26"/>
        <v/>
      </c>
      <c r="V217" s="81" t="str">
        <f t="shared" si="27"/>
        <v/>
      </c>
      <c r="W217" s="81" t="str">
        <f t="shared" si="24"/>
        <v/>
      </c>
      <c r="X217" s="81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1" t="str">
        <f t="shared" si="25"/>
        <v/>
      </c>
      <c r="B218" s="81" t="str">
        <f>IF(C218&lt;&gt;"",LEFT(C218,9),"")</f>
        <v/>
      </c>
      <c r="V218" s="81" t="str">
        <f t="shared" si="27"/>
        <v/>
      </c>
      <c r="W218" s="81" t="str">
        <f t="shared" si="24"/>
        <v/>
      </c>
      <c r="X218" s="81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1" t="str">
        <f t="shared" si="25"/>
        <v/>
      </c>
      <c r="B219" s="81" t="str">
        <f t="shared" si="26"/>
        <v/>
      </c>
      <c r="V219" s="81" t="str">
        <f t="shared" si="27"/>
        <v/>
      </c>
      <c r="W219" s="81" t="str">
        <f t="shared" si="24"/>
        <v/>
      </c>
      <c r="X219" s="81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1" t="str">
        <f t="shared" si="25"/>
        <v/>
      </c>
      <c r="B220" s="81" t="str">
        <f t="shared" si="26"/>
        <v/>
      </c>
      <c r="V220" s="81" t="str">
        <f t="shared" si="27"/>
        <v/>
      </c>
      <c r="W220" s="81" t="str">
        <f t="shared" si="24"/>
        <v/>
      </c>
      <c r="X220" s="81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1" t="str">
        <f t="shared" si="25"/>
        <v/>
      </c>
      <c r="B221" s="81" t="str">
        <f t="shared" si="26"/>
        <v/>
      </c>
      <c r="V221" s="81" t="str">
        <f t="shared" si="27"/>
        <v/>
      </c>
      <c r="W221" s="81" t="str">
        <f t="shared" si="24"/>
        <v/>
      </c>
      <c r="X221" s="81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1" t="str">
        <f t="shared" si="25"/>
        <v/>
      </c>
      <c r="B222" s="81" t="str">
        <f t="shared" si="26"/>
        <v/>
      </c>
      <c r="V222" s="81" t="str">
        <f t="shared" si="27"/>
        <v/>
      </c>
      <c r="W222" s="81" t="str">
        <f t="shared" si="24"/>
        <v/>
      </c>
      <c r="X222" s="81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1" t="str">
        <f t="shared" si="25"/>
        <v/>
      </c>
      <c r="B223" s="81" t="str">
        <f t="shared" si="26"/>
        <v/>
      </c>
      <c r="V223" s="81" t="str">
        <f t="shared" si="27"/>
        <v/>
      </c>
      <c r="W223" s="81" t="str">
        <f t="shared" si="24"/>
        <v/>
      </c>
      <c r="X223" s="81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1" t="str">
        <f t="shared" si="25"/>
        <v/>
      </c>
      <c r="B224" s="81" t="str">
        <f t="shared" si="26"/>
        <v/>
      </c>
      <c r="V224" s="81" t="str">
        <f t="shared" si="27"/>
        <v/>
      </c>
      <c r="W224" s="81" t="str">
        <f t="shared" si="24"/>
        <v/>
      </c>
      <c r="X224" s="81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1" t="str">
        <f t="shared" si="25"/>
        <v/>
      </c>
      <c r="B225" s="81" t="str">
        <f t="shared" si="26"/>
        <v/>
      </c>
      <c r="V225" s="81" t="str">
        <f t="shared" si="27"/>
        <v/>
      </c>
      <c r="W225" s="81" t="str">
        <f t="shared" si="24"/>
        <v/>
      </c>
      <c r="X225" s="81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1" t="str">
        <f t="shared" si="25"/>
        <v/>
      </c>
      <c r="B226" s="81" t="str">
        <f t="shared" si="26"/>
        <v/>
      </c>
      <c r="V226" s="81" t="str">
        <f t="shared" si="27"/>
        <v/>
      </c>
      <c r="W226" s="81" t="str">
        <f t="shared" si="24"/>
        <v/>
      </c>
      <c r="X226" s="81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1" t="str">
        <f t="shared" si="25"/>
        <v/>
      </c>
      <c r="B227" s="81" t="str">
        <f t="shared" si="26"/>
        <v/>
      </c>
      <c r="V227" s="81" t="str">
        <f t="shared" si="27"/>
        <v/>
      </c>
      <c r="W227" s="81" t="str">
        <f t="shared" si="24"/>
        <v/>
      </c>
      <c r="X227" s="81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1" t="str">
        <f t="shared" si="25"/>
        <v/>
      </c>
      <c r="B228" s="81" t="str">
        <f t="shared" si="26"/>
        <v/>
      </c>
      <c r="V228" s="81" t="str">
        <f t="shared" si="27"/>
        <v/>
      </c>
      <c r="W228" s="81" t="str">
        <f t="shared" si="24"/>
        <v/>
      </c>
      <c r="X228" s="81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1" t="str">
        <f t="shared" si="25"/>
        <v/>
      </c>
      <c r="B229" s="81" t="str">
        <f t="shared" si="26"/>
        <v/>
      </c>
      <c r="V229" s="81" t="str">
        <f t="shared" si="27"/>
        <v/>
      </c>
      <c r="W229" s="81" t="str">
        <f t="shared" si="24"/>
        <v/>
      </c>
      <c r="X229" s="81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1" t="str">
        <f t="shared" si="25"/>
        <v/>
      </c>
      <c r="B230" s="81" t="str">
        <f t="shared" si="26"/>
        <v/>
      </c>
      <c r="V230" s="81" t="str">
        <f t="shared" si="27"/>
        <v/>
      </c>
      <c r="W230" s="81" t="str">
        <f t="shared" si="24"/>
        <v/>
      </c>
      <c r="X230" s="81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1" t="str">
        <f t="shared" si="25"/>
        <v/>
      </c>
      <c r="B231" s="81" t="str">
        <f t="shared" si="26"/>
        <v/>
      </c>
      <c r="V231" s="81" t="str">
        <f t="shared" si="27"/>
        <v/>
      </c>
      <c r="W231" s="81" t="str">
        <f t="shared" si="24"/>
        <v/>
      </c>
      <c r="X231" s="81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1" t="str">
        <f t="shared" si="25"/>
        <v/>
      </c>
      <c r="B232" s="81" t="str">
        <f t="shared" si="26"/>
        <v/>
      </c>
      <c r="V232" s="81" t="str">
        <f t="shared" si="27"/>
        <v/>
      </c>
      <c r="W232" s="81" t="str">
        <f t="shared" si="24"/>
        <v/>
      </c>
      <c r="X232" s="81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1" t="str">
        <f t="shared" si="25"/>
        <v/>
      </c>
      <c r="B233" s="81" t="str">
        <f t="shared" si="26"/>
        <v/>
      </c>
      <c r="V233" s="81" t="str">
        <f t="shared" si="27"/>
        <v/>
      </c>
      <c r="W233" s="81" t="str">
        <f t="shared" si="24"/>
        <v/>
      </c>
      <c r="X233" s="81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1" t="str">
        <f t="shared" si="25"/>
        <v/>
      </c>
      <c r="B234" s="81" t="str">
        <f t="shared" si="26"/>
        <v/>
      </c>
      <c r="V234" s="81" t="str">
        <f t="shared" si="27"/>
        <v/>
      </c>
      <c r="W234" s="81" t="str">
        <f t="shared" si="24"/>
        <v/>
      </c>
      <c r="X234" s="81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1" t="str">
        <f t="shared" si="25"/>
        <v/>
      </c>
      <c r="B235" s="81" t="str">
        <f t="shared" si="26"/>
        <v/>
      </c>
      <c r="V235" s="81" t="str">
        <f t="shared" si="27"/>
        <v/>
      </c>
      <c r="W235" s="81" t="str">
        <f t="shared" si="24"/>
        <v/>
      </c>
      <c r="X235" s="81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1" t="str">
        <f t="shared" si="25"/>
        <v/>
      </c>
      <c r="B236" s="81" t="str">
        <f t="shared" si="26"/>
        <v/>
      </c>
      <c r="V236" s="81" t="str">
        <f t="shared" si="27"/>
        <v/>
      </c>
      <c r="W236" s="81" t="str">
        <f t="shared" si="24"/>
        <v/>
      </c>
      <c r="X236" s="81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1" t="str">
        <f t="shared" si="25"/>
        <v/>
      </c>
      <c r="B237" s="81" t="str">
        <f t="shared" si="26"/>
        <v/>
      </c>
      <c r="V237" s="81" t="str">
        <f t="shared" si="27"/>
        <v/>
      </c>
      <c r="W237" s="81" t="str">
        <f t="shared" si="24"/>
        <v/>
      </c>
      <c r="X237" s="81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1" t="str">
        <f t="shared" si="25"/>
        <v/>
      </c>
      <c r="B238" s="81" t="str">
        <f t="shared" si="26"/>
        <v/>
      </c>
      <c r="V238" s="81" t="str">
        <f t="shared" si="27"/>
        <v/>
      </c>
      <c r="W238" s="81" t="str">
        <f t="shared" si="24"/>
        <v/>
      </c>
      <c r="X238" s="81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1" t="str">
        <f t="shared" si="25"/>
        <v/>
      </c>
      <c r="B239" s="81" t="str">
        <f t="shared" si="26"/>
        <v/>
      </c>
      <c r="V239" s="81" t="str">
        <f t="shared" si="27"/>
        <v/>
      </c>
      <c r="W239" s="81" t="str">
        <f t="shared" si="24"/>
        <v/>
      </c>
      <c r="X239" s="81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1" t="str">
        <f t="shared" si="25"/>
        <v/>
      </c>
      <c r="B240" s="81" t="str">
        <f t="shared" si="26"/>
        <v/>
      </c>
      <c r="V240" s="81" t="str">
        <f t="shared" si="27"/>
        <v/>
      </c>
      <c r="W240" s="81" t="str">
        <f t="shared" si="24"/>
        <v/>
      </c>
      <c r="X240" s="81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1" t="str">
        <f t="shared" si="25"/>
        <v/>
      </c>
      <c r="B241" s="81" t="str">
        <f t="shared" si="26"/>
        <v/>
      </c>
      <c r="V241" s="81" t="str">
        <f t="shared" si="27"/>
        <v/>
      </c>
      <c r="W241" s="81" t="str">
        <f t="shared" si="24"/>
        <v/>
      </c>
      <c r="X241" s="81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1" t="str">
        <f t="shared" si="25"/>
        <v/>
      </c>
      <c r="B242" s="81" t="str">
        <f t="shared" si="26"/>
        <v/>
      </c>
      <c r="V242" s="81" t="str">
        <f t="shared" si="27"/>
        <v/>
      </c>
      <c r="W242" s="81" t="str">
        <f t="shared" si="24"/>
        <v/>
      </c>
      <c r="X242" s="81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1" t="str">
        <f t="shared" si="25"/>
        <v/>
      </c>
      <c r="B243" s="81" t="str">
        <f t="shared" si="26"/>
        <v/>
      </c>
      <c r="V243" s="81" t="str">
        <f t="shared" si="27"/>
        <v/>
      </c>
      <c r="W243" s="81" t="str">
        <f t="shared" si="24"/>
        <v/>
      </c>
      <c r="X243" s="81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1" t="str">
        <f t="shared" si="25"/>
        <v/>
      </c>
      <c r="B244" s="81" t="str">
        <f t="shared" si="26"/>
        <v/>
      </c>
      <c r="V244" s="81" t="str">
        <f t="shared" si="27"/>
        <v/>
      </c>
      <c r="W244" s="81" t="str">
        <f t="shared" si="24"/>
        <v/>
      </c>
      <c r="X244" s="81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1" t="str">
        <f t="shared" si="25"/>
        <v/>
      </c>
      <c r="B245" s="81" t="str">
        <f t="shared" si="26"/>
        <v/>
      </c>
      <c r="V245" s="81" t="str">
        <f t="shared" si="27"/>
        <v/>
      </c>
      <c r="W245" s="81" t="str">
        <f t="shared" si="24"/>
        <v/>
      </c>
      <c r="X245" s="81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1" t="str">
        <f t="shared" si="25"/>
        <v/>
      </c>
      <c r="B246" s="81" t="str">
        <f t="shared" si="26"/>
        <v/>
      </c>
      <c r="V246" s="81" t="str">
        <f t="shared" si="27"/>
        <v/>
      </c>
      <c r="W246" s="81" t="str">
        <f t="shared" si="24"/>
        <v/>
      </c>
      <c r="X246" s="81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1" t="str">
        <f t="shared" si="25"/>
        <v/>
      </c>
      <c r="B247" s="81" t="str">
        <f t="shared" si="26"/>
        <v/>
      </c>
      <c r="V247" s="81" t="str">
        <f t="shared" si="27"/>
        <v/>
      </c>
      <c r="W247" s="81" t="str">
        <f t="shared" si="24"/>
        <v/>
      </c>
      <c r="X247" s="81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1" t="str">
        <f t="shared" si="25"/>
        <v/>
      </c>
      <c r="B248" s="81" t="str">
        <f t="shared" si="26"/>
        <v/>
      </c>
      <c r="V248" s="81" t="str">
        <f t="shared" si="27"/>
        <v/>
      </c>
      <c r="W248" s="81" t="str">
        <f t="shared" si="24"/>
        <v/>
      </c>
      <c r="X248" s="81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1" t="str">
        <f t="shared" si="25"/>
        <v/>
      </c>
      <c r="B249" s="81" t="str">
        <f t="shared" si="26"/>
        <v/>
      </c>
      <c r="V249" s="81" t="str">
        <f t="shared" si="27"/>
        <v/>
      </c>
      <c r="W249" s="81" t="str">
        <f t="shared" si="24"/>
        <v/>
      </c>
      <c r="X249" s="81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1" t="str">
        <f t="shared" si="25"/>
        <v/>
      </c>
      <c r="B250" s="81" t="str">
        <f t="shared" si="26"/>
        <v/>
      </c>
      <c r="V250" s="81" t="str">
        <f t="shared" si="27"/>
        <v/>
      </c>
      <c r="W250" s="81" t="str">
        <f t="shared" si="24"/>
        <v/>
      </c>
      <c r="X250" s="81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1" t="str">
        <f t="shared" si="25"/>
        <v/>
      </c>
      <c r="B251" s="81" t="str">
        <f t="shared" si="26"/>
        <v/>
      </c>
      <c r="V251" s="81" t="str">
        <f t="shared" si="27"/>
        <v/>
      </c>
      <c r="W251" s="81" t="str">
        <f t="shared" si="24"/>
        <v/>
      </c>
      <c r="X251" s="81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1" t="str">
        <f t="shared" si="25"/>
        <v/>
      </c>
      <c r="B252" s="81" t="str">
        <f t="shared" si="26"/>
        <v/>
      </c>
      <c r="V252" s="81" t="str">
        <f t="shared" si="27"/>
        <v/>
      </c>
      <c r="W252" s="81" t="str">
        <f t="shared" si="24"/>
        <v/>
      </c>
      <c r="X252" s="81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1" t="str">
        <f t="shared" si="25"/>
        <v/>
      </c>
      <c r="B253" s="81" t="str">
        <f t="shared" si="26"/>
        <v/>
      </c>
      <c r="V253" s="81" t="str">
        <f t="shared" si="27"/>
        <v/>
      </c>
      <c r="W253" s="81" t="str">
        <f t="shared" si="24"/>
        <v/>
      </c>
      <c r="X253" s="81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1" t="str">
        <f t="shared" si="25"/>
        <v/>
      </c>
      <c r="B254" s="81" t="str">
        <f t="shared" si="26"/>
        <v/>
      </c>
      <c r="V254" s="81" t="str">
        <f t="shared" si="27"/>
        <v/>
      </c>
      <c r="W254" s="81" t="str">
        <f t="shared" si="24"/>
        <v/>
      </c>
      <c r="X254" s="81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1" t="str">
        <f t="shared" si="25"/>
        <v/>
      </c>
      <c r="B255" s="81" t="str">
        <f t="shared" si="26"/>
        <v/>
      </c>
      <c r="V255" s="81" t="str">
        <f t="shared" si="27"/>
        <v/>
      </c>
      <c r="W255" s="81" t="str">
        <f t="shared" si="24"/>
        <v/>
      </c>
      <c r="X255" s="81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1" t="str">
        <f t="shared" si="25"/>
        <v/>
      </c>
      <c r="B256" s="81" t="str">
        <f t="shared" si="26"/>
        <v/>
      </c>
      <c r="V256" s="81" t="str">
        <f t="shared" si="27"/>
        <v/>
      </c>
      <c r="W256" s="81" t="str">
        <f t="shared" si="24"/>
        <v/>
      </c>
      <c r="X256" s="81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1" t="str">
        <f t="shared" si="25"/>
        <v/>
      </c>
      <c r="B257" s="81" t="str">
        <f t="shared" si="26"/>
        <v/>
      </c>
      <c r="V257" s="81" t="str">
        <f t="shared" si="27"/>
        <v/>
      </c>
      <c r="W257" s="81" t="str">
        <f t="shared" si="24"/>
        <v/>
      </c>
      <c r="X257" s="81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1" t="str">
        <f t="shared" si="25"/>
        <v/>
      </c>
      <c r="B258" s="81" t="str">
        <f t="shared" si="26"/>
        <v/>
      </c>
      <c r="V258" s="81" t="str">
        <f t="shared" si="27"/>
        <v/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1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1" t="str">
        <f t="shared" ref="A259:A322" si="33">IF(G259&amp;Q259&lt;&gt;"",W259&amp;Q259,"")</f>
        <v/>
      </c>
      <c r="B259" s="81" t="str">
        <f t="shared" ref="B259:B322" si="34">IF(C259&lt;&gt;"",LEFT(C259,9),"")</f>
        <v/>
      </c>
      <c r="V259" s="81" t="str">
        <f t="shared" ref="V259:V322" si="35">W259&amp;H259</f>
        <v/>
      </c>
      <c r="W259" s="81" t="str">
        <f t="shared" si="32"/>
        <v/>
      </c>
      <c r="X259" s="81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1" t="str">
        <f t="shared" si="33"/>
        <v/>
      </c>
      <c r="B260" s="81" t="str">
        <f t="shared" si="34"/>
        <v/>
      </c>
      <c r="V260" s="81" t="str">
        <f t="shared" si="35"/>
        <v/>
      </c>
      <c r="W260" s="81" t="str">
        <f t="shared" si="32"/>
        <v/>
      </c>
      <c r="X260" s="81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1" t="str">
        <f t="shared" si="33"/>
        <v/>
      </c>
      <c r="B261" s="81" t="str">
        <f t="shared" si="34"/>
        <v/>
      </c>
      <c r="V261" s="81" t="str">
        <f t="shared" si="35"/>
        <v/>
      </c>
      <c r="W261" s="81" t="str">
        <f t="shared" si="32"/>
        <v/>
      </c>
      <c r="X261" s="81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1" t="str">
        <f t="shared" si="33"/>
        <v/>
      </c>
      <c r="B262" s="81" t="str">
        <f t="shared" si="34"/>
        <v/>
      </c>
      <c r="V262" s="81" t="str">
        <f t="shared" si="35"/>
        <v/>
      </c>
      <c r="W262" s="81" t="str">
        <f t="shared" si="32"/>
        <v/>
      </c>
      <c r="X262" s="81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1" t="str">
        <f t="shared" si="33"/>
        <v/>
      </c>
      <c r="B263" s="81" t="str">
        <f t="shared" si="34"/>
        <v/>
      </c>
      <c r="V263" s="81" t="str">
        <f t="shared" si="35"/>
        <v/>
      </c>
      <c r="W263" s="81" t="str">
        <f t="shared" si="32"/>
        <v/>
      </c>
      <c r="X263" s="81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1" t="str">
        <f t="shared" si="33"/>
        <v/>
      </c>
      <c r="B264" s="81" t="str">
        <f t="shared" si="34"/>
        <v/>
      </c>
      <c r="V264" s="81" t="str">
        <f t="shared" si="35"/>
        <v/>
      </c>
      <c r="W264" s="81" t="str">
        <f t="shared" si="32"/>
        <v/>
      </c>
      <c r="X264" s="81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1" t="str">
        <f t="shared" si="33"/>
        <v/>
      </c>
      <c r="B265" s="81" t="str">
        <f t="shared" si="34"/>
        <v/>
      </c>
      <c r="V265" s="81" t="str">
        <f t="shared" si="35"/>
        <v/>
      </c>
      <c r="W265" s="81" t="str">
        <f t="shared" si="32"/>
        <v/>
      </c>
      <c r="X265" s="81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1" t="str">
        <f t="shared" si="33"/>
        <v/>
      </c>
      <c r="B266" s="81" t="str">
        <f t="shared" si="34"/>
        <v/>
      </c>
      <c r="V266" s="81" t="str">
        <f t="shared" si="35"/>
        <v/>
      </c>
      <c r="W266" s="81" t="str">
        <f t="shared" si="32"/>
        <v/>
      </c>
      <c r="X266" s="81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1" t="str">
        <f t="shared" si="33"/>
        <v/>
      </c>
      <c r="B267" s="81" t="str">
        <f t="shared" si="34"/>
        <v/>
      </c>
      <c r="V267" s="81" t="str">
        <f t="shared" si="35"/>
        <v/>
      </c>
      <c r="W267" s="81" t="str">
        <f t="shared" si="32"/>
        <v/>
      </c>
      <c r="X267" s="81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1" t="str">
        <f t="shared" si="33"/>
        <v/>
      </c>
      <c r="B268" s="81" t="str">
        <f t="shared" si="34"/>
        <v/>
      </c>
      <c r="V268" s="81" t="str">
        <f t="shared" si="35"/>
        <v/>
      </c>
      <c r="W268" s="81" t="str">
        <f t="shared" si="32"/>
        <v/>
      </c>
      <c r="X268" s="81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1" t="str">
        <f t="shared" si="33"/>
        <v/>
      </c>
      <c r="B269" s="81" t="str">
        <f t="shared" si="34"/>
        <v/>
      </c>
      <c r="V269" s="81" t="str">
        <f t="shared" si="35"/>
        <v/>
      </c>
      <c r="W269" s="81" t="str">
        <f t="shared" si="32"/>
        <v/>
      </c>
      <c r="X269" s="81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1" t="str">
        <f t="shared" si="33"/>
        <v/>
      </c>
      <c r="B270" s="81" t="str">
        <f t="shared" si="34"/>
        <v/>
      </c>
      <c r="V270" s="81" t="str">
        <f t="shared" si="35"/>
        <v/>
      </c>
      <c r="W270" s="81" t="str">
        <f t="shared" si="32"/>
        <v/>
      </c>
      <c r="X270" s="81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1" t="str">
        <f t="shared" si="33"/>
        <v/>
      </c>
      <c r="B271" s="81" t="str">
        <f t="shared" si="34"/>
        <v/>
      </c>
      <c r="V271" s="81" t="str">
        <f t="shared" si="35"/>
        <v/>
      </c>
      <c r="W271" s="81" t="str">
        <f t="shared" si="32"/>
        <v/>
      </c>
      <c r="X271" s="81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1" t="str">
        <f t="shared" si="33"/>
        <v/>
      </c>
      <c r="B272" s="81" t="str">
        <f t="shared" si="34"/>
        <v/>
      </c>
      <c r="V272" s="81" t="str">
        <f t="shared" si="35"/>
        <v/>
      </c>
      <c r="W272" s="81" t="str">
        <f t="shared" si="32"/>
        <v/>
      </c>
      <c r="X272" s="81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1" t="str">
        <f t="shared" si="33"/>
        <v/>
      </c>
      <c r="B273" s="81" t="str">
        <f t="shared" si="34"/>
        <v/>
      </c>
      <c r="V273" s="81" t="str">
        <f t="shared" si="35"/>
        <v/>
      </c>
      <c r="W273" s="81" t="str">
        <f t="shared" si="32"/>
        <v/>
      </c>
      <c r="X273" s="81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71</vt:i4>
      </vt:variant>
    </vt:vector>
  </HeadingPairs>
  <TitlesOfParts>
    <vt:vector size="79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2022-03-18T14:50:30Z</dcterms:modified>
</cp:coreProperties>
</file>