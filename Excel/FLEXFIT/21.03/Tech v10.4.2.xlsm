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1.03\"/>
    </mc:Choice>
  </mc:AlternateContent>
  <xr:revisionPtr revIDLastSave="0" documentId="13_ncr:1_{DCC266D3-79DD-4C7D-B9E8-3456BA963E6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Settings!$L$2:$L$21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1" i="1" l="1"/>
  <c r="E7" i="1"/>
  <c r="E6" i="1"/>
  <c r="E5" i="1"/>
  <c r="E4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U30" i="1"/>
  <c r="AU29" i="1"/>
  <c r="AU21" i="1"/>
  <c r="AU20" i="1"/>
  <c r="AU19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U30" i="1"/>
  <c r="U29" i="1"/>
  <c r="U21" i="1"/>
  <c r="U20" i="1"/>
  <c r="U19" i="1"/>
  <c r="S30" i="1"/>
  <c r="S29" i="1"/>
  <c r="S20" i="1"/>
  <c r="S19" i="1"/>
  <c r="Q30" i="1"/>
  <c r="Q29" i="1"/>
  <c r="Q21" i="1"/>
  <c r="Q20" i="1"/>
  <c r="Q19" i="1"/>
  <c r="M30" i="1"/>
  <c r="M29" i="1"/>
  <c r="M21" i="1"/>
  <c r="M20" i="1"/>
  <c r="M19" i="1"/>
  <c r="L30" i="1"/>
  <c r="B30" i="1" s="1"/>
  <c r="L29" i="1"/>
  <c r="B29" i="1" s="1"/>
  <c r="L21" i="1"/>
  <c r="B21" i="1" s="1"/>
  <c r="L20" i="1"/>
  <c r="B20" i="1" s="1"/>
  <c r="L19" i="1"/>
  <c r="B19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30" i="1"/>
  <c r="H29" i="1"/>
  <c r="H21" i="1"/>
  <c r="H20" i="1"/>
  <c r="H19" i="1"/>
  <c r="E28" i="1"/>
  <c r="E27" i="1"/>
  <c r="E26" i="1"/>
  <c r="E25" i="1"/>
  <c r="E24" i="1"/>
  <c r="E23" i="1"/>
  <c r="E22" i="1"/>
  <c r="E14" i="1"/>
  <c r="E13" i="1"/>
  <c r="E12" i="1"/>
  <c r="E11" i="1"/>
  <c r="E10" i="1"/>
  <c r="E9" i="1"/>
  <c r="A30" i="1"/>
  <c r="BD30" i="1" s="1"/>
  <c r="F30" i="1" s="1"/>
  <c r="E30" i="1" s="1"/>
  <c r="A29" i="1"/>
  <c r="BD29" i="1" s="1"/>
  <c r="F29" i="1" s="1"/>
  <c r="E29" i="1" s="1"/>
  <c r="A28" i="1"/>
  <c r="A27" i="1"/>
  <c r="A26" i="1"/>
  <c r="A25" i="1"/>
  <c r="A24" i="1"/>
  <c r="A23" i="1"/>
  <c r="A22" i="1"/>
  <c r="A21" i="1"/>
  <c r="BD21" i="1" s="1"/>
  <c r="G21" i="1" s="1"/>
  <c r="A20" i="1"/>
  <c r="BD20" i="1" s="1"/>
  <c r="G20" i="1" s="1"/>
  <c r="A19" i="1"/>
  <c r="BD19" i="1" s="1"/>
  <c r="G19" i="1" s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BE3" i="1"/>
  <c r="BE8" i="1"/>
  <c r="BE15" i="1"/>
  <c r="BE16" i="1"/>
  <c r="BE17" i="1"/>
  <c r="BE18" i="1"/>
  <c r="BE19" i="1"/>
  <c r="BF19" i="1" s="1"/>
  <c r="BE20" i="1"/>
  <c r="BE21" i="1"/>
  <c r="BE29" i="1"/>
  <c r="BE30" i="1"/>
  <c r="BF30" i="1" s="1"/>
  <c r="BD2" i="1"/>
  <c r="D37" i="4"/>
  <c r="D36" i="4"/>
  <c r="D35" i="4"/>
  <c r="D34" i="4"/>
  <c r="D33" i="4"/>
  <c r="D32" i="4"/>
  <c r="D31" i="4"/>
  <c r="D38" i="4"/>
  <c r="AV22" i="1"/>
  <c r="AV26" i="1"/>
  <c r="AW22" i="1"/>
  <c r="AW26" i="1"/>
  <c r="AV23" i="1"/>
  <c r="AV27" i="1"/>
  <c r="AW23" i="1"/>
  <c r="AW27" i="1"/>
  <c r="AV24" i="1"/>
  <c r="AV28" i="1"/>
  <c r="AW24" i="1"/>
  <c r="AW28" i="1"/>
  <c r="AV25" i="1"/>
  <c r="AW25" i="1"/>
  <c r="AV9" i="1"/>
  <c r="AV13" i="1"/>
  <c r="AW9" i="1"/>
  <c r="AW13" i="1"/>
  <c r="AV10" i="1"/>
  <c r="AV14" i="1"/>
  <c r="AW10" i="1"/>
  <c r="AW14" i="1"/>
  <c r="AV11" i="1"/>
  <c r="AW11" i="1"/>
  <c r="AV12" i="1"/>
  <c r="AW12" i="1"/>
  <c r="AW5" i="1"/>
  <c r="AV6" i="1"/>
  <c r="AW6" i="1"/>
  <c r="AV7" i="1"/>
  <c r="AV5" i="1"/>
  <c r="AW7" i="1"/>
  <c r="AV4" i="1"/>
  <c r="AW4" i="1"/>
  <c r="AV20" i="1"/>
  <c r="AW20" i="1"/>
  <c r="AV21" i="1"/>
  <c r="AV29" i="1"/>
  <c r="AW21" i="1"/>
  <c r="AW29" i="1"/>
  <c r="AV30" i="1"/>
  <c r="AW30" i="1"/>
  <c r="AV19" i="1"/>
  <c r="AW19" i="1"/>
  <c r="BF20" i="1" l="1"/>
  <c r="BF21" i="1"/>
  <c r="BF29" i="1"/>
  <c r="G29" i="1"/>
  <c r="G30" i="1"/>
  <c r="F19" i="1"/>
  <c r="E19" i="1" s="1"/>
  <c r="F20" i="1"/>
  <c r="E20" i="1" s="1"/>
  <c r="F21" i="1"/>
  <c r="E21" i="1" s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W9510" i="8"/>
  <c r="W9511" i="8"/>
  <c r="V9511" i="8" s="1"/>
  <c r="W9512" i="8"/>
  <c r="V9512" i="8" s="1"/>
  <c r="W9513" i="8"/>
  <c r="W9514" i="8"/>
  <c r="W9515" i="8"/>
  <c r="W9516" i="8"/>
  <c r="W9517" i="8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W9558" i="8"/>
  <c r="W9559" i="8"/>
  <c r="V9559" i="8" s="1"/>
  <c r="W9560" i="8"/>
  <c r="V9560" i="8" s="1"/>
  <c r="W9561" i="8"/>
  <c r="W9562" i="8"/>
  <c r="W9563" i="8"/>
  <c r="W9564" i="8"/>
  <c r="W9565" i="8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V9808" i="8" s="1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W9870" i="8"/>
  <c r="W9871" i="8"/>
  <c r="V9871" i="8" s="1"/>
  <c r="W9872" i="8"/>
  <c r="V9872" i="8" s="1"/>
  <c r="W9873" i="8"/>
  <c r="W9874" i="8"/>
  <c r="W9875" i="8"/>
  <c r="W9876" i="8"/>
  <c r="W9877" i="8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W9902" i="8"/>
  <c r="W9903" i="8"/>
  <c r="V9903" i="8" s="1"/>
  <c r="W9904" i="8"/>
  <c r="V9904" i="8" s="1"/>
  <c r="W9905" i="8"/>
  <c r="W9906" i="8"/>
  <c r="W9907" i="8"/>
  <c r="W9908" i="8"/>
  <c r="W9909" i="8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W9918" i="8"/>
  <c r="W9919" i="8"/>
  <c r="V9919" i="8" s="1"/>
  <c r="W9920" i="8"/>
  <c r="V9920" i="8" s="1"/>
  <c r="W9921" i="8"/>
  <c r="W9922" i="8"/>
  <c r="W9923" i="8"/>
  <c r="W9924" i="8"/>
  <c r="W9925" i="8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W9942" i="8"/>
  <c r="W9943" i="8"/>
  <c r="W9944" i="8"/>
  <c r="V9944" i="8" s="1"/>
  <c r="W9945" i="8"/>
  <c r="W9946" i="8"/>
  <c r="W9947" i="8"/>
  <c r="V9947" i="8" s="1"/>
  <c r="W9948" i="8"/>
  <c r="W9949" i="8"/>
  <c r="W9950" i="8"/>
  <c r="W9951" i="8"/>
  <c r="W9952" i="8"/>
  <c r="V9952" i="8" s="1"/>
  <c r="W9953" i="8"/>
  <c r="W9954" i="8"/>
  <c r="W9955" i="8"/>
  <c r="V9955" i="8" s="1"/>
  <c r="W9956" i="8"/>
  <c r="W9957" i="8"/>
  <c r="W9958" i="8"/>
  <c r="W9959" i="8"/>
  <c r="W9960" i="8"/>
  <c r="V9960" i="8" s="1"/>
  <c r="W9961" i="8"/>
  <c r="W9962" i="8"/>
  <c r="W9963" i="8"/>
  <c r="V9963" i="8" s="1"/>
  <c r="W9964" i="8"/>
  <c r="W9965" i="8"/>
  <c r="W9966" i="8"/>
  <c r="W9967" i="8"/>
  <c r="W9968" i="8"/>
  <c r="V9968" i="8" s="1"/>
  <c r="W9969" i="8"/>
  <c r="W9970" i="8"/>
  <c r="W9971" i="8"/>
  <c r="V9971" i="8" s="1"/>
  <c r="W9972" i="8"/>
  <c r="W9973" i="8"/>
  <c r="W9974" i="8"/>
  <c r="W9975" i="8"/>
  <c r="W9976" i="8"/>
  <c r="V9976" i="8" s="1"/>
  <c r="W9977" i="8"/>
  <c r="W9978" i="8"/>
  <c r="W9979" i="8"/>
  <c r="V9979" i="8" s="1"/>
  <c r="W9980" i="8"/>
  <c r="W9981" i="8"/>
  <c r="W9982" i="8"/>
  <c r="W9983" i="8"/>
  <c r="W9984" i="8"/>
  <c r="V9984" i="8" s="1"/>
  <c r="W9985" i="8"/>
  <c r="W9986" i="8"/>
  <c r="W9987" i="8"/>
  <c r="V9987" i="8" s="1"/>
  <c r="W9988" i="8"/>
  <c r="W9989" i="8"/>
  <c r="W9990" i="8"/>
  <c r="W9991" i="8"/>
  <c r="W9992" i="8"/>
  <c r="V9992" i="8" s="1"/>
  <c r="W9993" i="8"/>
  <c r="W9994" i="8"/>
  <c r="W9995" i="8"/>
  <c r="V9995" i="8" s="1"/>
  <c r="W9996" i="8"/>
  <c r="W9997" i="8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 s="1"/>
  <c r="AC9214" i="8"/>
  <c r="AD9214" i="8"/>
  <c r="AC9215" i="8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 s="1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E9365" i="8" s="1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E9397" i="8" s="1"/>
  <c r="AD9397" i="8"/>
  <c r="AC9398" i="8"/>
  <c r="AD9398" i="8"/>
  <c r="AE9398" i="8" s="1"/>
  <c r="AC9399" i="8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E9484" i="8" s="1"/>
  <c r="AD9484" i="8"/>
  <c r="AC9485" i="8"/>
  <c r="AD9485" i="8"/>
  <c r="AC9486" i="8"/>
  <c r="AD9486" i="8"/>
  <c r="AC9487" i="8"/>
  <c r="AD9487" i="8"/>
  <c r="AC9488" i="8"/>
  <c r="AE9488" i="8" s="1"/>
  <c r="AD9488" i="8"/>
  <c r="AC9489" i="8"/>
  <c r="AD9489" i="8"/>
  <c r="AC9490" i="8"/>
  <c r="AD9490" i="8"/>
  <c r="AC9491" i="8"/>
  <c r="AD9491" i="8"/>
  <c r="AC9492" i="8"/>
  <c r="AE9492" i="8" s="1"/>
  <c r="AD9492" i="8"/>
  <c r="AC9493" i="8"/>
  <c r="AD9493" i="8"/>
  <c r="AC9494" i="8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E9518" i="8" s="1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D9629" i="8"/>
  <c r="AC9630" i="8"/>
  <c r="AD9630" i="8"/>
  <c r="AE9630" i="8" s="1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E9686" i="8" s="1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E9734" i="8" s="1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E9742" i="8" s="1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D9752" i="8"/>
  <c r="AC9753" i="8"/>
  <c r="AD9753" i="8"/>
  <c r="AC9754" i="8"/>
  <c r="AE9754" i="8" s="1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E9827" i="8" s="1"/>
  <c r="AD9827" i="8"/>
  <c r="AC9828" i="8"/>
  <c r="AD9828" i="8"/>
  <c r="AC9829" i="8"/>
  <c r="AD9829" i="8"/>
  <c r="AC9830" i="8"/>
  <c r="AD9830" i="8"/>
  <c r="AC9831" i="8"/>
  <c r="AE9831" i="8" s="1"/>
  <c r="AD9831" i="8"/>
  <c r="AC9832" i="8"/>
  <c r="AD9832" i="8"/>
  <c r="AC9833" i="8"/>
  <c r="AD9833" i="8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E9986" i="8" s="1"/>
  <c r="AD9986" i="8"/>
  <c r="AC9987" i="8"/>
  <c r="AD9987" i="8"/>
  <c r="AC9988" i="8"/>
  <c r="AD9988" i="8"/>
  <c r="AC9989" i="8"/>
  <c r="AD9989" i="8"/>
  <c r="AC9990" i="8"/>
  <c r="AE9990" i="8" s="1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8" i="8"/>
  <c r="V9269" i="8"/>
  <c r="V9270" i="8"/>
  <c r="V9273" i="8"/>
  <c r="V9274" i="8"/>
  <c r="V9275" i="8"/>
  <c r="V9276" i="8"/>
  <c r="V9277" i="8"/>
  <c r="V9278" i="8"/>
  <c r="V9281" i="8"/>
  <c r="V9282" i="8"/>
  <c r="V9284" i="8"/>
  <c r="V9285" i="8"/>
  <c r="V9286" i="8"/>
  <c r="V9289" i="8"/>
  <c r="V9290" i="8"/>
  <c r="V9291" i="8"/>
  <c r="V9292" i="8"/>
  <c r="V9293" i="8"/>
  <c r="V9294" i="8"/>
  <c r="V9297" i="8"/>
  <c r="V9298" i="8"/>
  <c r="V9300" i="8"/>
  <c r="V9301" i="8"/>
  <c r="V9302" i="8"/>
  <c r="V9305" i="8"/>
  <c r="V9306" i="8"/>
  <c r="V9307" i="8"/>
  <c r="V9308" i="8"/>
  <c r="V9309" i="8"/>
  <c r="V9310" i="8"/>
  <c r="V9313" i="8"/>
  <c r="V9314" i="8"/>
  <c r="V9316" i="8"/>
  <c r="V9317" i="8"/>
  <c r="V9318" i="8"/>
  <c r="V9321" i="8"/>
  <c r="V9322" i="8"/>
  <c r="V9323" i="8"/>
  <c r="V9324" i="8"/>
  <c r="V9325" i="8"/>
  <c r="V9326" i="8"/>
  <c r="V9329" i="8"/>
  <c r="V9330" i="8"/>
  <c r="V9332" i="8"/>
  <c r="V9333" i="8"/>
  <c r="V9334" i="8"/>
  <c r="V9337" i="8"/>
  <c r="V9338" i="8"/>
  <c r="V9339" i="8"/>
  <c r="V9340" i="8"/>
  <c r="V9341" i="8"/>
  <c r="V9342" i="8"/>
  <c r="V9345" i="8"/>
  <c r="V9346" i="8"/>
  <c r="V9348" i="8"/>
  <c r="V9349" i="8"/>
  <c r="V9350" i="8"/>
  <c r="V9353" i="8"/>
  <c r="V9354" i="8"/>
  <c r="V9355" i="8"/>
  <c r="V9356" i="8"/>
  <c r="V9357" i="8"/>
  <c r="V9358" i="8"/>
  <c r="V9361" i="8"/>
  <c r="V9362" i="8"/>
  <c r="V9364" i="8"/>
  <c r="V9365" i="8"/>
  <c r="V9366" i="8"/>
  <c r="V9369" i="8"/>
  <c r="V9370" i="8"/>
  <c r="V9371" i="8"/>
  <c r="V9372" i="8"/>
  <c r="V9373" i="8"/>
  <c r="V9374" i="8"/>
  <c r="V9377" i="8"/>
  <c r="V9378" i="8"/>
  <c r="V9380" i="8"/>
  <c r="V9381" i="8"/>
  <c r="V9382" i="8"/>
  <c r="V9385" i="8"/>
  <c r="V9386" i="8"/>
  <c r="V9387" i="8"/>
  <c r="V9388" i="8"/>
  <c r="V9389" i="8"/>
  <c r="V9390" i="8"/>
  <c r="V9393" i="8"/>
  <c r="V9394" i="8"/>
  <c r="V9396" i="8"/>
  <c r="V9397" i="8"/>
  <c r="V9398" i="8"/>
  <c r="V9401" i="8"/>
  <c r="V9402" i="8"/>
  <c r="V9403" i="8"/>
  <c r="V9404" i="8"/>
  <c r="V9405" i="8"/>
  <c r="V9406" i="8"/>
  <c r="V9409" i="8"/>
  <c r="V9410" i="8"/>
  <c r="V9412" i="8"/>
  <c r="V9413" i="8"/>
  <c r="V9414" i="8"/>
  <c r="V9417" i="8"/>
  <c r="V9418" i="8"/>
  <c r="V9419" i="8"/>
  <c r="V9420" i="8"/>
  <c r="V9421" i="8"/>
  <c r="V9422" i="8"/>
  <c r="V9425" i="8"/>
  <c r="V9426" i="8"/>
  <c r="V9428" i="8"/>
  <c r="V9429" i="8"/>
  <c r="V9430" i="8"/>
  <c r="V9433" i="8"/>
  <c r="V9434" i="8"/>
  <c r="V9435" i="8"/>
  <c r="V9436" i="8"/>
  <c r="V9437" i="8"/>
  <c r="V9438" i="8"/>
  <c r="V9441" i="8"/>
  <c r="V9442" i="8"/>
  <c r="V9444" i="8"/>
  <c r="V9445" i="8"/>
  <c r="V9446" i="8"/>
  <c r="V9449" i="8"/>
  <c r="V9450" i="8"/>
  <c r="V9451" i="8"/>
  <c r="V9452" i="8"/>
  <c r="V9453" i="8"/>
  <c r="V9454" i="8"/>
  <c r="V9457" i="8"/>
  <c r="V9458" i="8"/>
  <c r="V9460" i="8"/>
  <c r="V9461" i="8"/>
  <c r="V9462" i="8"/>
  <c r="V9465" i="8"/>
  <c r="V9466" i="8"/>
  <c r="V9467" i="8"/>
  <c r="V9468" i="8"/>
  <c r="V9469" i="8"/>
  <c r="V9470" i="8"/>
  <c r="V9473" i="8"/>
  <c r="V9474" i="8"/>
  <c r="V9476" i="8"/>
  <c r="V9477" i="8"/>
  <c r="V9478" i="8"/>
  <c r="V9481" i="8"/>
  <c r="V9482" i="8"/>
  <c r="V9484" i="8"/>
  <c r="V9485" i="8"/>
  <c r="V9486" i="8"/>
  <c r="V9489" i="8"/>
  <c r="V9490" i="8"/>
  <c r="V9492" i="8"/>
  <c r="V9493" i="8"/>
  <c r="V9494" i="8"/>
  <c r="V9497" i="8"/>
  <c r="V9498" i="8"/>
  <c r="V9499" i="8"/>
  <c r="V9500" i="8"/>
  <c r="V9501" i="8"/>
  <c r="V9502" i="8"/>
  <c r="V9505" i="8"/>
  <c r="V9506" i="8"/>
  <c r="V9508" i="8"/>
  <c r="V9509" i="8"/>
  <c r="V9510" i="8"/>
  <c r="V9513" i="8"/>
  <c r="V9514" i="8"/>
  <c r="V9515" i="8"/>
  <c r="V9516" i="8"/>
  <c r="V9517" i="8"/>
  <c r="V9518" i="8"/>
  <c r="V9521" i="8"/>
  <c r="V9522" i="8"/>
  <c r="V9524" i="8"/>
  <c r="V9525" i="8"/>
  <c r="V9526" i="8"/>
  <c r="V9529" i="8"/>
  <c r="V9530" i="8"/>
  <c r="V9532" i="8"/>
  <c r="V9533" i="8"/>
  <c r="V9534" i="8"/>
  <c r="V9537" i="8"/>
  <c r="V9538" i="8"/>
  <c r="V9540" i="8"/>
  <c r="V9541" i="8"/>
  <c r="V9542" i="8"/>
  <c r="V9545" i="8"/>
  <c r="V9546" i="8"/>
  <c r="V9547" i="8"/>
  <c r="V9548" i="8"/>
  <c r="V9549" i="8"/>
  <c r="V9550" i="8"/>
  <c r="V9553" i="8"/>
  <c r="V9554" i="8"/>
  <c r="V9556" i="8"/>
  <c r="V9557" i="8"/>
  <c r="V9558" i="8"/>
  <c r="V9561" i="8"/>
  <c r="V9562" i="8"/>
  <c r="V9563" i="8"/>
  <c r="V9564" i="8"/>
  <c r="V9565" i="8"/>
  <c r="V9566" i="8"/>
  <c r="V9569" i="8"/>
  <c r="V9570" i="8"/>
  <c r="V9572" i="8"/>
  <c r="V9573" i="8"/>
  <c r="V9574" i="8"/>
  <c r="V9577" i="8"/>
  <c r="V9578" i="8"/>
  <c r="V9580" i="8"/>
  <c r="V9581" i="8"/>
  <c r="V9582" i="8"/>
  <c r="V9585" i="8"/>
  <c r="V9586" i="8"/>
  <c r="V9588" i="8"/>
  <c r="V9589" i="8"/>
  <c r="V9590" i="8"/>
  <c r="V9593" i="8"/>
  <c r="V9594" i="8"/>
  <c r="V9595" i="8"/>
  <c r="V9596" i="8"/>
  <c r="V9597" i="8"/>
  <c r="V9598" i="8"/>
  <c r="V9601" i="8"/>
  <c r="V9602" i="8"/>
  <c r="V9604" i="8"/>
  <c r="V9605" i="8"/>
  <c r="V9606" i="8"/>
  <c r="V9609" i="8"/>
  <c r="V9610" i="8"/>
  <c r="V9612" i="8"/>
  <c r="V9613" i="8"/>
  <c r="V9614" i="8"/>
  <c r="V9617" i="8"/>
  <c r="V9618" i="8"/>
  <c r="V9620" i="8"/>
  <c r="V9621" i="8"/>
  <c r="V9622" i="8"/>
  <c r="V9625" i="8"/>
  <c r="V9626" i="8"/>
  <c r="V9627" i="8"/>
  <c r="V9628" i="8"/>
  <c r="V9629" i="8"/>
  <c r="V9630" i="8"/>
  <c r="V9633" i="8"/>
  <c r="V9634" i="8"/>
  <c r="V9636" i="8"/>
  <c r="V9637" i="8"/>
  <c r="V9638" i="8"/>
  <c r="V9641" i="8"/>
  <c r="V9642" i="8"/>
  <c r="V9643" i="8"/>
  <c r="V9644" i="8"/>
  <c r="V9645" i="8"/>
  <c r="V9646" i="8"/>
  <c r="V9649" i="8"/>
  <c r="V9650" i="8"/>
  <c r="V9652" i="8"/>
  <c r="V9653" i="8"/>
  <c r="V9654" i="8"/>
  <c r="V9657" i="8"/>
  <c r="V9658" i="8"/>
  <c r="V9660" i="8"/>
  <c r="V9661" i="8"/>
  <c r="V9662" i="8"/>
  <c r="V9665" i="8"/>
  <c r="V9666" i="8"/>
  <c r="V9668" i="8"/>
  <c r="V9669" i="8"/>
  <c r="V9670" i="8"/>
  <c r="V9673" i="8"/>
  <c r="V9674" i="8"/>
  <c r="V9675" i="8"/>
  <c r="V9676" i="8"/>
  <c r="V9677" i="8"/>
  <c r="V9678" i="8"/>
  <c r="V9681" i="8"/>
  <c r="V9682" i="8"/>
  <c r="V9684" i="8"/>
  <c r="V9685" i="8"/>
  <c r="V9686" i="8"/>
  <c r="V9689" i="8"/>
  <c r="V9690" i="8"/>
  <c r="V9691" i="8"/>
  <c r="V9692" i="8"/>
  <c r="V9693" i="8"/>
  <c r="V9694" i="8"/>
  <c r="V9697" i="8"/>
  <c r="V9698" i="8"/>
  <c r="V9700" i="8"/>
  <c r="V9701" i="8"/>
  <c r="V9702" i="8"/>
  <c r="V9705" i="8"/>
  <c r="V9706" i="8"/>
  <c r="V9708" i="8"/>
  <c r="V9709" i="8"/>
  <c r="V9710" i="8"/>
  <c r="V9713" i="8"/>
  <c r="V9714" i="8"/>
  <c r="V9716" i="8"/>
  <c r="V9717" i="8"/>
  <c r="V9718" i="8"/>
  <c r="V9721" i="8"/>
  <c r="V9722" i="8"/>
  <c r="V9723" i="8"/>
  <c r="V9724" i="8"/>
  <c r="V9725" i="8"/>
  <c r="V9726" i="8"/>
  <c r="V9729" i="8"/>
  <c r="V9730" i="8"/>
  <c r="V9732" i="8"/>
  <c r="V9733" i="8"/>
  <c r="V9734" i="8"/>
  <c r="V9737" i="8"/>
  <c r="V9738" i="8"/>
  <c r="V9740" i="8"/>
  <c r="V9741" i="8"/>
  <c r="V9742" i="8"/>
  <c r="V9745" i="8"/>
  <c r="V9746" i="8"/>
  <c r="V9748" i="8"/>
  <c r="V9749" i="8"/>
  <c r="V9750" i="8"/>
  <c r="V9753" i="8"/>
  <c r="V9754" i="8"/>
  <c r="V9755" i="8"/>
  <c r="V9756" i="8"/>
  <c r="V9757" i="8"/>
  <c r="V9758" i="8"/>
  <c r="V9761" i="8"/>
  <c r="V9762" i="8"/>
  <c r="V9764" i="8"/>
  <c r="V9765" i="8"/>
  <c r="V9766" i="8"/>
  <c r="V9769" i="8"/>
  <c r="V9770" i="8"/>
  <c r="V9771" i="8"/>
  <c r="V9772" i="8"/>
  <c r="V9773" i="8"/>
  <c r="V9774" i="8"/>
  <c r="V9777" i="8"/>
  <c r="V9778" i="8"/>
  <c r="V9780" i="8"/>
  <c r="V9781" i="8"/>
  <c r="V9782" i="8"/>
  <c r="V9785" i="8"/>
  <c r="V9786" i="8"/>
  <c r="V9788" i="8"/>
  <c r="V9789" i="8"/>
  <c r="V9790" i="8"/>
  <c r="V9793" i="8"/>
  <c r="V9794" i="8"/>
  <c r="V9796" i="8"/>
  <c r="V9797" i="8"/>
  <c r="V9798" i="8"/>
  <c r="V9801" i="8"/>
  <c r="V9802" i="8"/>
  <c r="V9803" i="8"/>
  <c r="V9804" i="8"/>
  <c r="V9805" i="8"/>
  <c r="V9806" i="8"/>
  <c r="V9809" i="8"/>
  <c r="V9810" i="8"/>
  <c r="V9811" i="8"/>
  <c r="V9812" i="8"/>
  <c r="V9813" i="8"/>
  <c r="V9814" i="8"/>
  <c r="V9817" i="8"/>
  <c r="V9818" i="8"/>
  <c r="V9820" i="8"/>
  <c r="V9821" i="8"/>
  <c r="V9822" i="8"/>
  <c r="V9825" i="8"/>
  <c r="V9826" i="8"/>
  <c r="V9828" i="8"/>
  <c r="V9829" i="8"/>
  <c r="V9830" i="8"/>
  <c r="V9833" i="8"/>
  <c r="V9834" i="8"/>
  <c r="V9836" i="8"/>
  <c r="V9837" i="8"/>
  <c r="V9838" i="8"/>
  <c r="V9841" i="8"/>
  <c r="V9842" i="8"/>
  <c r="V9844" i="8"/>
  <c r="V9845" i="8"/>
  <c r="V9846" i="8"/>
  <c r="V9849" i="8"/>
  <c r="V9850" i="8"/>
  <c r="V9852" i="8"/>
  <c r="V9853" i="8"/>
  <c r="V9854" i="8"/>
  <c r="V9857" i="8"/>
  <c r="V9858" i="8"/>
  <c r="V9860" i="8"/>
  <c r="V9861" i="8"/>
  <c r="V9862" i="8"/>
  <c r="V9865" i="8"/>
  <c r="V9866" i="8"/>
  <c r="V9868" i="8"/>
  <c r="V9869" i="8"/>
  <c r="V9870" i="8"/>
  <c r="V9873" i="8"/>
  <c r="V9874" i="8"/>
  <c r="V9875" i="8"/>
  <c r="V9876" i="8"/>
  <c r="V9877" i="8"/>
  <c r="V9878" i="8"/>
  <c r="V9881" i="8"/>
  <c r="V9882" i="8"/>
  <c r="V9884" i="8"/>
  <c r="V9885" i="8"/>
  <c r="V9886" i="8"/>
  <c r="V9889" i="8"/>
  <c r="V9890" i="8"/>
  <c r="V9892" i="8"/>
  <c r="V9893" i="8"/>
  <c r="V9894" i="8"/>
  <c r="V9897" i="8"/>
  <c r="V9898" i="8"/>
  <c r="V9900" i="8"/>
  <c r="V9901" i="8"/>
  <c r="V9902" i="8"/>
  <c r="V9905" i="8"/>
  <c r="V9906" i="8"/>
  <c r="V9907" i="8"/>
  <c r="V9908" i="8"/>
  <c r="V9909" i="8"/>
  <c r="V9910" i="8"/>
  <c r="V9913" i="8"/>
  <c r="V9914" i="8"/>
  <c r="V9916" i="8"/>
  <c r="V9917" i="8"/>
  <c r="V9918" i="8"/>
  <c r="V9921" i="8"/>
  <c r="V9922" i="8"/>
  <c r="V9923" i="8"/>
  <c r="V9924" i="8"/>
  <c r="V9925" i="8"/>
  <c r="V9926" i="8"/>
  <c r="V9929" i="8"/>
  <c r="V9930" i="8"/>
  <c r="V9932" i="8"/>
  <c r="V9933" i="8"/>
  <c r="V9934" i="8"/>
  <c r="V9937" i="8"/>
  <c r="V9938" i="8"/>
  <c r="V9940" i="8"/>
  <c r="V9941" i="8"/>
  <c r="V9942" i="8"/>
  <c r="V9943" i="8"/>
  <c r="V9945" i="8"/>
  <c r="V9946" i="8"/>
  <c r="V9948" i="8"/>
  <c r="V9949" i="8"/>
  <c r="V9950" i="8"/>
  <c r="V9951" i="8"/>
  <c r="V9953" i="8"/>
  <c r="V9954" i="8"/>
  <c r="V9956" i="8"/>
  <c r="V9957" i="8"/>
  <c r="V9958" i="8"/>
  <c r="V9959" i="8"/>
  <c r="V9961" i="8"/>
  <c r="V9962" i="8"/>
  <c r="V9964" i="8"/>
  <c r="V9965" i="8"/>
  <c r="V9966" i="8"/>
  <c r="V9967" i="8"/>
  <c r="V9969" i="8"/>
  <c r="V9970" i="8"/>
  <c r="V9972" i="8"/>
  <c r="V9973" i="8"/>
  <c r="V9974" i="8"/>
  <c r="V9975" i="8"/>
  <c r="V9977" i="8"/>
  <c r="V9978" i="8"/>
  <c r="V9980" i="8"/>
  <c r="V9981" i="8"/>
  <c r="V9982" i="8"/>
  <c r="V9983" i="8"/>
  <c r="V9985" i="8"/>
  <c r="V9986" i="8"/>
  <c r="V9988" i="8"/>
  <c r="V9989" i="8"/>
  <c r="V9990" i="8"/>
  <c r="V9991" i="8"/>
  <c r="V9993" i="8"/>
  <c r="V9994" i="8"/>
  <c r="V9996" i="8"/>
  <c r="V9997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E6035" i="8" s="1"/>
  <c r="AC6036" i="8"/>
  <c r="AD6036" i="8"/>
  <c r="AC6037" i="8"/>
  <c r="AD6037" i="8"/>
  <c r="AC6038" i="8"/>
  <c r="AD6038" i="8"/>
  <c r="AC6039" i="8"/>
  <c r="AD6039" i="8"/>
  <c r="AE6039" i="8" s="1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 s="1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E6145" i="8" s="1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E6175" i="8" s="1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D6248" i="8"/>
  <c r="AE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E6272" i="8" s="1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E6280" i="8" s="1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E6328" i="8" s="1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E6400" i="8" s="1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 s="1"/>
  <c r="AC6432" i="8"/>
  <c r="AD6432" i="8"/>
  <c r="AE6432" i="8" s="1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E6440" i="8" s="1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E6463" i="8" s="1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E6471" i="8" s="1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E6479" i="8" s="1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E6583" i="8" s="1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E6641" i="8" s="1"/>
  <c r="AD6641" i="8"/>
  <c r="AC6642" i="8"/>
  <c r="AD6642" i="8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E6663" i="8" s="1"/>
  <c r="AD6663" i="8"/>
  <c r="AC6664" i="8"/>
  <c r="AD6664" i="8"/>
  <c r="AC6665" i="8"/>
  <c r="AD6665" i="8"/>
  <c r="AC6666" i="8"/>
  <c r="AE6666" i="8" s="1"/>
  <c r="AD6666" i="8"/>
  <c r="AC6667" i="8"/>
  <c r="AD6667" i="8"/>
  <c r="AC6668" i="8"/>
  <c r="AD6668" i="8"/>
  <c r="AC6669" i="8"/>
  <c r="AD6669" i="8"/>
  <c r="AC6670" i="8"/>
  <c r="AE6670" i="8" s="1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E6683" i="8" s="1"/>
  <c r="AD6683" i="8"/>
  <c r="AC6684" i="8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C6691" i="8"/>
  <c r="AE6691" i="8" s="1"/>
  <c r="AD6691" i="8"/>
  <c r="AC6692" i="8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D6700" i="8"/>
  <c r="AC6701" i="8"/>
  <c r="AE6701" i="8" s="1"/>
  <c r="AD6701" i="8"/>
  <c r="AC6702" i="8"/>
  <c r="AD6702" i="8"/>
  <c r="AC6703" i="8"/>
  <c r="AE6703" i="8" s="1"/>
  <c r="AD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E6717" i="8" s="1"/>
  <c r="AD6717" i="8"/>
  <c r="AC6718" i="8"/>
  <c r="AE6718" i="8" s="1"/>
  <c r="AD6718" i="8"/>
  <c r="AC6719" i="8"/>
  <c r="AD6719" i="8"/>
  <c r="AC6720" i="8"/>
  <c r="AD6720" i="8"/>
  <c r="AC6721" i="8"/>
  <c r="AD6721" i="8"/>
  <c r="AC6722" i="8"/>
  <c r="AD6722" i="8"/>
  <c r="AC6723" i="8"/>
  <c r="AE6723" i="8" s="1"/>
  <c r="AD6723" i="8"/>
  <c r="AC6724" i="8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D6736" i="8"/>
  <c r="AC6737" i="8"/>
  <c r="AD6737" i="8"/>
  <c r="AC6738" i="8"/>
  <c r="AD6738" i="8"/>
  <c r="AC6739" i="8"/>
  <c r="AE6739" i="8" s="1"/>
  <c r="AD6739" i="8"/>
  <c r="AC6740" i="8"/>
  <c r="AD6740" i="8"/>
  <c r="AC6741" i="8"/>
  <c r="AD6741" i="8"/>
  <c r="AC6742" i="8"/>
  <c r="AE6742" i="8" s="1"/>
  <c r="AD6742" i="8"/>
  <c r="AC6743" i="8"/>
  <c r="AD6743" i="8"/>
  <c r="AC6744" i="8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D6751" i="8"/>
  <c r="AC6752" i="8"/>
  <c r="AD6752" i="8"/>
  <c r="AC6753" i="8"/>
  <c r="AD6753" i="8"/>
  <c r="AE6753" i="8" s="1"/>
  <c r="AC6754" i="8"/>
  <c r="AD6754" i="8"/>
  <c r="AC6755" i="8"/>
  <c r="AD6755" i="8"/>
  <c r="AC6756" i="8"/>
  <c r="AD6756" i="8"/>
  <c r="AE6756" i="8" s="1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E6916" i="8" s="1"/>
  <c r="AD6916" i="8"/>
  <c r="AC6917" i="8"/>
  <c r="AD6917" i="8"/>
  <c r="AC6918" i="8"/>
  <c r="AD6918" i="8"/>
  <c r="AC6919" i="8"/>
  <c r="AD6919" i="8"/>
  <c r="AC6920" i="8"/>
  <c r="AD6920" i="8"/>
  <c r="AC6921" i="8"/>
  <c r="AE6921" i="8" s="1"/>
  <c r="AD6921" i="8"/>
  <c r="AC6922" i="8"/>
  <c r="AD6922" i="8"/>
  <c r="AC6923" i="8"/>
  <c r="AD6923" i="8"/>
  <c r="AC6924" i="8"/>
  <c r="AD6924" i="8"/>
  <c r="AC6925" i="8"/>
  <c r="AD6925" i="8"/>
  <c r="AC6926" i="8"/>
  <c r="AE6926" i="8" s="1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E6932" i="8" s="1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E6945" i="8" s="1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E6953" i="8" s="1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E6977" i="8" s="1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E7001" i="8" s="1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E7074" i="8" s="1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E7098" i="8" s="1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 s="1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 s="1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E7414" i="8" s="1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E7422" i="8" s="1"/>
  <c r="AC7423" i="8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E7471" i="8" s="1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E7601" i="8" s="1"/>
  <c r="AC7602" i="8"/>
  <c r="AD7602" i="8"/>
  <c r="AC7603" i="8"/>
  <c r="AD7603" i="8"/>
  <c r="AC7604" i="8"/>
  <c r="AD7604" i="8"/>
  <c r="AC7605" i="8"/>
  <c r="AD7605" i="8"/>
  <c r="AE7605" i="8" s="1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E7739" i="8" s="1"/>
  <c r="AD7739" i="8"/>
  <c r="AC7740" i="8"/>
  <c r="AD7740" i="8"/>
  <c r="AC7741" i="8"/>
  <c r="AE7741" i="8" s="1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E7751" i="8" s="1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D7783" i="8"/>
  <c r="AC7784" i="8"/>
  <c r="AD7784" i="8"/>
  <c r="AE7784" i="8"/>
  <c r="AC7785" i="8"/>
  <c r="AD7785" i="8"/>
  <c r="AC7786" i="8"/>
  <c r="AD7786" i="8"/>
  <c r="AC7787" i="8"/>
  <c r="AE7787" i="8" s="1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E7834" i="8" s="1"/>
  <c r="AD7834" i="8"/>
  <c r="AC7835" i="8"/>
  <c r="AD7835" i="8"/>
  <c r="AC7836" i="8"/>
  <c r="AD7836" i="8"/>
  <c r="AC7837" i="8"/>
  <c r="AD7837" i="8"/>
  <c r="AC7838" i="8"/>
  <c r="AE7838" i="8" s="1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E7853" i="8" s="1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E7883" i="8" s="1"/>
  <c r="AD7883" i="8"/>
  <c r="AC7884" i="8"/>
  <c r="AD7884" i="8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E7899" i="8" s="1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E7936" i="8" s="1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E7963" i="8" s="1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E8005" i="8" s="1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E8019" i="8" s="1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E8084" i="8" s="1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D8103" i="8"/>
  <c r="AC8104" i="8"/>
  <c r="AE8104" i="8" s="1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D8163" i="8"/>
  <c r="AC8164" i="8"/>
  <c r="AE8164" i="8" s="1"/>
  <c r="AD8164" i="8"/>
  <c r="AC8165" i="8"/>
  <c r="AD8165" i="8"/>
  <c r="AC8166" i="8"/>
  <c r="AE8166" i="8" s="1"/>
  <c r="AD8166" i="8"/>
  <c r="AC8167" i="8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D8183" i="8"/>
  <c r="AC8184" i="8"/>
  <c r="AE8184" i="8" s="1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E8376" i="8" s="1"/>
  <c r="AD8376" i="8"/>
  <c r="AC8377" i="8"/>
  <c r="AD8377" i="8"/>
  <c r="AC8378" i="8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E8408" i="8" s="1"/>
  <c r="AD8408" i="8"/>
  <c r="AC8409" i="8"/>
  <c r="AD8409" i="8"/>
  <c r="AC8410" i="8"/>
  <c r="AD8410" i="8"/>
  <c r="AC8411" i="8"/>
  <c r="AE8411" i="8" s="1"/>
  <c r="AD8411" i="8"/>
  <c r="AC8412" i="8"/>
  <c r="AE8412" i="8" s="1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E8563" i="8" s="1"/>
  <c r="AD8563" i="8"/>
  <c r="AC8564" i="8"/>
  <c r="AE8564" i="8" s="1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E8675" i="8" s="1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E8726" i="8" s="1"/>
  <c r="AD8726" i="8"/>
  <c r="AC8727" i="8"/>
  <c r="AD8727" i="8"/>
  <c r="AC8728" i="8"/>
  <c r="AD8728" i="8"/>
  <c r="AC8729" i="8"/>
  <c r="AD8729" i="8"/>
  <c r="AC8730" i="8"/>
  <c r="AD8730" i="8"/>
  <c r="AC8731" i="8"/>
  <c r="AE8731" i="8" s="1"/>
  <c r="AD8731" i="8"/>
  <c r="AC8732" i="8"/>
  <c r="AD8732" i="8"/>
  <c r="AC8733" i="8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D8752" i="8"/>
  <c r="AC8753" i="8"/>
  <c r="AD8753" i="8"/>
  <c r="AC8754" i="8"/>
  <c r="AD8754" i="8"/>
  <c r="AC8755" i="8"/>
  <c r="AE8755" i="8" s="1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E8991" i="8" s="1"/>
  <c r="AD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E9051" i="8" s="1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E9091" i="8" s="1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11" i="1" l="1"/>
  <c r="BF11" i="1" s="1"/>
  <c r="BE27" i="1"/>
  <c r="BF27" i="1" s="1"/>
  <c r="BE4" i="1"/>
  <c r="BF4" i="1" s="1"/>
  <c r="BE12" i="1"/>
  <c r="BF12" i="1" s="1"/>
  <c r="BE28" i="1"/>
  <c r="BF28" i="1" s="1"/>
  <c r="BE22" i="1"/>
  <c r="BF22" i="1" s="1"/>
  <c r="BE23" i="1"/>
  <c r="BF23" i="1" s="1"/>
  <c r="BE5" i="1"/>
  <c r="BF5" i="1" s="1"/>
  <c r="BE13" i="1"/>
  <c r="BF13" i="1" s="1"/>
  <c r="BE14" i="1"/>
  <c r="BF14" i="1" s="1"/>
  <c r="BE25" i="1"/>
  <c r="BF25" i="1" s="1"/>
  <c r="BE6" i="1"/>
  <c r="BF6" i="1" s="1"/>
  <c r="BE26" i="1"/>
  <c r="BF26" i="1" s="1"/>
  <c r="BE7" i="1"/>
  <c r="BF7" i="1" s="1"/>
  <c r="BE10" i="1"/>
  <c r="BF10" i="1" s="1"/>
  <c r="BE24" i="1"/>
  <c r="BF24" i="1" s="1"/>
  <c r="BE9" i="1"/>
  <c r="BF9" i="1" s="1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S3" i="1"/>
  <c r="AU3" i="1"/>
  <c r="Q8" i="1"/>
  <c r="B17" i="1"/>
  <c r="Q3" i="1"/>
  <c r="L28" i="1"/>
  <c r="B28" i="1" s="1"/>
  <c r="B16" i="1"/>
  <c r="H18" i="1"/>
  <c r="U18" i="1"/>
  <c r="L24" i="1"/>
  <c r="B24" i="1" s="1"/>
  <c r="L15" i="1"/>
  <c r="B15" i="1" s="1"/>
  <c r="H17" i="1"/>
  <c r="U3" i="1"/>
  <c r="B18" i="1"/>
  <c r="AU18" i="1"/>
  <c r="U17" i="1"/>
  <c r="L22" i="1"/>
  <c r="B22" i="1" s="1"/>
  <c r="L13" i="1"/>
  <c r="B13" i="1" s="1"/>
  <c r="H16" i="1"/>
  <c r="B3" i="1"/>
  <c r="AU17" i="1"/>
  <c r="U16" i="1"/>
  <c r="S18" i="1"/>
  <c r="Q18" i="1"/>
  <c r="B8" i="1"/>
  <c r="H15" i="1"/>
  <c r="AU8" i="1"/>
  <c r="Q15" i="1"/>
  <c r="AU16" i="1"/>
  <c r="U15" i="1"/>
  <c r="S17" i="1"/>
  <c r="Q17" i="1"/>
  <c r="L5" i="1"/>
  <c r="B5" i="1" s="1"/>
  <c r="H8" i="1"/>
  <c r="AU15" i="1"/>
  <c r="U8" i="1"/>
  <c r="S8" i="1"/>
  <c r="Q16" i="1"/>
  <c r="L4" i="1"/>
  <c r="B4" i="1" s="1"/>
  <c r="H3" i="1"/>
  <c r="BD28" i="1"/>
  <c r="BD22" i="1"/>
  <c r="BD8" i="1"/>
  <c r="BD27" i="1"/>
  <c r="BD16" i="1"/>
  <c r="BD5" i="1"/>
  <c r="BD10" i="1"/>
  <c r="BD24" i="1"/>
  <c r="BD13" i="1"/>
  <c r="BD7" i="1"/>
  <c r="BD18" i="1"/>
  <c r="BD15" i="1"/>
  <c r="BD3" i="1"/>
  <c r="BD26" i="1"/>
  <c r="BD23" i="1"/>
  <c r="BD9" i="1"/>
  <c r="BD4" i="1"/>
  <c r="BD11" i="1"/>
  <c r="BD17" i="1"/>
  <c r="BD12" i="1"/>
  <c r="BD14" i="1"/>
  <c r="BD6" i="1"/>
  <c r="BD25" i="1"/>
  <c r="B6" i="1"/>
  <c r="B12" i="1"/>
  <c r="B14" i="1"/>
  <c r="B10" i="1"/>
  <c r="B26" i="1"/>
  <c r="B9" i="1"/>
  <c r="B11" i="1"/>
  <c r="B23" i="1"/>
  <c r="B27" i="1"/>
  <c r="B7" i="1"/>
  <c r="B25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3" i="1"/>
  <c r="AW3" i="1"/>
  <c r="AW8" i="1"/>
  <c r="AV8" i="1"/>
  <c r="AV15" i="1"/>
  <c r="AW15" i="1"/>
  <c r="AW17" i="1"/>
  <c r="AV17" i="1"/>
  <c r="AW16" i="1"/>
  <c r="AV16" i="1"/>
  <c r="AW18" i="1"/>
  <c r="AV18" i="1"/>
  <c r="F15" i="1" l="1"/>
  <c r="E15" i="1" s="1"/>
  <c r="G15" i="1"/>
  <c r="BF15" i="1"/>
  <c r="F17" i="1"/>
  <c r="E17" i="1" s="1"/>
  <c r="G17" i="1"/>
  <c r="BF17" i="1"/>
  <c r="G3" i="1"/>
  <c r="F3" i="1"/>
  <c r="E3" i="1" s="1"/>
  <c r="BF3" i="1"/>
  <c r="F16" i="1"/>
  <c r="E16" i="1" s="1"/>
  <c r="G16" i="1"/>
  <c r="BF16" i="1"/>
  <c r="G18" i="1"/>
  <c r="F18" i="1"/>
  <c r="E18" i="1" s="1"/>
  <c r="BF18" i="1"/>
  <c r="F8" i="1"/>
  <c r="E8" i="1" s="1"/>
  <c r="G8" i="1"/>
  <c r="BF8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<sst xmlns="http://schemas.openxmlformats.org/spreadsheetml/2006/main" count="4012" uniqueCount="1142">
  <si>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</si>
  <si>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</si>
  <si>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</si>
  <si>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</si>
  <si>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</si>
  <si>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</si>
  <si>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</si>
  <si>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</si>
  <si>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</si>
  <si>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</si>
  <si>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</si>
  <si>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</si>
  <si>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</si>
  <si>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</si>
  <si>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</si>
  <si>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</si>
  <si>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</si>
  <si>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</si>
  <si>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</si>
  <si>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</si>
  <si>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</si>
  <si>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</si>
  <si>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</si>
  <si>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</si>
  <si>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</si>
  <si>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</si>
  <si>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</si>
  <si>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</si>
  <si>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</si>
  <si>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</si>
  <si>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</si>
  <si>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</si>
  <si>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</si>
  <si>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</si>
  <si>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</si>
  <si>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</si>
  <si>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</si>
  <si>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</si>
  <si>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</si>
  <si>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</si>
  <si>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</si>
  <si>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</si>
  <si>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</si>
  <si>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</si>
  <si>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</si>
  <si>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</si>
  <si>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</si>
  <si>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</si>
  <si>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</si>
  <si>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</si>
  <si>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</si>
  <si>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</si>
  <si>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</si>
  <si>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</si>
  <si>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</si>
  <si>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</si>
  <si>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</si>
  <si>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</si>
  <si>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</si>
  <si>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</si>
  <si>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</si>
  <si>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</si>
  <si>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</si>
  <si>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</si>
  <si>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</si>
  <si>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</si>
  <si>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</si>
  <si>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</si>
  <si>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</si>
  <si>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</si>
  <si>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</si>
  <si>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</si>
  <si>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</si>
  <si>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</si>
  <si>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</si>
  <si>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</si>
  <si>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</si>
  <si>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</si>
  <si>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</si>
  <si>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</si>
  <si>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</si>
  <si>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</si>
  <si>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</si>
  <si>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</si>
  <si>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</si>
  <si>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</si>
  <si>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</si>
  <si>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</si>
  <si>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</si>
  <si>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</si>
  <si>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</si>
  <si>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</si>
  <si>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</si>
  <si>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</si>
  <si>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</si>
  <si>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</si>
  <si>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</si>
  <si>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</si>
  <si>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</si>
  <si>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</si>
  <si>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</si>
  <si>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</si>
  <si>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</si>
  <si>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</si>
  <si>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</si>
  <si>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</si>
  <si>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</si>
  <si>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</si>
  <si>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</si>
  <si>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</si>
  <si>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</si>
  <si>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</si>
  <si>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</si>
  <si>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</si>
  <si>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</si>
  <si>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</si>
  <si>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</si>
  <si>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</si>
  <si>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</si>
  <si>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</si>
  <si>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</si>
  <si>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</si>
  <si>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</si>
  <si>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</si>
  <si>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</si>
  <si>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</si>
  <si>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</si>
  <si>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</si>
  <si>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</si>
  <si>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</si>
  <si>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</si>
  <si>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</si>
  <si>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</si>
  <si>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</si>
  <si>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</si>
  <si>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</si>
  <si>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</si>
  <si>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</si>
  <si>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</si>
  <si>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</si>
  <si>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</si>
  <si>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</si>
  <si>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</si>
  <si>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</si>
  <si>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</si>
  <si>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</si>
  <si>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</si>
  <si>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</si>
  <si>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</si>
  <si>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</si>
  <si>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</si>
  <si>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</si>
  <si>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</si>
  <si>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</si>
  <si>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</si>
  <si>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</si>
  <si>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</si>
  <si>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</si>
  <si>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</si>
  <si>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</si>
  <si>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</si>
  <si>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</si>
  <si>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</si>
  <si>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</si>
  <si>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</si>
  <si>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</si>
  <si>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</si>
  <si>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</si>
  <si>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</si>
  <si>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</si>
  <si>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</si>
  <si>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</si>
  <si>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</si>
  <si>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</si>
  <si>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</si>
  <si>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</si>
  <si>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</si>
  <si>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</si>
  <si>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</si>
  <si>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</si>
  <si>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</si>
  <si>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</si>
  <si>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</si>
  <si>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</si>
  <si>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</si>
  <si>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</si>
  <si>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</si>
  <si>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</si>
  <si>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</si>
  <si>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</si>
  <si>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</si>
  <si>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</si>
  <si>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</si>
  <si>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</si>
  <si>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</si>
  <si>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</si>
  <si>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</si>
  <si>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</si>
  <si>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</si>
  <si>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</si>
  <si>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</si>
  <si>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</si>
  <si>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</si>
  <si>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</si>
  <si>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</si>
  <si>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</si>
  <si>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</si>
  <si>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</si>
  <si>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</si>
  <si>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</si>
  <si>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</si>
  <si>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</si>
  <si>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</si>
  <si>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</si>
  <si>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</si>
  <si>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</si>
  <si>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</si>
  <si>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</si>
  <si>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</si>
  <si>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</si>
  <si>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</si>
  <si>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</si>
  <si>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</si>
  <si>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</si>
  <si>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</si>
  <si>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</si>
  <si>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</si>
  <si>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</si>
  <si>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</si>
  <si>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</si>
  <si>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</si>
  <si>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</si>
  <si>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</si>
  <si>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</si>
  <si>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</si>
  <si>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</si>
  <si>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</si>
  <si>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</si>
  <si>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</si>
  <si>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</si>
  <si>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</si>
  <si>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</si>
  <si>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</si>
  <si>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</si>
  <si>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</si>
  <si>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</si>
  <si>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</si>
  <si>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</si>
  <si>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</si>
  <si>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</si>
  <si>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</si>
  <si>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</si>
  <si>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</si>
  <si>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</si>
  <si>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</si>
  <si>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</si>
  <si>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</si>
  <si>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</si>
  <si>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</si>
  <si>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</si>
  <si>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</si>
  <si>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</si>
  <si>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</si>
  <si>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</si>
  <si>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</si>
  <si>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</si>
  <si>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</si>
  <si>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</si>
  <si>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</si>
  <si>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</si>
  <si>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</si>
  <si>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</si>
  <si>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</si>
  <si>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</si>
  <si>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</si>
  <si>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</si>
  <si>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</si>
  <si>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</si>
  <si>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</si>
  <si>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</si>
  <si>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</si>
  <si>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</si>
  <si>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</si>
  <si>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</si>
  <si>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</si>
  <si>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</si>
  <si>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</si>
  <si>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</si>
  <si>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</si>
  <si>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</si>
  <si>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</si>
  <si>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</si>
  <si>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</si>
  <si>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</si>
  <si>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</si>
  <si>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</si>
  <si>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</si>
  <si>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</si>
  <si>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</si>
  <si>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</si>
  <si>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</si>
  <si>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</si>
  <si>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</si>
  <si>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</si>
  <si>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</si>
  <si>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</si>
  <si>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</si>
  <si>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</si>
  <si>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</si>
  <si>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</si>
  <si>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</si>
  <si>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</si>
  <si>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</si>
  <si>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</si>
  <si>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</si>
  <si>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</si>
  <si>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</si>
  <si>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</si>
  <si>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</si>
  <si>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</si>
  <si>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</si>
  <si>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</si>
  <si>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</si>
  <si>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</si>
  <si>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</si>
  <si>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</si>
  <si>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</si>
  <si>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</si>
  <si>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</si>
  <si>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</si>
  <si>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</si>
  <si>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</si>
  <si>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</si>
  <si>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</si>
  <si>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</si>
  <si>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</si>
  <si>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</si>
  <si>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</si>
  <si>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</si>
  <si>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</si>
  <si>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</si>
  <si>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</si>
  <si>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</si>
  <si>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</si>
  <si>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</si>
  <si>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</si>
  <si>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</si>
  <si>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</si>
  <si>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</si>
  <si>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</si>
  <si>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</si>
  <si>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</si>
  <si>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</si>
  <si>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</si>
  <si>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</si>
  <si>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</si>
  <si>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</si>
  <si>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</si>
  <si>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</si>
  <si>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</si>
  <si>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</si>
  <si>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</si>
  <si>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</si>
  <si>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</si>
  <si>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</si>
  <si>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</si>
  <si>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</si>
  <si>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</si>
  <si>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</si>
  <si>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</si>
  <si>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</si>
  <si>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</si>
  <si>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</si>
  <si>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</si>
  <si>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</si>
  <si>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</si>
  <si>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</si>
  <si>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</si>
  <si>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</si>
  <si>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</si>
  <si>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</si>
  <si>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</si>
  <si>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</si>
  <si>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</si>
  <si>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</si>
  <si>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</si>
  <si>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</si>
  <si>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</si>
  <si>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</si>
  <si>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</si>
  <si>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</si>
  <si>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</si>
  <si>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</si>
  <si>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</si>
  <si>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</si>
  <si>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</si>
  <si>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</si>
  <si>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</si>
  <si>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</si>
  <si>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</si>
  <si>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</si>
  <si>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</si>
  <si>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</si>
  <si>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</si>
  <si>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</si>
  <si>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</si>
  <si>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</si>
  <si>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</si>
  <si>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</si>
  <si>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</si>
  <si>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</si>
  <si>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</si>
  <si>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</si>
  <si>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</si>
  <si>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</si>
  <si>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</si>
  <si>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</si>
  <si>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</si>
  <si>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</si>
  <si>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</si>
  <si>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</si>
  <si>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</si>
  <si>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</si>
  <si>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</si>
  <si>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</si>
  <si>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</si>
  <si>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</si>
  <si>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</si>
  <si>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</si>
  <si>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</si>
  <si>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</si>
  <si>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</si>
  <si>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</si>
  <si>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</si>
  <si>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</si>
  <si>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</si>
  <si>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</si>
  <si>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</si>
  <si>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</si>
  <si>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</si>
  <si>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</si>
  <si>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</si>
  <si>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</si>
  <si>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</si>
  <si>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</si>
  <si>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</si>
  <si>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</si>
  <si>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</si>
  <si>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</si>
  <si>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</si>
  <si>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</si>
  <si>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</si>
  <si>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</si>
  <si>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</si>
  <si>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</si>
  <si>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</si>
  <si>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</si>
  <si>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</si>
  <si>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</si>
  <si>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</si>
  <si>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</si>
  <si>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</si>
  <si>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</si>
  <si>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</si>
  <si>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</si>
  <si>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</si>
  <si>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</si>
  <si>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</si>
  <si>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</si>
  <si>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</si>
  <si>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</si>
  <si>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</si>
  <si>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</si>
  <si>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</si>
  <si>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</si>
  <si>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</si>
  <si>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</si>
  <si>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</si>
  <si>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</si>
  <si>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</si>
  <si>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</si>
  <si>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</si>
  <si>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</si>
  <si>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</si>
  <si>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</si>
  <si>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</si>
  <si>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</si>
  <si>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</si>
  <si>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</si>
  <si>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</si>
  <si>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</si>
  <si>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</si>
  <si>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</si>
  <si>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</si>
  <si>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</si>
  <si>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</si>
  <si>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</si>
  <si>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</si>
  <si>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</si>
  <si>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</si>
  <si>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</si>
  <si>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</si>
  <si>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</si>
  <si>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</si>
  <si>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</si>
  <si>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</si>
  <si>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</si>
  <si>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</si>
  <si>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</si>
  <si>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</si>
  <si>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</si>
  <si>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</si>
  <si>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</si>
  <si>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</si>
  <si>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</si>
  <si>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</si>
  <si>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</si>
  <si>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</si>
  <si>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</si>
  <si>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</si>
  <si>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</si>
  <si>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</si>
  <si>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</si>
  <si>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</si>
  <si>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</si>
  <si>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</si>
  <si>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</si>
  <si>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</si>
  <si>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</si>
  <si>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</si>
  <si>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</si>
  <si>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</si>
  <si>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</si>
  <si>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</si>
  <si>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</si>
  <si>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</si>
  <si>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</si>
  <si>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</si>
  <si>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</si>
  <si>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</si>
  <si>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</si>
  <si>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</si>
  <si>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</si>
  <si>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</si>
  <si>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</si>
  <si>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</si>
  <si>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</si>
  <si>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</si>
  <si>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</si>
  <si>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</si>
  <si>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</si>
  <si>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</si>
  <si>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</si>
  <si>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</si>
  <si>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</si>
  <si>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</si>
  <si>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</si>
  <si>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</si>
  <si>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</si>
  <si>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</si>
  <si>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</si>
  <si>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</si>
  <si>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</si>
  <si>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</si>
  <si>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</si>
  <si>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</si>
  <si>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</si>
  <si>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</si>
  <si>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</si>
  <si>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</si>
  <si>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</si>
  <si>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</si>
  <si>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</si>
  <si>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</si>
  <si>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</si>
  <si>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</si>
  <si>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</si>
  <si>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</si>
  <si>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</si>
  <si>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</si>
  <si>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</si>
  <si>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</si>
  <si>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</si>
  <si>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</si>
  <si>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</si>
  <si>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</si>
  <si>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</si>
  <si>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</si>
  <si>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</si>
  <si>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</si>
  <si>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</si>
  <si>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</si>
  <si>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</si>
  <si>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</si>
  <si>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</si>
  <si>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</si>
  <si>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</si>
  <si>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</si>
  <si>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</si>
  <si>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</si>
  <si>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</si>
  <si>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</si>
  <si>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</si>
  <si>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</si>
  <si>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</si>
  <si>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</si>
  <si>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</si>
  <si>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</si>
  <si>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</si>
  <si>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</si>
  <si>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</si>
  <si>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</si>
  <si>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</si>
  <si>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</si>
  <si>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</si>
  <si>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</si>
  <si>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</si>
  <si>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</si>
  <si>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</si>
  <si>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</si>
  <si>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</si>
  <si>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</si>
  <si>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</si>
  <si>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</si>
  <si>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</si>
  <si>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</si>
  <si>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</si>
  <si>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</si>
  <si>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</si>
  <si>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</si>
  <si>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</si>
  <si>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</si>
  <si>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</si>
  <si>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</si>
  <si>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</si>
  <si>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</si>
  <si>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</si>
  <si>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</si>
  <si>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</si>
  <si>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</si>
  <si>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</si>
  <si>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</si>
  <si>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</si>
  <si>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</si>
  <si>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</si>
  <si>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</si>
  <si>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</si>
  <si>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</si>
  <si>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</si>
  <si>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</si>
  <si>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</si>
  <si>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</si>
  <si>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</si>
  <si>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</si>
  <si>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</si>
  <si>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</si>
  <si>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</si>
  <si>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</si>
  <si>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</si>
  <si>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</si>
  <si>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</si>
  <si>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</si>
  <si>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</si>
  <si>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</si>
  <si>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</si>
  <si>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</si>
  <si>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</si>
  <si>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</si>
  <si>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</si>
  <si>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</si>
  <si>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</si>
  <si>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</si>
  <si>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</si>
  <si>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</si>
  <si>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</si>
  <si>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</si>
  <si>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</si>
  <si>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</si>
  <si>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</si>
  <si>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</si>
  <si>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</si>
  <si>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</si>
  <si>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</si>
  <si>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</si>
  <si>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</si>
  <si>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</si>
  <si>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</si>
  <si>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</si>
  <si>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</si>
  <si>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</si>
  <si>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</si>
  <si>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</si>
  <si>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</si>
  <si>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</si>
  <si>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</si>
  <si>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</si>
  <si>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</si>
  <si>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</si>
  <si>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</si>
  <si>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</si>
  <si>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</si>
  <si>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</si>
  <si>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</si>
  <si>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</si>
  <si>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</si>
  <si>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</si>
  <si>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</si>
  <si>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</si>
  <si>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</si>
  <si>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</si>
  <si>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</si>
  <si>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</si>
  <si>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</si>
  <si>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</si>
  <si>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</si>
  <si>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</si>
  <si>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</si>
  <si>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</si>
  <si>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</si>
  <si>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</si>
  <si>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</si>
  <si>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</si>
  <si>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</si>
  <si>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</si>
  <si>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</si>
  <si>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</si>
  <si>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</si>
  <si>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</si>
  <si>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</si>
  <si>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</si>
  <si>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</si>
  <si>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</si>
  <si>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</si>
  <si>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</si>
  <si>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</si>
  <si>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</si>
  <si>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</si>
  <si>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</si>
  <si>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</si>
  <si>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</si>
  <si>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</si>
  <si>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</si>
  <si>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</si>
  <si>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</si>
  <si>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</si>
  <si>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</si>
  <si>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</si>
  <si>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</si>
  <si>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</si>
  <si>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</si>
  <si>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</si>
  <si>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</si>
  <si>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</si>
  <si>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</si>
  <si>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</si>
  <si>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</si>
  <si>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</si>
  <si>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</si>
  <si>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</si>
  <si>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</si>
  <si>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</si>
  <si>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</si>
  <si>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</si>
  <si>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</si>
  <si>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</si>
  <si>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</si>
  <si>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</si>
  <si>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</si>
  <si>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</si>
  <si>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</si>
  <si>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</si>
  <si>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</si>
  <si>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</si>
  <si>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</si>
  <si>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</si>
  <si>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</si>
  <si>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</si>
  <si>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</si>
  <si>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</si>
  <si>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</si>
  <si>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</si>
  <si>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</si>
  <si>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</si>
  <si>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</si>
  <si>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</si>
  <si>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</si>
  <si>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</si>
  <si>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</si>
  <si>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</si>
  <si>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</si>
  <si>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</si>
  <si>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</si>
  <si>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</si>
  <si>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</si>
  <si>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</si>
  <si>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</si>
  <si>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</si>
  <si>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</si>
  <si>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</si>
  <si>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</si>
  <si>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</si>
  <si>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</si>
  <si>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</si>
  <si>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</si>
  <si>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</si>
  <si>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</si>
  <si>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</si>
  <si>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</si>
  <si>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</si>
  <si>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</si>
  <si>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</si>
  <si>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</si>
  <si>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</si>
  <si>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</si>
  <si>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</si>
  <si>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</si>
  <si>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</si>
  <si>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</si>
  <si>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</si>
  <si>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</si>
  <si>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</si>
  <si>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</si>
  <si>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</si>
  <si>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</si>
  <si>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</si>
  <si>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</si>
  <si>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</si>
  <si>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</si>
  <si>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</si>
  <si>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</si>
  <si>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</si>
  <si>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</si>
  <si>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</si>
  <si>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</si>
  <si>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</si>
  <si>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</si>
  <si>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</si>
  <si>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</si>
  <si>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</si>
  <si>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</si>
  <si>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</si>
  <si>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</si>
  <si>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</si>
  <si>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</si>
  <si>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</si>
  <si>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</si>
  <si>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</si>
  <si>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</si>
  <si>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</si>
  <si>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</si>
  <si>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</si>
  <si>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</si>
  <si>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</si>
  <si>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110F</t>
  </si>
  <si>
    <t>5089M</t>
  </si>
  <si>
    <t>6005FF</t>
  </si>
  <si>
    <t>6007</t>
  </si>
  <si>
    <t>6007T</t>
  </si>
  <si>
    <t>6089CM</t>
  </si>
  <si>
    <t>6089M</t>
  </si>
  <si>
    <t>6089MC</t>
  </si>
  <si>
    <t>6089MT</t>
  </si>
  <si>
    <t>6089TC</t>
  </si>
  <si>
    <t>6277</t>
  </si>
  <si>
    <t>6320</t>
  </si>
  <si>
    <t>6511</t>
  </si>
  <si>
    <t>6533</t>
  </si>
  <si>
    <t>6606</t>
  </si>
  <si>
    <t>1500KC</t>
  </si>
  <si>
    <t>1501KC</t>
  </si>
  <si>
    <t>1501P</t>
  </si>
  <si>
    <t>светло-серый / черный</t>
  </si>
  <si>
    <t>FLEXFIT</t>
  </si>
  <si>
    <t>YupoongInc; 174, Gurodong-ro, Guro-gu, 08285 Seoul, South Korea</t>
  </si>
  <si>
    <t>80% акрил - 20% шерсть</t>
  </si>
  <si>
    <t>100% хлопок</t>
  </si>
  <si>
    <t>65% полиэстер - 35% хлопок</t>
  </si>
  <si>
    <t>98% хлопок - 2% полиуретан</t>
  </si>
  <si>
    <t>63% полиэстер - 34% хлопок - 3% полиуретан</t>
  </si>
  <si>
    <t>100% полиэстер</t>
  </si>
  <si>
    <t>55% полиэстер - 43% хлопок - 2% полиуретан</t>
  </si>
  <si>
    <t>44% полиэстер - 42% нейлон - 7% хлопок - 7% полиуретан</t>
  </si>
  <si>
    <t>100% гипоаллергенный акрил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</si>
  <si>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</si>
  <si>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</si>
  <si>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</si>
  <si>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</si>
  <si>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</si>
  <si>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</si>
  <si>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</si>
  <si>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</si>
  <si>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</si>
  <si>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</si>
  <si>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</si>
  <si>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</si>
  <si>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94-018-18-00</t>
  </si>
  <si>
    <t>94-018-16-00</t>
  </si>
  <si>
    <t>94-018-09-00</t>
  </si>
  <si>
    <t>94-018-06-00</t>
  </si>
  <si>
    <t>94-018-05-00</t>
  </si>
  <si>
    <t>94-018-01-00</t>
  </si>
  <si>
    <t>94-017-19-00</t>
  </si>
  <si>
    <t>94-017-18-00</t>
  </si>
  <si>
    <t>94-017-16-00</t>
  </si>
  <si>
    <t>94-017-15-00</t>
  </si>
  <si>
    <t>94-017-14-00</t>
  </si>
  <si>
    <t>94-017-13-00</t>
  </si>
  <si>
    <t>94-017-12-00</t>
  </si>
  <si>
    <t>94-017-11-00</t>
  </si>
  <si>
    <t>94-017-06-00</t>
  </si>
  <si>
    <t>94-017-05-00</t>
  </si>
  <si>
    <t>94-017-03-00</t>
  </si>
  <si>
    <t>94-017-02-00</t>
  </si>
  <si>
    <t>94-017-01-00</t>
  </si>
  <si>
    <t>94-017-00-00</t>
  </si>
  <si>
    <t>94-016-34-00</t>
  </si>
  <si>
    <t>94-016-18-00</t>
  </si>
  <si>
    <t>94-016-17-00</t>
  </si>
  <si>
    <t>94-016-16-00</t>
  </si>
  <si>
    <t>94-016-14-00</t>
  </si>
  <si>
    <t>94-016-12-00</t>
  </si>
  <si>
    <t>94-016-09-00</t>
  </si>
  <si>
    <t>94-016-06-00</t>
  </si>
  <si>
    <t>94-016-05-00</t>
  </si>
  <si>
    <t>94-016-03-00</t>
  </si>
  <si>
    <t>94-016-01-00</t>
  </si>
  <si>
    <t>94-016-00-00</t>
  </si>
  <si>
    <t>94-015-11-00</t>
  </si>
  <si>
    <t>94-015-09-00</t>
  </si>
  <si>
    <t>94-014-41-56</t>
  </si>
  <si>
    <t>94-014-12-60</t>
  </si>
  <si>
    <t>94-014-12-56</t>
  </si>
  <si>
    <t>94-014-05-60</t>
  </si>
  <si>
    <t>94-014-05-56</t>
  </si>
  <si>
    <t>94-013-14-56</t>
  </si>
  <si>
    <t>94-012-18-00</t>
  </si>
  <si>
    <t>94-012-06-00</t>
  </si>
  <si>
    <t>94-011-14-60</t>
  </si>
  <si>
    <t>94-011-14-56</t>
  </si>
  <si>
    <t>94-011-00-60</t>
  </si>
  <si>
    <t>94-011-00-56</t>
  </si>
  <si>
    <t>94-010-00-00</t>
  </si>
  <si>
    <t>94-009-72-00</t>
  </si>
  <si>
    <t>94-009-71-00</t>
  </si>
  <si>
    <t>94-009-45-00</t>
  </si>
  <si>
    <t>94-009-11-00</t>
  </si>
  <si>
    <t>94-009-10-00</t>
  </si>
  <si>
    <t>94-009-09-00</t>
  </si>
  <si>
    <t>94-009-08-00</t>
  </si>
  <si>
    <t>94-008-00-00</t>
  </si>
  <si>
    <t>94-007-19-00</t>
  </si>
  <si>
    <t>94-007-18-00</t>
  </si>
  <si>
    <t>94-007-17-00</t>
  </si>
  <si>
    <t>94-007-16-00</t>
  </si>
  <si>
    <t>94-007-13-00</t>
  </si>
  <si>
    <t>94-007-12-00</t>
  </si>
  <si>
    <t>94-007-11-00</t>
  </si>
  <si>
    <t>94-007-09-00</t>
  </si>
  <si>
    <t>94-007-08-00</t>
  </si>
  <si>
    <t>94-007-06-00</t>
  </si>
  <si>
    <t>94-007-05-00</t>
  </si>
  <si>
    <t>94-007-01-00</t>
  </si>
  <si>
    <t>94-006-00-00</t>
  </si>
  <si>
    <t>94-005-72-00</t>
  </si>
  <si>
    <t>94-005-71-00</t>
  </si>
  <si>
    <t>94-005-33-00</t>
  </si>
  <si>
    <t>94-005-10-00</t>
  </si>
  <si>
    <t>94-005-09-00</t>
  </si>
  <si>
    <t>94-004-18-00</t>
  </si>
  <si>
    <t>94-004-17-00</t>
  </si>
  <si>
    <t>94-004-16-00</t>
  </si>
  <si>
    <t>94-004-09-00</t>
  </si>
  <si>
    <t>94-004-08-00</t>
  </si>
  <si>
    <t>94-004-05-00</t>
  </si>
  <si>
    <t>94-003-18-00</t>
  </si>
  <si>
    <t>94-003-16-00</t>
  </si>
  <si>
    <t>94-003-09-00</t>
  </si>
  <si>
    <t>94-003-06-00</t>
  </si>
  <si>
    <t>94-002-18-00</t>
  </si>
  <si>
    <t>94-002-17-00</t>
  </si>
  <si>
    <t>94-002-16-00</t>
  </si>
  <si>
    <t>94-002-06-00</t>
  </si>
  <si>
    <t>94-002-05-00</t>
  </si>
  <si>
    <t>94-001-05-00</t>
  </si>
  <si>
    <t>94-001-01-00</t>
  </si>
  <si>
    <t>Шапка FLEXFIT арт. 1501P (красный) {red}</t>
  </si>
  <si>
    <t>ONE</t>
  </si>
  <si>
    <t>Шапка FLEXFIT арт. 1501P (темно-синий) {navy}</t>
  </si>
  <si>
    <t>Шапка FLEXFIT арт. 1501P (черный) {black}</t>
  </si>
  <si>
    <t>Шапка FLEXFIT арт. 1501P (синий) {royal}</t>
  </si>
  <si>
    <t>Шапка FLEXFIT арт. 1501P (темно-серый) {dark grey}</t>
  </si>
  <si>
    <t>Шапка FLEXFIT арт. 1501P (светло-серый) {heather grey}</t>
  </si>
  <si>
    <t>Шапка FLEXFIT арт. 1501KC (голубой) {carolina blue}</t>
  </si>
  <si>
    <t>Шапка FLEXFIT арт. 1501KC (красный) {red}</t>
  </si>
  <si>
    <t>Шапка FLEXFIT арт. 1501KC (темно-синий) {navy}</t>
  </si>
  <si>
    <t>Шапка FLEXFIT арт. 1501KC (светло-коричневый) {caramel}</t>
  </si>
  <si>
    <t>Шапка FLEXFIT арт. 1501KC (коричневый) {brown}</t>
  </si>
  <si>
    <t>Шапка FLEXFIT арт. 1501KC (оранжевый) {blaze orange}</t>
  </si>
  <si>
    <t>Шапка FLEXFIT арт. 1501KC (бордовый) {maroon}</t>
  </si>
  <si>
    <t>Шапка FLEXFIT арт. 1501KC (зеленый) {spruce}</t>
  </si>
  <si>
    <t>Шапка FLEXFIT арт. 1501KC (синий) {royal}</t>
  </si>
  <si>
    <t>Шапка FLEXFIT арт. 1501KC (темно-серый) {dark grey}</t>
  </si>
  <si>
    <t>Шапка FLEXFIT арт. 1501KC (оливковый) {olive}</t>
  </si>
  <si>
    <t>Шапка FLEXFIT арт. 1501KC (песочный) {sand}</t>
  </si>
  <si>
    <t>Шапка FLEXFIT арт. 1501KC (светло-серый) {heather grey}</t>
  </si>
  <si>
    <t>Шапка FLEXFIT арт. 1501KC (золотой) {gold}</t>
  </si>
  <si>
    <t>Шапка FLEXFIT арт. 1500KC (розовый) {baby pink}</t>
  </si>
  <si>
    <t>Шапка FLEXFIT арт. 1500KC (красный) {red}</t>
  </si>
  <si>
    <t>Шапка FLEXFIT арт. 1500KC (белый) {white}</t>
  </si>
  <si>
    <t>Шапка FLEXFIT арт. 1500KC (темно-синий) {navy}</t>
  </si>
  <si>
    <t>Шапка FLEXFIT арт. 1500KC (коричневый) {brown}</t>
  </si>
  <si>
    <t>Шапка FLEXFIT арт. 1500KC (бордовый) {maroon}</t>
  </si>
  <si>
    <t>Шапка FLEXFIT арт. 1500KC (черный) {black}</t>
  </si>
  <si>
    <t>Шапка FLEXFIT арт. 1500KC (синий) {royal}</t>
  </si>
  <si>
    <t>Шапка FLEXFIT арт. 1500KC (темно-серый) {dark grey}</t>
  </si>
  <si>
    <t>Шапка FLEXFIT арт. 1500KC (оливковый) {olive}</t>
  </si>
  <si>
    <t>Шапка FLEXFIT арт. 1500KC (светло-серый) {heather grey}</t>
  </si>
  <si>
    <t>Шапка FLEXFIT арт. 1500KC (золотой) {gold}</t>
  </si>
  <si>
    <t>Бейсболка FLEXFIT арт. 6606 (зеленый) {evergreen}</t>
  </si>
  <si>
    <t>Бейсболка FLEXFIT арт. 6606 (черный) {black}</t>
  </si>
  <si>
    <t>Бейсболка FLEXFIT арт. 6533 (фиолетовый) {purple}</t>
  </si>
  <si>
    <t>56 S/M</t>
  </si>
  <si>
    <t>Бейсболка FLEXFIT арт. 6533 (бордовый) {maroon}</t>
  </si>
  <si>
    <t>60 L/XL</t>
  </si>
  <si>
    <t>Бейсболка FLEXFIT арт. 6533 (темно-серый) {dark grey}</t>
  </si>
  <si>
    <t>Бейсболка FLEXFIT арт. 6511 (коричневый) {brown}</t>
  </si>
  <si>
    <t>Бейсболка FLEXFIT арт. 6320 (красный) {red}</t>
  </si>
  <si>
    <t>Бейсболка FLEXFIT арт. 6320 (синий) {royal}</t>
  </si>
  <si>
    <t>Бейсболка FLEXFIT арт. 6277 (коричневый) {brown}</t>
  </si>
  <si>
    <t>Бейсболка FLEXFIT арт. 6277 (золотой) {gold}</t>
  </si>
  <si>
    <t>Бейсболка FLEXFIT арт. 6089TC (камуфляж / черный) {camo/black}</t>
  </si>
  <si>
    <t>Бейсболка FLEXFIT арт. 6089MT (черный / красный) {black/red}</t>
  </si>
  <si>
    <t>Бейсболка FLEXFIT арт. 6089MT (темно-синий / красный) {navy/red}</t>
  </si>
  <si>
    <t>Бейсболка FLEXFIT арт. 6089MT (синий / оранжевый) {royal/orange}</t>
  </si>
  <si>
    <t>Бейсболка FLEXFIT арт. 6089MT (светло-серый / черный) {heather/black}</t>
  </si>
  <si>
    <t>Бейсболка FLEXFIT арт. 6089MT (черный / серый) {black/silver}</t>
  </si>
  <si>
    <t>Бейсболка FLEXFIT арт. 6089MT (серый / черный) {dark heather/black}</t>
  </si>
  <si>
    <t>Бейсболка FLEXFIT арт. 6089MT (серый / красный) {dark heather/red}</t>
  </si>
  <si>
    <t>Бейсболка FLEXFIT арт. 6089MC (камуфляж) {multicam}</t>
  </si>
  <si>
    <t>Бейсболка FLEXFIT арт. 6089M (светло-синий) {dark navy}</t>
  </si>
  <si>
    <t>Бейсболка FLEXFIT арт. 6089M (красный) {red}</t>
  </si>
  <si>
    <t>Бейсболка FLEXFIT арт. 6089M (белый) {white}</t>
  </si>
  <si>
    <t>Бейсболка FLEXFIT арт. 6089M (темно-синий) {navy}</t>
  </si>
  <si>
    <t>Бейсболка FLEXFIT арт. 6089M (оранжевый) {orange}</t>
  </si>
  <si>
    <t>Бейсболка FLEXFIT арт. 6089M (бордовый) {maroon}</t>
  </si>
  <si>
    <t>Бейсболка FLEXFIT арт. 6089M (зеленый) {spruce}</t>
  </si>
  <si>
    <t>Бейсболка FLEXFIT арт. 6089M (черный) {black}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</si>
  <si>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</si>
  <si>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</si>
  <si>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</si>
  <si>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(светло-серый) {dark heather}</t>
  </si>
  <si>
    <t>Бейсболка FLEXFIT арт. 6089CM (камуфляж) {green camo}</t>
  </si>
  <si>
    <t>Бейсболка FLEXFIT арт. 6007T (черный / красный) {black/red}</t>
  </si>
  <si>
    <t>Бейсболка FLEXFIT арт. 6007T (темно-синий / красный) {navy/red}</t>
  </si>
  <si>
    <t>Бейсболка FLEXFIT арт. 6007T (черный / синий) {black/teal}</t>
  </si>
  <si>
    <t>Бейсболка FLEXFIT арт. 6007T (черный / серый) {black/silver}</t>
  </si>
  <si>
    <t>Бейсболка FLEXFIT арт. 6007T (черный / фиолетовый) {black/purple}</t>
  </si>
  <si>
    <t>Бейсболка FLEXFIT арт. 6007 (красный) {red}</t>
  </si>
  <si>
    <t>Бейсболка FLEXFIT арт. 6007 (белый) {white}</t>
  </si>
  <si>
    <t>Бейсболка FLEXFIT арт. 6007 (темно-синий) {navy}</t>
  </si>
  <si>
    <t>Бейсболка FLEXFIT арт. 6007 (черный) {black}</t>
  </si>
  <si>
    <t>Бейсболка FLEXFIT арт. 6007 (серый) {grey}</t>
  </si>
  <si>
    <t>Бейсболка FLEXFIT арт. 6007 (темно-серый) {dark grey}</t>
  </si>
  <si>
    <t>Бейсболка FLEXFIT арт. 6005FF (красный) {red}</t>
  </si>
  <si>
    <t>Бейсболка FLEXFIT арт. 6005FF (темно-синий) {navy}</t>
  </si>
  <si>
    <t>Бейсболка FLEXFIT арт. 6005FF (черный) {black}</t>
  </si>
  <si>
    <t>Бейсболка FLEXFIT арт. 6005FF (синий) {royal}</t>
  </si>
  <si>
    <t>Бейсболка FLEXFIT арт. 5089M (красный) {red}</t>
  </si>
  <si>
    <t>Бейсболка FLEXFIT арт. 5089M (белый) {white}</t>
  </si>
  <si>
    <t>Бейсболка FLEXFIT арт. 5089M (темно-синий) {navy}</t>
  </si>
  <si>
    <t>Бейсболка FLEXFIT арт. 5089M (синий) {royal}</t>
  </si>
  <si>
    <t>Бейсболка FLEXFIT арт. 5089M (темно-серый) {dark grey}</t>
  </si>
  <si>
    <t>Бейсболка FLEXFIT арт. 110F (темно-серый) {dark grey}</t>
  </si>
  <si>
    <t>Бейсболка FLEXFIT арт. 110F (светло-серый) {heather grey}</t>
  </si>
  <si>
    <t>60% хлопок - 40% полиэстер</t>
  </si>
  <si>
    <t>87% акрил - 11% шерсть - 2% спандекс</t>
  </si>
  <si>
    <t>Flexfit</t>
  </si>
  <si>
    <t>Yupoong Inc; 174, Gurodong-ro, Guro-gu, 08285 Seoul, South Korea</t>
  </si>
  <si>
    <t>red</t>
  </si>
  <si>
    <t>navy</t>
  </si>
  <si>
    <t>black</t>
  </si>
  <si>
    <t>royal</t>
  </si>
  <si>
    <t>dark grey</t>
  </si>
  <si>
    <t>heather grey</t>
  </si>
  <si>
    <t>carolina blue</t>
  </si>
  <si>
    <t>caramel</t>
  </si>
  <si>
    <t>brown</t>
  </si>
  <si>
    <t>blaze orange</t>
  </si>
  <si>
    <t>maroon</t>
  </si>
  <si>
    <t>spruce</t>
  </si>
  <si>
    <t>olive</t>
  </si>
  <si>
    <t>sand</t>
  </si>
  <si>
    <t>gold</t>
  </si>
  <si>
    <t>baby pink</t>
  </si>
  <si>
    <t>white</t>
  </si>
  <si>
    <t>evergreen</t>
  </si>
  <si>
    <t>purple</t>
  </si>
  <si>
    <t>camo/black</t>
  </si>
  <si>
    <t>black/red</t>
  </si>
  <si>
    <t>navy/red</t>
  </si>
  <si>
    <t>royal/orange</t>
  </si>
  <si>
    <t>heather/black</t>
  </si>
  <si>
    <t>black/silver</t>
  </si>
  <si>
    <t>dark heather/black</t>
  </si>
  <si>
    <t>dark heather/red</t>
  </si>
  <si>
    <t>multicam</t>
  </si>
  <si>
    <t>dark navy</t>
  </si>
  <si>
    <t>orange</t>
  </si>
  <si>
    <t>silver</t>
  </si>
  <si>
    <t>dark heather</t>
  </si>
  <si>
    <t>green camo</t>
  </si>
  <si>
    <t>black/teal</t>
  </si>
  <si>
    <t>black/purple</t>
  </si>
  <si>
    <t>grey</t>
  </si>
  <si>
    <t>-</t>
  </si>
  <si>
    <t>6245CM</t>
  </si>
  <si>
    <t>6089CC</t>
  </si>
  <si>
    <t>6245PT</t>
  </si>
  <si>
    <t>110C</t>
  </si>
  <si>
    <t>6789M</t>
  </si>
  <si>
    <t>Heather Grey</t>
  </si>
  <si>
    <t>Light Blue</t>
  </si>
  <si>
    <t>Dark Grey</t>
  </si>
  <si>
    <t>Heather/Royal</t>
  </si>
  <si>
    <t>Khaki</t>
  </si>
  <si>
    <t>Maroon</t>
  </si>
  <si>
    <t>Loden</t>
  </si>
  <si>
    <t>Royal</t>
  </si>
  <si>
    <t>Cranberry</t>
  </si>
  <si>
    <t>Heather/Red</t>
  </si>
  <si>
    <t>Heather/Purple</t>
  </si>
  <si>
    <t>Navy/Red</t>
  </si>
  <si>
    <t>Dark Heather/Red</t>
  </si>
  <si>
    <t>LT. Steel Grey</t>
  </si>
  <si>
    <t>Spruce</t>
  </si>
  <si>
    <t>серый / фиолетовый</t>
  </si>
  <si>
    <t>темно-серый / красный</t>
  </si>
  <si>
    <t>94-019-</t>
  </si>
  <si>
    <t>94-020-</t>
  </si>
  <si>
    <t>94-021-</t>
  </si>
  <si>
    <t>94-022-</t>
  </si>
  <si>
    <t>94-023-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</si>
</sst>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34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G1" zoomScale="65" zoomScaleNormal="65" workbookViewId="0">
      <pane ySplit="1" topLeftCell="A3" activePane="bottomLeft" state="frozen"/>
      <selection pane="bottomLeft" activeCell="V30" sqref="V3:V3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88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FLEXFIT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88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88" ca="1" si="2">IF(AU2&lt;&gt;"",VLOOKUP(AU2,INDIRECT(SUBSTITUTE($J2," ","")&amp;"Manufactures"),3,0),"Требуется код страны")</f>
        <v>Требуется код страны</v>
      </c>
      <c r="AW2" s="56" t="str">
        <f t="shared" ref="AW2:AW88" ca="1" si="3">IF(AU2&lt;&gt;"",VLOOKUP(AU2,INDIRECT(SUBSTITUTE($J2," ","")&amp;"Manufactures"),2,0),"Требуется код страны")</f>
        <v>Требуется код страны</v>
      </c>
      <c r="AX2" s="141">
        <f t="shared" ref="AX2:AX88" si="4">0.05+0.05</f>
        <v>0.1</v>
      </c>
      <c r="AY2" s="56">
        <f t="shared" ref="AY2:AY88" si="5">IF(AX2&lt;&gt;"",AX2*1.5,"Требуется нетто")</f>
        <v>0.15000000000000002</v>
      </c>
      <c r="AZ2" s="56" t="str">
        <f t="shared" ref="AZ2:AZ88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88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88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88" si="9">IFERROR(IF(BE2,"-",IFERROR(IF(BD2&gt;0,0,1),"")),"")</f>
        <v/>
      </c>
      <c r="BG2" s="88"/>
    </row>
    <row r="3" spans="1:59" ht="98.1" customHeight="1">
      <c r="A3" s="43" t="str">
        <f t="shared" si="0"/>
        <v>6089MHeather Grey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94-007-80</v>
      </c>
      <c r="C3" s="146" t="s">
        <v>859</v>
      </c>
      <c r="E3" s="43" t="str">
        <f>IF(F3&lt;&gt;"",IFERROR(VLOOKUP(F3,Категории!A:B,2,0),""),"Требуется категория")</f>
        <v>Бейсболки</v>
      </c>
      <c r="F3" s="43" t="str">
        <f>IF(A3&lt;&gt;"",IF(BD3&gt;0,_xlfn.XLOOKUP(A3,'1C'!A:A,'1C'!J:J,"",0),_xlfn.XLOOKUP(C3,'1C'!W:W,'1C'!J:J,"",0)),"")</f>
        <v>Бейсболка с прямым козырьком</v>
      </c>
      <c r="G3" s="56" t="str">
        <f>IF(C3&lt;&gt;"",IF(BD3&gt;0,_xlfn.XLOOKUP(A3,'1C'!A:A,'1C'!L:L,"",0),_xlfn.XLOOKUP(C3,'1C'!W:W,'1C'!L:L,"",0)),"")</f>
        <v>Flexfit</v>
      </c>
      <c r="H3" s="43" t="str">
        <f>IF(A3&lt;&gt;"",_xlfn.XLOOKUP(A3,'1C'!A:A,'1C'!M:M,_xlfn.XLOOKUP(C3,'1C'!W:W,'1C'!M:M,"",0),0))</f>
        <v>всесезон</v>
      </c>
      <c r="I3" s="134"/>
      <c r="J3" s="57" t="str">
        <f>'1C'!$AJ$1</f>
        <v>FLEXFIT</v>
      </c>
      <c r="K3" s="99" t="s">
        <v>1120</v>
      </c>
      <c r="L3" s="171" t="s">
        <v>83</v>
      </c>
      <c r="M3" s="62"/>
      <c r="N3" s="62"/>
      <c r="O3" s="62"/>
      <c r="P3" s="62"/>
      <c r="Q3" s="152" t="str">
        <f>IF(A3&lt;&gt;"",_xlfn.XLOOKUP(A3,'1C'!A:A,'1C'!I:I,_xlfn.XLOOKUP(C3,'1C'!W:W,'1C'!I:I,"",0),0),"")</f>
        <v>80% акрил - 20% шерсть</v>
      </c>
      <c r="R3" s="64"/>
      <c r="S3" s="56" t="str">
        <f>_xlfn.LET(_xlpm.RES,IF(A3&lt;&gt;"",_xlfn.XLOOKUP(A3,'1C'!A:A,'1C'!N:N,_xlfn.XLOOKUP(C3,'1C'!W:W,'1C'!N:N,"",0),0),""),IF(_xlpm.RES=0,"",_xlpm.RES))</f>
        <v>акриловые</v>
      </c>
      <c r="T3" s="58"/>
      <c r="U3" s="59" t="str">
        <f>IF(A3&lt;&gt;"",_xlfn.XLOOKUP(A3,'1C'!A:A,'1C'!K:K,_xlfn.XLOOKUP(C3,'1C'!W:W,'1C'!K:K,"",0),0),"")</f>
        <v>Унисекс</v>
      </c>
      <c r="V3" s="58">
        <v>12</v>
      </c>
      <c r="Y3" s="58"/>
      <c r="AA3" s="58"/>
      <c r="AC3" s="58"/>
      <c r="AE3" s="58"/>
      <c r="AG3" s="58"/>
      <c r="AT3" s="57">
        <f t="shared" si="1"/>
        <v>12</v>
      </c>
      <c r="AU3" s="153" t="str">
        <f>IF(A3&lt;&gt;"",_xlfn.XLOOKUP(_xlfn.XLOOKUP(A3,'1C'!A:A,'1C'!O:O,_xlfn.XLOOKUP(C3,'1C'!W:W,'1C'!O:O,"",0),0),Settings!N:N,Settings!O:O,"",0),"")</f>
        <v>BD</v>
      </c>
      <c r="AV3" s="56" t="str">
        <f t="shared" ca="1" si="2"/>
        <v>YupoongInc; 174, Gurodong-ro, Guro-gu, 08285 Seoul, South Korea</v>
      </c>
      <c r="AW3" s="43" t="str">
        <f t="shared" ca="1" si="3"/>
        <v>Бангладеш</v>
      </c>
      <c r="AX3" s="74">
        <f t="shared" si="4"/>
        <v>0.1</v>
      </c>
      <c r="AY3" s="43">
        <f t="shared" si="5"/>
        <v>0.15000000000000002</v>
      </c>
      <c r="AZ3" s="43">
        <f t="shared" si="6"/>
        <v>1.2000000000000002</v>
      </c>
      <c r="BA3" s="43">
        <f t="shared" si="7"/>
        <v>1.8000000000000003</v>
      </c>
      <c r="BB3" s="139">
        <v>517</v>
      </c>
      <c r="BC3" s="149">
        <f t="shared" si="8"/>
        <v>6204</v>
      </c>
      <c r="BD3" s="45">
        <f>IF(A3&lt;&gt;"",IF(_xlfn.XLOOKUP(A3,'1C'!A:A,'1C'!A:A,0,0)&gt;0,1,0),"")</f>
        <v>0</v>
      </c>
      <c r="BE3" s="145">
        <f>IF(C3&lt;&gt;"",IF(_xlfn.XLOOKUP(TEXT(C3,"###"),'1C'!W:W,'1C'!D:D,0,0)&gt;0,0,1),"")</f>
        <v>0</v>
      </c>
      <c r="BF3" s="72">
        <f t="shared" si="9"/>
        <v>1</v>
      </c>
    </row>
    <row r="4" spans="1:59" ht="98.1" customHeight="1">
      <c r="A4" s="43" t="str">
        <f t="shared" si="0"/>
        <v>6245CMBlack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94-019-09</v>
      </c>
      <c r="C4" s="146" t="s">
        <v>1115</v>
      </c>
      <c r="E4" s="43" t="str">
        <f>IF(F4&lt;&gt;"",IFERROR(VLOOKUP(F4,Категории!A:B,2,0),""),"Требуется категория")</f>
        <v>Бейсболки</v>
      </c>
      <c r="F4" s="44" t="s">
        <v>327</v>
      </c>
      <c r="G4" s="62" t="s">
        <v>1076</v>
      </c>
      <c r="H4" s="44" t="s">
        <v>388</v>
      </c>
      <c r="J4" s="57" t="str">
        <f>'1C'!$AJ$1</f>
        <v>FLEXFIT</v>
      </c>
      <c r="K4" s="98" t="s">
        <v>52</v>
      </c>
      <c r="L4" s="148" t="str">
        <f>IF(K4&lt;&gt;"",IFERROR(VLOOKUP(A4,'1C'!A:X,8,0),IFERROR(VLOOKUP(K4,Colors!D:E,2,0),"")),"")</f>
        <v>черный</v>
      </c>
      <c r="M4" s="62"/>
      <c r="N4" s="62"/>
      <c r="O4" s="62"/>
      <c r="P4" s="62"/>
      <c r="Q4" s="132" t="s">
        <v>875</v>
      </c>
      <c r="R4" s="64"/>
      <c r="S4" s="62" t="s">
        <v>43</v>
      </c>
      <c r="T4" s="58"/>
      <c r="U4" s="58" t="s">
        <v>382</v>
      </c>
      <c r="V4" s="58">
        <v>40</v>
      </c>
      <c r="Y4" s="58"/>
      <c r="AA4" s="58"/>
      <c r="AC4" s="58"/>
      <c r="AE4" s="58"/>
      <c r="AG4" s="58"/>
      <c r="AT4" s="57">
        <f t="shared" si="1"/>
        <v>40</v>
      </c>
      <c r="AU4" s="65" t="s">
        <v>571</v>
      </c>
      <c r="AV4" s="56" t="str">
        <f t="shared" ref="AV4:AV30" ca="1" si="10">IF(AU4&lt;&gt;"",VLOOKUP(AU4,INDIRECT(SUBSTITUTE($J4," ","")&amp;"Manufactures"),3,0),"Требуется код страны")</f>
        <v>YupoongInc; 174, Gurodong-ro, Guro-gu, 08285 Seoul, South Korea</v>
      </c>
      <c r="AW4" s="43" t="str">
        <f t="shared" ref="AW4:AW30" ca="1" si="11">IF(AU4&lt;&gt;"",VLOOKUP(AU4,INDIRECT(SUBSTITUTE($J4," ","")&amp;"Manufactures"),2,0),"Требуется код страны")</f>
        <v>Бангладеш</v>
      </c>
      <c r="AX4" s="74">
        <f t="shared" si="4"/>
        <v>0.1</v>
      </c>
      <c r="AY4" s="43">
        <f t="shared" si="5"/>
        <v>0.15000000000000002</v>
      </c>
      <c r="AZ4" s="43">
        <f t="shared" si="6"/>
        <v>4</v>
      </c>
      <c r="BA4" s="43">
        <f t="shared" si="7"/>
        <v>6.0000000000000009</v>
      </c>
      <c r="BB4" s="139">
        <v>517</v>
      </c>
      <c r="BC4" s="149">
        <f t="shared" si="8"/>
        <v>20680</v>
      </c>
      <c r="BD4" s="45">
        <f>IF(A4&lt;&gt;"",IF(_xlfn.XLOOKUP(A4,'1C'!A:A,'1C'!A:A,0,0)&gt;0,1,0),"")</f>
        <v>0</v>
      </c>
      <c r="BE4" s="145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6245CMPink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94-019-34</v>
      </c>
      <c r="C5" s="146" t="s">
        <v>1115</v>
      </c>
      <c r="E5" s="43" t="str">
        <f>IF(F5&lt;&gt;"",IFERROR(VLOOKUP(F5,Категории!A:B,2,0),""),"Требуется категория")</f>
        <v>Бейсболки</v>
      </c>
      <c r="F5" s="44" t="s">
        <v>327</v>
      </c>
      <c r="G5" s="62" t="s">
        <v>1076</v>
      </c>
      <c r="H5" s="44" t="s">
        <v>388</v>
      </c>
      <c r="J5" s="57" t="str">
        <f>'1C'!$AJ$1</f>
        <v>FLEXFIT</v>
      </c>
      <c r="K5" s="98" t="s">
        <v>67</v>
      </c>
      <c r="L5" s="148" t="str">
        <f>IF(K5&lt;&gt;"",IFERROR(VLOOKUP(A5,'1C'!A:X,8,0),IFERROR(VLOOKUP(K5,Colors!D:E,2,0),"")),"")</f>
        <v>розовый</v>
      </c>
      <c r="M5" s="62"/>
      <c r="N5" s="62"/>
      <c r="O5" s="62"/>
      <c r="P5" s="62"/>
      <c r="Q5" s="132" t="s">
        <v>875</v>
      </c>
      <c r="R5" s="64"/>
      <c r="S5" s="62" t="s">
        <v>43</v>
      </c>
      <c r="T5" s="58"/>
      <c r="U5" s="58" t="s">
        <v>382</v>
      </c>
      <c r="V5" s="58">
        <v>4</v>
      </c>
      <c r="Y5" s="58"/>
      <c r="AA5" s="58"/>
      <c r="AC5" s="58"/>
      <c r="AE5" s="58"/>
      <c r="AG5" s="58"/>
      <c r="AT5" s="57">
        <f t="shared" si="1"/>
        <v>4</v>
      </c>
      <c r="AU5" s="65" t="s">
        <v>571</v>
      </c>
      <c r="AV5" s="56" t="str">
        <f t="shared" ca="1" si="10"/>
        <v>YupoongInc; 174, Gurodong-ro, Guro-gu, 08285 Seoul, South Korea</v>
      </c>
      <c r="AW5" s="43" t="str">
        <f t="shared" ca="1" si="11"/>
        <v>Бангладеш</v>
      </c>
      <c r="AX5" s="74">
        <f t="shared" si="4"/>
        <v>0.1</v>
      </c>
      <c r="AY5" s="43">
        <f t="shared" si="5"/>
        <v>0.15000000000000002</v>
      </c>
      <c r="AZ5" s="43">
        <f t="shared" si="6"/>
        <v>0.4</v>
      </c>
      <c r="BA5" s="43">
        <f t="shared" si="7"/>
        <v>0.60000000000000009</v>
      </c>
      <c r="BB5" s="139">
        <v>517</v>
      </c>
      <c r="BC5" s="149">
        <f t="shared" si="8"/>
        <v>2068</v>
      </c>
      <c r="BD5" s="45">
        <f>IF(A5&lt;&gt;"",IF(_xlfn.XLOOKUP(A5,'1C'!A:A,'1C'!A:A,0,0)&gt;0,1,0),"")</f>
        <v>0</v>
      </c>
      <c r="BE5" s="145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6245CMLight Blue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94-019-19</v>
      </c>
      <c r="C6" s="147" t="s">
        <v>1115</v>
      </c>
      <c r="E6" s="43" t="str">
        <f>IF(F6&lt;&gt;"",IFERROR(VLOOKUP(F6,Категории!A:B,2,0),""),"Требуется категория")</f>
        <v>Бейсболки</v>
      </c>
      <c r="F6" s="44" t="s">
        <v>327</v>
      </c>
      <c r="G6" s="62" t="s">
        <v>1076</v>
      </c>
      <c r="H6" s="44" t="s">
        <v>388</v>
      </c>
      <c r="J6" s="57" t="str">
        <f>'1C'!$AJ$1</f>
        <v>FLEXFIT</v>
      </c>
      <c r="K6" s="100" t="s">
        <v>1121</v>
      </c>
      <c r="L6" s="100" t="s">
        <v>233</v>
      </c>
      <c r="M6" s="62"/>
      <c r="N6" s="62"/>
      <c r="O6" s="62"/>
      <c r="P6" s="62"/>
      <c r="Q6" s="132" t="s">
        <v>875</v>
      </c>
      <c r="R6" s="64"/>
      <c r="S6" s="62" t="s">
        <v>43</v>
      </c>
      <c r="T6" s="58"/>
      <c r="U6" s="58" t="s">
        <v>382</v>
      </c>
      <c r="V6" s="58">
        <v>2</v>
      </c>
      <c r="Y6" s="58"/>
      <c r="AA6" s="58"/>
      <c r="AC6" s="58"/>
      <c r="AE6" s="58"/>
      <c r="AG6" s="58"/>
      <c r="AT6" s="57">
        <f t="shared" si="1"/>
        <v>2</v>
      </c>
      <c r="AU6" s="65" t="s">
        <v>571</v>
      </c>
      <c r="AV6" s="56" t="str">
        <f t="shared" ca="1" si="10"/>
        <v>YupoongInc; 174, Gurodong-ro, Guro-gu, 08285 Seoul, South Korea</v>
      </c>
      <c r="AW6" s="43" t="str">
        <f t="shared" ca="1" si="11"/>
        <v>Бангладеш</v>
      </c>
      <c r="AX6" s="74">
        <f t="shared" si="4"/>
        <v>0.1</v>
      </c>
      <c r="AY6" s="43">
        <f t="shared" si="5"/>
        <v>0.15000000000000002</v>
      </c>
      <c r="AZ6" s="43">
        <f t="shared" si="6"/>
        <v>0.2</v>
      </c>
      <c r="BA6" s="43">
        <f t="shared" si="7"/>
        <v>0.30000000000000004</v>
      </c>
      <c r="BB6" s="139">
        <v>517</v>
      </c>
      <c r="BC6" s="149">
        <f t="shared" si="8"/>
        <v>1034</v>
      </c>
      <c r="BD6" s="45">
        <f>IF(A6&lt;&gt;"",IF(_xlfn.XLOOKUP(A6,'1C'!A:A,'1C'!A:A,0,0)&gt;0,1,0),"")</f>
        <v>0</v>
      </c>
      <c r="BE6" s="145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6089CCDark Grey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94-020-05</v>
      </c>
      <c r="C7" s="147" t="s">
        <v>1116</v>
      </c>
      <c r="E7" s="43" t="str">
        <f>IF(F7&lt;&gt;"",IFERROR(VLOOKUP(F7,Категории!A:B,2,0),""),"Требуется категория")</f>
        <v>Бейсболки</v>
      </c>
      <c r="F7" s="44" t="s">
        <v>327</v>
      </c>
      <c r="G7" s="62" t="s">
        <v>1076</v>
      </c>
      <c r="H7" s="44" t="s">
        <v>388</v>
      </c>
      <c r="J7" s="57" t="str">
        <f>'1C'!$AJ$1</f>
        <v>FLEXFIT</v>
      </c>
      <c r="K7" s="100" t="s">
        <v>1122</v>
      </c>
      <c r="L7" s="100" t="s">
        <v>277</v>
      </c>
      <c r="M7" s="62"/>
      <c r="N7" s="62"/>
      <c r="O7" s="62"/>
      <c r="P7" s="62"/>
      <c r="Q7" s="132" t="s">
        <v>875</v>
      </c>
      <c r="R7" s="64"/>
      <c r="S7" s="62" t="s">
        <v>43</v>
      </c>
      <c r="T7" s="58"/>
      <c r="U7" s="58" t="s">
        <v>382</v>
      </c>
      <c r="V7" s="58">
        <v>14</v>
      </c>
      <c r="Y7" s="58"/>
      <c r="AA7" s="58"/>
      <c r="AC7" s="58"/>
      <c r="AE7" s="58"/>
      <c r="AG7" s="58"/>
      <c r="AT7" s="57">
        <f t="shared" si="1"/>
        <v>14</v>
      </c>
      <c r="AU7" s="65" t="s">
        <v>571</v>
      </c>
      <c r="AV7" s="56" t="str">
        <f t="shared" ca="1" si="10"/>
        <v>YupoongInc; 174, Gurodong-ro, Guro-gu, 08285 Seoul, South Korea</v>
      </c>
      <c r="AW7" s="43" t="str">
        <f t="shared" ca="1" si="11"/>
        <v>Бангладеш</v>
      </c>
      <c r="AX7" s="74">
        <f t="shared" si="4"/>
        <v>0.1</v>
      </c>
      <c r="AY7" s="43">
        <f t="shared" si="5"/>
        <v>0.15000000000000002</v>
      </c>
      <c r="AZ7" s="43">
        <f t="shared" si="6"/>
        <v>1.4000000000000001</v>
      </c>
      <c r="BA7" s="43">
        <f t="shared" si="7"/>
        <v>2.1000000000000005</v>
      </c>
      <c r="BB7" s="139">
        <v>517</v>
      </c>
      <c r="BC7" s="149">
        <f t="shared" si="8"/>
        <v>7238</v>
      </c>
      <c r="BD7" s="45">
        <f>IF(A7&lt;&gt;"",IF(_xlfn.XLOOKUP(A7,'1C'!A:A,'1C'!A:A,0,0)&gt;0,1,0),"")</f>
        <v>0</v>
      </c>
      <c r="BE7" s="145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6089MTHeather/Royal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94-009-26</v>
      </c>
      <c r="C8" s="147" t="s">
        <v>861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прямым козырьком</v>
      </c>
      <c r="G8" s="56" t="str">
        <f>IF(C8&lt;&gt;"",IF(BD8&gt;0,_xlfn.XLOOKUP(A8,'1C'!A:A,'1C'!L:L,"",0),_xlfn.XLOOKUP(C8,'1C'!W:W,'1C'!L:L,"",0)),"")</f>
        <v>Flexfit</v>
      </c>
      <c r="H8" s="43" t="str">
        <f>IF(A8&lt;&gt;"",_xlfn.XLOOKUP(A8,'1C'!A:A,'1C'!M:M,_xlfn.XLOOKUP(C8,'1C'!W:W,'1C'!M:M,"",0),0))</f>
        <v>всесезон</v>
      </c>
      <c r="J8" s="57" t="str">
        <f>'1C'!$AJ$1</f>
        <v>FLEXFIT</v>
      </c>
      <c r="K8" s="100" t="s">
        <v>1123</v>
      </c>
      <c r="L8" s="100" t="s">
        <v>245</v>
      </c>
      <c r="M8" s="62"/>
      <c r="N8" s="62"/>
      <c r="O8" s="62"/>
      <c r="P8" s="62"/>
      <c r="Q8" s="152" t="str">
        <f>IF(A8&lt;&gt;"",_xlfn.XLOOKUP(A8,'1C'!A:A,'1C'!I:I,_xlfn.XLOOKUP(C8,'1C'!W:W,'1C'!I:I,"",0),0),"")</f>
        <v>80% акрил - 20% шерсть</v>
      </c>
      <c r="R8" s="64"/>
      <c r="S8" s="56" t="str">
        <f>_xlfn.LET(_xlpm.RES,IF(A8&lt;&gt;"",_xlfn.XLOOKUP(A8,'1C'!A:A,'1C'!N:N,_xlfn.XLOOKUP(C8,'1C'!W:W,'1C'!N:N,"",0),0),""),IF(_xlpm.RES=0,"",_xlpm.RES))</f>
        <v>акриловые</v>
      </c>
      <c r="T8" s="58"/>
      <c r="U8" s="59" t="str">
        <f>IF(A8&lt;&gt;"",_xlfn.XLOOKUP(A8,'1C'!A:A,'1C'!K:K,_xlfn.XLOOKUP(C8,'1C'!W:W,'1C'!K:K,"",0),0),"")</f>
        <v>Унисекс</v>
      </c>
      <c r="V8" s="58">
        <v>8</v>
      </c>
      <c r="Y8" s="58"/>
      <c r="AA8" s="58"/>
      <c r="AC8" s="58"/>
      <c r="AE8" s="58"/>
      <c r="AG8" s="58"/>
      <c r="AT8" s="57">
        <f t="shared" si="1"/>
        <v>8</v>
      </c>
      <c r="AU8" s="153" t="str">
        <f>IF(A8&lt;&gt;"",_xlfn.XLOOKUP(_xlfn.XLOOKUP(A8,'1C'!A:A,'1C'!O:O,_xlfn.XLOOKUP(C8,'1C'!W:W,'1C'!O:O,"",0),0),Settings!N:N,Settings!O:O,"",0),"")</f>
        <v>BD</v>
      </c>
      <c r="AV8" s="56" t="str">
        <f t="shared" ca="1" si="10"/>
        <v>YupoongInc; 174, Gurodong-ro, Guro-gu, 08285 Seoul, South Korea</v>
      </c>
      <c r="AW8" s="43" t="str">
        <f t="shared" ca="1" si="11"/>
        <v>Бангладеш</v>
      </c>
      <c r="AX8" s="74">
        <f t="shared" si="4"/>
        <v>0.1</v>
      </c>
      <c r="AY8" s="43">
        <f t="shared" si="5"/>
        <v>0.15000000000000002</v>
      </c>
      <c r="AZ8" s="43">
        <f t="shared" si="6"/>
        <v>0.8</v>
      </c>
      <c r="BA8" s="43">
        <f t="shared" si="7"/>
        <v>1.2000000000000002</v>
      </c>
      <c r="BB8" s="139">
        <v>517</v>
      </c>
      <c r="BC8" s="149">
        <f t="shared" si="8"/>
        <v>4136</v>
      </c>
      <c r="BD8" s="45">
        <f>IF(A8&lt;&gt;"",IF(_xlfn.XLOOKUP(A8,'1C'!A:A,'1C'!A:A,0,0)&gt;0,1,0),"")</f>
        <v>0</v>
      </c>
      <c r="BE8" s="145">
        <f>IF(C8&lt;&gt;"",IF(_xlfn.XLOOKUP(TEXT(C8,"###"),'1C'!W:W,'1C'!D:D,0,0)&gt;0,0,1),"")</f>
        <v>0</v>
      </c>
      <c r="BF8" s="72">
        <f t="shared" si="9"/>
        <v>1</v>
      </c>
    </row>
    <row r="9" spans="1:59" ht="98.1" customHeight="1">
      <c r="A9" s="43" t="str">
        <f t="shared" si="0"/>
        <v>6245CMKhaki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94-019-07</v>
      </c>
      <c r="C9" s="147" t="s">
        <v>1115</v>
      </c>
      <c r="E9" s="43" t="str">
        <f>IF(F9&lt;&gt;"",IFERROR(VLOOKUP(F9,Категории!A:B,2,0),""),"Требуется категория")</f>
        <v>Бейсболки</v>
      </c>
      <c r="F9" s="44" t="s">
        <v>327</v>
      </c>
      <c r="G9" s="62" t="s">
        <v>1076</v>
      </c>
      <c r="H9" s="44" t="s">
        <v>388</v>
      </c>
      <c r="J9" s="57" t="str">
        <f>'1C'!$AJ$1</f>
        <v>FLEXFIT</v>
      </c>
      <c r="K9" s="100" t="s">
        <v>1124</v>
      </c>
      <c r="L9" s="100" t="s">
        <v>269</v>
      </c>
      <c r="M9" s="62"/>
      <c r="N9" s="62"/>
      <c r="O9" s="62"/>
      <c r="P9" s="62"/>
      <c r="Q9" s="132" t="s">
        <v>875</v>
      </c>
      <c r="R9" s="64"/>
      <c r="S9" s="62" t="s">
        <v>43</v>
      </c>
      <c r="T9" s="58"/>
      <c r="U9" s="58" t="s">
        <v>382</v>
      </c>
      <c r="V9" s="58">
        <v>6</v>
      </c>
      <c r="Y9" s="58"/>
      <c r="AA9" s="58"/>
      <c r="AC9" s="58"/>
      <c r="AE9" s="58"/>
      <c r="AG9" s="58"/>
      <c r="AT9" s="57">
        <f t="shared" si="1"/>
        <v>6</v>
      </c>
      <c r="AU9" s="65" t="s">
        <v>571</v>
      </c>
      <c r="AV9" s="56" t="str">
        <f t="shared" ca="1" si="10"/>
        <v>YupoongInc; 174, Gurodong-ro, Guro-gu, 08285 Seoul, South Korea</v>
      </c>
      <c r="AW9" s="43" t="str">
        <f t="shared" ca="1" si="11"/>
        <v>Бангладеш</v>
      </c>
      <c r="AX9" s="74">
        <f t="shared" si="4"/>
        <v>0.1</v>
      </c>
      <c r="AY9" s="43">
        <f t="shared" si="5"/>
        <v>0.15000000000000002</v>
      </c>
      <c r="AZ9" s="43">
        <f t="shared" si="6"/>
        <v>0.60000000000000009</v>
      </c>
      <c r="BA9" s="43">
        <f t="shared" si="7"/>
        <v>0.90000000000000013</v>
      </c>
      <c r="BB9" s="139">
        <v>517</v>
      </c>
      <c r="BC9" s="149">
        <f t="shared" si="8"/>
        <v>3102</v>
      </c>
      <c r="BD9" s="45">
        <f>IF(A9&lt;&gt;"",IF(_xlfn.XLOOKUP(A9,'1C'!A:A,'1C'!A:A,0,0)&gt;0,1,0),"")</f>
        <v>0</v>
      </c>
      <c r="BE9" s="145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6245PTMaroon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94-021-12</v>
      </c>
      <c r="C10" s="147" t="s">
        <v>1117</v>
      </c>
      <c r="E10" s="43" t="str">
        <f>IF(F10&lt;&gt;"",IFERROR(VLOOKUP(F10,Категории!A:B,2,0),""),"Требуется категория")</f>
        <v>Бейсболки</v>
      </c>
      <c r="F10" s="44" t="s">
        <v>327</v>
      </c>
      <c r="G10" s="62" t="s">
        <v>1076</v>
      </c>
      <c r="H10" s="44" t="s">
        <v>388</v>
      </c>
      <c r="J10" s="57" t="str">
        <f>'1C'!$AJ$1</f>
        <v>FLEXFIT</v>
      </c>
      <c r="K10" s="100" t="s">
        <v>1125</v>
      </c>
      <c r="L10" s="100" t="s">
        <v>121</v>
      </c>
      <c r="M10" s="62"/>
      <c r="N10" s="62"/>
      <c r="O10" s="62"/>
      <c r="P10" s="62"/>
      <c r="Q10" s="132" t="s">
        <v>875</v>
      </c>
      <c r="R10" s="64"/>
      <c r="S10" s="62" t="s">
        <v>43</v>
      </c>
      <c r="T10" s="58"/>
      <c r="U10" s="58" t="s">
        <v>382</v>
      </c>
      <c r="V10" s="58">
        <v>8</v>
      </c>
      <c r="Y10" s="58"/>
      <c r="AA10" s="58"/>
      <c r="AC10" s="58"/>
      <c r="AE10" s="58"/>
      <c r="AG10" s="58"/>
      <c r="AT10" s="57">
        <f t="shared" si="1"/>
        <v>8</v>
      </c>
      <c r="AU10" s="65" t="s">
        <v>571</v>
      </c>
      <c r="AV10" s="56" t="str">
        <f t="shared" ca="1" si="10"/>
        <v>YupoongInc; 174, Gurodong-ro, Guro-gu, 08285 Seoul, South Korea</v>
      </c>
      <c r="AW10" s="43" t="str">
        <f t="shared" ca="1" si="11"/>
        <v>Бангладеш</v>
      </c>
      <c r="AX10" s="74">
        <f t="shared" si="4"/>
        <v>0.1</v>
      </c>
      <c r="AY10" s="43">
        <f t="shared" si="5"/>
        <v>0.15000000000000002</v>
      </c>
      <c r="AZ10" s="43">
        <f t="shared" si="6"/>
        <v>0.8</v>
      </c>
      <c r="BA10" s="43">
        <f t="shared" si="7"/>
        <v>1.2000000000000002</v>
      </c>
      <c r="BB10" s="139">
        <v>517</v>
      </c>
      <c r="BC10" s="149">
        <f t="shared" si="8"/>
        <v>4136</v>
      </c>
      <c r="BD10" s="45">
        <f>IF(A10&lt;&gt;"",IF(_xlfn.XLOOKUP(A10,'1C'!A:A,'1C'!A:A,0,0)&gt;0,1,0),"")</f>
        <v>0</v>
      </c>
      <c r="BE10" s="145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6245PTLoden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94-021-02</v>
      </c>
      <c r="C11" s="147" t="s">
        <v>1117</v>
      </c>
      <c r="E11" s="43" t="str">
        <f>IF(F11&lt;&gt;"",IFERROR(VLOOKUP(F11,Категории!A:B,2,0),""),"Требуется категория")</f>
        <v>Бейсболки</v>
      </c>
      <c r="F11" s="44" t="s">
        <v>327</v>
      </c>
      <c r="G11" s="62" t="s">
        <v>1076</v>
      </c>
      <c r="H11" s="44" t="s">
        <v>388</v>
      </c>
      <c r="J11" s="57" t="str">
        <f>'1C'!$AJ$1</f>
        <v>FLEXFIT</v>
      </c>
      <c r="K11" s="100" t="s">
        <v>1126</v>
      </c>
      <c r="L11" s="100" t="s">
        <v>63</v>
      </c>
      <c r="M11" s="62"/>
      <c r="N11" s="62"/>
      <c r="O11" s="62"/>
      <c r="P11" s="62"/>
      <c r="Q11" s="132" t="s">
        <v>875</v>
      </c>
      <c r="R11" s="64"/>
      <c r="S11" s="62" t="s">
        <v>43</v>
      </c>
      <c r="T11" s="58"/>
      <c r="U11" s="58" t="s">
        <v>382</v>
      </c>
      <c r="V11" s="58">
        <v>6</v>
      </c>
      <c r="Y11" s="58"/>
      <c r="AA11" s="58"/>
      <c r="AC11" s="58"/>
      <c r="AE11" s="58"/>
      <c r="AG11" s="58"/>
      <c r="AT11" s="57">
        <f t="shared" si="1"/>
        <v>6</v>
      </c>
      <c r="AU11" s="65" t="s">
        <v>571</v>
      </c>
      <c r="AV11" s="56" t="str">
        <f t="shared" ca="1" si="10"/>
        <v>YupoongInc; 174, Gurodong-ro, Guro-gu, 08285 Seoul, South Korea</v>
      </c>
      <c r="AW11" s="43" t="str">
        <f t="shared" ca="1" si="11"/>
        <v>Бангладеш</v>
      </c>
      <c r="AX11" s="74">
        <f t="shared" si="4"/>
        <v>0.1</v>
      </c>
      <c r="AY11" s="43">
        <f t="shared" si="5"/>
        <v>0.15000000000000002</v>
      </c>
      <c r="AZ11" s="43">
        <f t="shared" si="6"/>
        <v>0.60000000000000009</v>
      </c>
      <c r="BA11" s="43">
        <f t="shared" si="7"/>
        <v>0.90000000000000013</v>
      </c>
      <c r="BB11" s="139">
        <v>517</v>
      </c>
      <c r="BC11" s="149">
        <f t="shared" si="8"/>
        <v>3102</v>
      </c>
      <c r="BD11" s="45">
        <f>IF(A11&lt;&gt;"",IF(_xlfn.XLOOKUP(A11,'1C'!A:A,'1C'!A:A,0,0)&gt;0,1,0),"")</f>
        <v>0</v>
      </c>
      <c r="BE11" s="145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110CRoyal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94-022-06</v>
      </c>
      <c r="C12" s="147" t="s">
        <v>1118</v>
      </c>
      <c r="E12" s="43" t="str">
        <f>IF(F12&lt;&gt;"",IFERROR(VLOOKUP(F12,Категории!A:B,2,0),""),"Требуется категория")</f>
        <v>Бейсболки</v>
      </c>
      <c r="F12" s="44" t="s">
        <v>327</v>
      </c>
      <c r="G12" s="62" t="s">
        <v>1076</v>
      </c>
      <c r="H12" s="44" t="s">
        <v>388</v>
      </c>
      <c r="J12" s="57" t="str">
        <f>'1C'!$AJ$1</f>
        <v>FLEXFIT</v>
      </c>
      <c r="K12" s="100" t="s">
        <v>1127</v>
      </c>
      <c r="L12" s="100" t="s">
        <v>71</v>
      </c>
      <c r="M12" s="62"/>
      <c r="N12" s="62"/>
      <c r="O12" s="62"/>
      <c r="P12" s="62"/>
      <c r="Q12" s="132" t="s">
        <v>879</v>
      </c>
      <c r="R12" s="64"/>
      <c r="S12" s="62"/>
      <c r="T12" s="58"/>
      <c r="U12" s="58" t="s">
        <v>382</v>
      </c>
      <c r="V12" s="58">
        <v>5</v>
      </c>
      <c r="Y12" s="58"/>
      <c r="AA12" s="58"/>
      <c r="AC12" s="58"/>
      <c r="AE12" s="58"/>
      <c r="AG12" s="58"/>
      <c r="AT12" s="57">
        <f t="shared" si="1"/>
        <v>5</v>
      </c>
      <c r="AU12" s="65" t="s">
        <v>571</v>
      </c>
      <c r="AV12" s="56" t="str">
        <f t="shared" ca="1" si="10"/>
        <v>YupoongInc; 174, Gurodong-ro, Guro-gu, 08285 Seoul, South Korea</v>
      </c>
      <c r="AW12" s="43" t="str">
        <f t="shared" ca="1" si="11"/>
        <v>Бангладеш</v>
      </c>
      <c r="AX12" s="74">
        <f t="shared" si="4"/>
        <v>0.1</v>
      </c>
      <c r="AY12" s="43">
        <f t="shared" si="5"/>
        <v>0.15000000000000002</v>
      </c>
      <c r="AZ12" s="43">
        <f t="shared" si="6"/>
        <v>0.5</v>
      </c>
      <c r="BA12" s="43">
        <f t="shared" si="7"/>
        <v>0.75000000000000011</v>
      </c>
      <c r="BB12" s="139">
        <v>560</v>
      </c>
      <c r="BC12" s="149">
        <f t="shared" si="8"/>
        <v>2800</v>
      </c>
      <c r="BD12" s="45">
        <f>IF(A12&lt;&gt;"",IF(_xlfn.XLOOKUP(A12,'1C'!A:A,'1C'!A:A,0,0)&gt;0,1,0),"")</f>
        <v>0</v>
      </c>
      <c r="BE12" s="145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6089CCRed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94-020-18</v>
      </c>
      <c r="C13" s="147" t="s">
        <v>1116</v>
      </c>
      <c r="E13" s="43" t="str">
        <f>IF(F13&lt;&gt;"",IFERROR(VLOOKUP(F13,Категории!A:B,2,0),""),"Требуется категория")</f>
        <v>Бейсболки</v>
      </c>
      <c r="F13" s="44" t="s">
        <v>327</v>
      </c>
      <c r="G13" s="62" t="s">
        <v>1076</v>
      </c>
      <c r="H13" s="44" t="s">
        <v>388</v>
      </c>
      <c r="J13" s="57" t="str">
        <f>'1C'!$AJ$1</f>
        <v>FLEXFIT</v>
      </c>
      <c r="K13" s="100" t="s">
        <v>77</v>
      </c>
      <c r="L13" s="148" t="str">
        <f>IF(K13&lt;&gt;"",IFERROR(VLOOKUP(A13,'1C'!A:X,8,0),IFERROR(VLOOKUP(K13,Colors!D:E,2,0),"")),"")</f>
        <v>красный</v>
      </c>
      <c r="M13" s="62"/>
      <c r="N13" s="62"/>
      <c r="O13" s="62"/>
      <c r="P13" s="62"/>
      <c r="Q13" s="132" t="s">
        <v>875</v>
      </c>
      <c r="R13" s="64"/>
      <c r="S13" s="62" t="s">
        <v>43</v>
      </c>
      <c r="T13" s="58"/>
      <c r="U13" s="58" t="s">
        <v>382</v>
      </c>
      <c r="V13" s="58">
        <v>4</v>
      </c>
      <c r="Y13" s="58"/>
      <c r="AA13" s="58"/>
      <c r="AC13" s="58"/>
      <c r="AE13" s="58"/>
      <c r="AG13" s="58"/>
      <c r="AT13" s="57">
        <f t="shared" si="1"/>
        <v>4</v>
      </c>
      <c r="AU13" s="65" t="s">
        <v>571</v>
      </c>
      <c r="AV13" s="56" t="str">
        <f t="shared" ca="1" si="10"/>
        <v>YupoongInc; 174, Gurodong-ro, Guro-gu, 08285 Seoul, South Korea</v>
      </c>
      <c r="AW13" s="43" t="str">
        <f t="shared" ca="1" si="11"/>
        <v>Бангладеш</v>
      </c>
      <c r="AX13" s="74">
        <f t="shared" si="4"/>
        <v>0.1</v>
      </c>
      <c r="AY13" s="43">
        <f t="shared" si="5"/>
        <v>0.15000000000000002</v>
      </c>
      <c r="AZ13" s="43">
        <f t="shared" si="6"/>
        <v>0.4</v>
      </c>
      <c r="BA13" s="43">
        <f t="shared" si="7"/>
        <v>0.60000000000000009</v>
      </c>
      <c r="BB13" s="139">
        <v>517</v>
      </c>
      <c r="BC13" s="149">
        <f t="shared" si="8"/>
        <v>2068</v>
      </c>
      <c r="BD13" s="45">
        <f>IF(A13&lt;&gt;"",IF(_xlfn.XLOOKUP(A13,'1C'!A:A,'1C'!A:A,0,0)&gt;0,1,0),"")</f>
        <v>0</v>
      </c>
      <c r="BE13" s="145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6089CCMaroon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94-020-12</v>
      </c>
      <c r="C14" s="147" t="s">
        <v>1116</v>
      </c>
      <c r="E14" s="43" t="str">
        <f>IF(F14&lt;&gt;"",IFERROR(VLOOKUP(F14,Категории!A:B,2,0),""),"Требуется категория")</f>
        <v>Бейсболки</v>
      </c>
      <c r="F14" s="44" t="s">
        <v>327</v>
      </c>
      <c r="G14" s="62" t="s">
        <v>1076</v>
      </c>
      <c r="H14" s="44" t="s">
        <v>388</v>
      </c>
      <c r="J14" s="57" t="str">
        <f>'1C'!$AJ$1</f>
        <v>FLEXFIT</v>
      </c>
      <c r="K14" s="100" t="s">
        <v>1125</v>
      </c>
      <c r="L14" s="100" t="s">
        <v>121</v>
      </c>
      <c r="M14" s="62"/>
      <c r="N14" s="62"/>
      <c r="O14" s="62"/>
      <c r="P14" s="62"/>
      <c r="Q14" s="132" t="s">
        <v>875</v>
      </c>
      <c r="R14" s="64"/>
      <c r="S14" s="62" t="s">
        <v>43</v>
      </c>
      <c r="T14" s="58"/>
      <c r="U14" s="58" t="s">
        <v>382</v>
      </c>
      <c r="V14" s="58">
        <v>4</v>
      </c>
      <c r="Y14" s="58"/>
      <c r="AA14" s="58"/>
      <c r="AC14" s="58"/>
      <c r="AE14" s="58"/>
      <c r="AG14" s="58"/>
      <c r="AT14" s="57">
        <f t="shared" si="1"/>
        <v>4</v>
      </c>
      <c r="AU14" s="65" t="s">
        <v>571</v>
      </c>
      <c r="AV14" s="56" t="str">
        <f t="shared" ca="1" si="10"/>
        <v>YupoongInc; 174, Gurodong-ro, Guro-gu, 08285 Seoul, South Korea</v>
      </c>
      <c r="AW14" s="43" t="str">
        <f t="shared" ca="1" si="11"/>
        <v>Бангладеш</v>
      </c>
      <c r="AX14" s="74">
        <f t="shared" si="4"/>
        <v>0.1</v>
      </c>
      <c r="AY14" s="43">
        <f t="shared" si="5"/>
        <v>0.15000000000000002</v>
      </c>
      <c r="AZ14" s="43">
        <f t="shared" si="6"/>
        <v>0.4</v>
      </c>
      <c r="BA14" s="43">
        <f t="shared" si="7"/>
        <v>0.60000000000000009</v>
      </c>
      <c r="BB14" s="139">
        <v>517</v>
      </c>
      <c r="BC14" s="149">
        <f t="shared" si="8"/>
        <v>2068</v>
      </c>
      <c r="BD14" s="45">
        <f>IF(A14&lt;&gt;"",IF(_xlfn.XLOOKUP(A14,'1C'!A:A,'1C'!A:A,0,0)&gt;0,1,0),"")</f>
        <v>0</v>
      </c>
      <c r="BE14" s="145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6606Pink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94-015-34</v>
      </c>
      <c r="C15" s="147" t="s">
        <v>867</v>
      </c>
      <c r="E15" s="43" t="str">
        <f>IF(F15&lt;&gt;"",IFERROR(VLOOKUP(F15,Категории!A:B,2,0),""),"Требуется категория")</f>
        <v>Бейсболки</v>
      </c>
      <c r="F15" s="43" t="str">
        <f>IF(A15&lt;&gt;"",IF(BD15&gt;0,_xlfn.XLOOKUP(A15,'1C'!A:A,'1C'!J:J,"",0),_xlfn.XLOOKUP(C15,'1C'!W:W,'1C'!J:J,"",0)),"")</f>
        <v>Бейсболка с сеточкой</v>
      </c>
      <c r="G15" s="56" t="str">
        <f>IF(C15&lt;&gt;"",IF(BD15&gt;0,_xlfn.XLOOKUP(A15,'1C'!A:A,'1C'!L:L,"",0),_xlfn.XLOOKUP(C15,'1C'!W:W,'1C'!L:L,"",0)),"")</f>
        <v>Flexfit</v>
      </c>
      <c r="H15" s="43" t="str">
        <f>IF(A15&lt;&gt;"",_xlfn.XLOOKUP(A15,'1C'!A:A,'1C'!M:M,_xlfn.XLOOKUP(C15,'1C'!W:W,'1C'!M:M,"",0),0))</f>
        <v>всесезон</v>
      </c>
      <c r="J15" s="57" t="str">
        <f>'1C'!$AJ$1</f>
        <v>FLEXFIT</v>
      </c>
      <c r="K15" s="100" t="s">
        <v>67</v>
      </c>
      <c r="L15" s="148" t="str">
        <f>IF(K15&lt;&gt;"",IFERROR(VLOOKUP(A15,'1C'!A:X,8,0),IFERROR(VLOOKUP(K15,Colors!D:E,2,0),"")),"")</f>
        <v>розовый</v>
      </c>
      <c r="M15" s="62"/>
      <c r="N15" s="62"/>
      <c r="O15" s="62"/>
      <c r="P15" s="62"/>
      <c r="Q15" s="152" t="str">
        <f>IF(A15&lt;&gt;"",_xlfn.XLOOKUP(A15,'1C'!A:A,'1C'!I:I,_xlfn.XLOOKUP(C15,'1C'!W:W,'1C'!I:I,"",0),0),"")</f>
        <v>65% полиэстер - 35% хлопок</v>
      </c>
      <c r="R15" s="64"/>
      <c r="S15" s="56"/>
      <c r="T15" s="58"/>
      <c r="U15" s="59" t="str">
        <f>IF(A15&lt;&gt;"",_xlfn.XLOOKUP(A15,'1C'!A:A,'1C'!K:K,_xlfn.XLOOKUP(C15,'1C'!W:W,'1C'!K:K,"",0),0),"")</f>
        <v>Унисекс</v>
      </c>
      <c r="V15" s="58">
        <v>4</v>
      </c>
      <c r="Y15" s="58"/>
      <c r="AA15" s="58"/>
      <c r="AC15" s="58"/>
      <c r="AE15" s="58"/>
      <c r="AG15" s="58"/>
      <c r="AT15" s="57">
        <f t="shared" si="1"/>
        <v>4</v>
      </c>
      <c r="AU15" s="153" t="str">
        <f>IF(A15&lt;&gt;"",_xlfn.XLOOKUP(_xlfn.XLOOKUP(A15,'1C'!A:A,'1C'!O:O,_xlfn.XLOOKUP(C15,'1C'!W:W,'1C'!O:O,"",0),0),Settings!N:N,Settings!O:O,"",0),"")</f>
        <v>BD</v>
      </c>
      <c r="AV15" s="56" t="str">
        <f t="shared" ca="1" si="10"/>
        <v>YupoongInc; 174, Gurodong-ro, Guro-gu, 08285 Seoul, South Korea</v>
      </c>
      <c r="AW15" s="43" t="str">
        <f t="shared" ca="1" si="11"/>
        <v>Бангладеш</v>
      </c>
      <c r="AX15" s="74">
        <f t="shared" si="4"/>
        <v>0.1</v>
      </c>
      <c r="AY15" s="43">
        <f t="shared" si="5"/>
        <v>0.15000000000000002</v>
      </c>
      <c r="AZ15" s="43">
        <f t="shared" si="6"/>
        <v>0.4</v>
      </c>
      <c r="BA15" s="43">
        <f t="shared" si="7"/>
        <v>0.60000000000000009</v>
      </c>
      <c r="BB15" s="139">
        <v>473</v>
      </c>
      <c r="BC15" s="149">
        <f t="shared" si="8"/>
        <v>1892</v>
      </c>
      <c r="BD15" s="45">
        <f>IF(A15&lt;&gt;"",IF(_xlfn.XLOOKUP(A15,'1C'!A:A,'1C'!A:A,0,0)&gt;0,1,0),"")</f>
        <v>0</v>
      </c>
      <c r="BE15" s="145">
        <f>IF(C15&lt;&gt;"",IF(_xlfn.XLOOKUP(TEXT(C15,"###"),'1C'!W:W,'1C'!D:D,0,0)&gt;0,0,1),"")</f>
        <v>0</v>
      </c>
      <c r="BF15" s="72">
        <f t="shared" si="9"/>
        <v>1</v>
      </c>
    </row>
    <row r="16" spans="1:59" ht="98.1" customHeight="1">
      <c r="A16" s="43" t="str">
        <f t="shared" si="0"/>
        <v>6606Cranberry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94-015-86</v>
      </c>
      <c r="C16" s="147" t="s">
        <v>867</v>
      </c>
      <c r="E16" s="43" t="str">
        <f>IF(F16&lt;&gt;"",IFERROR(VLOOKUP(F16,Категории!A:B,2,0),""),"Требуется категория")</f>
        <v>Бейсболки</v>
      </c>
      <c r="F16" s="43" t="str">
        <f>IF(A16&lt;&gt;"",IF(BD16&gt;0,_xlfn.XLOOKUP(A16,'1C'!A:A,'1C'!J:J,"",0),_xlfn.XLOOKUP(C16,'1C'!W:W,'1C'!J:J,"",0)),"")</f>
        <v>Бейсболка с сеточкой</v>
      </c>
      <c r="G16" s="56" t="str">
        <f>IF(C16&lt;&gt;"",IF(BD16&gt;0,_xlfn.XLOOKUP(A16,'1C'!A:A,'1C'!L:L,"",0),_xlfn.XLOOKUP(C16,'1C'!W:W,'1C'!L:L,"",0)),"")</f>
        <v>Flexfit</v>
      </c>
      <c r="H16" s="43" t="str">
        <f>IF(A16&lt;&gt;"",_xlfn.XLOOKUP(A16,'1C'!A:A,'1C'!M:M,_xlfn.XLOOKUP(C16,'1C'!W:W,'1C'!M:M,"",0),0))</f>
        <v>всесезон</v>
      </c>
      <c r="J16" s="57" t="str">
        <f>'1C'!$AJ$1</f>
        <v>FLEXFIT</v>
      </c>
      <c r="K16" s="100" t="s">
        <v>1128</v>
      </c>
      <c r="L16" s="100" t="s">
        <v>192</v>
      </c>
      <c r="M16" s="62"/>
      <c r="N16" s="62"/>
      <c r="O16" s="62"/>
      <c r="P16" s="62"/>
      <c r="Q16" s="152" t="str">
        <f>IF(A16&lt;&gt;"",_xlfn.XLOOKUP(A16,'1C'!A:A,'1C'!I:I,_xlfn.XLOOKUP(C16,'1C'!W:W,'1C'!I:I,"",0),0),"")</f>
        <v>65% полиэстер - 35% хлопок</v>
      </c>
      <c r="R16" s="64"/>
      <c r="S16" s="56"/>
      <c r="T16" s="58"/>
      <c r="U16" s="59" t="str">
        <f>IF(A16&lt;&gt;"",_xlfn.XLOOKUP(A16,'1C'!A:A,'1C'!K:K,_xlfn.XLOOKUP(C16,'1C'!W:W,'1C'!K:K,"",0),0),"")</f>
        <v>Унисекс</v>
      </c>
      <c r="V16" s="58">
        <v>4</v>
      </c>
      <c r="Y16" s="58"/>
      <c r="AA16" s="58"/>
      <c r="AC16" s="58"/>
      <c r="AE16" s="58"/>
      <c r="AG16" s="58"/>
      <c r="AT16" s="57">
        <f t="shared" si="1"/>
        <v>4</v>
      </c>
      <c r="AU16" s="153" t="str">
        <f>IF(A16&lt;&gt;"",_xlfn.XLOOKUP(_xlfn.XLOOKUP(A16,'1C'!A:A,'1C'!O:O,_xlfn.XLOOKUP(C16,'1C'!W:W,'1C'!O:O,"",0),0),Settings!N:N,Settings!O:O,"",0),"")</f>
        <v>BD</v>
      </c>
      <c r="AV16" s="56" t="str">
        <f t="shared" ca="1" si="10"/>
        <v>YupoongInc; 174, Gurodong-ro, Guro-gu, 08285 Seoul, South Korea</v>
      </c>
      <c r="AW16" s="43" t="str">
        <f t="shared" ca="1" si="11"/>
        <v>Бангладеш</v>
      </c>
      <c r="AX16" s="74">
        <f t="shared" si="4"/>
        <v>0.1</v>
      </c>
      <c r="AY16" s="43">
        <f t="shared" si="5"/>
        <v>0.15000000000000002</v>
      </c>
      <c r="AZ16" s="43">
        <f t="shared" si="6"/>
        <v>0.4</v>
      </c>
      <c r="BA16" s="43">
        <f t="shared" si="7"/>
        <v>0.60000000000000009</v>
      </c>
      <c r="BB16" s="139">
        <v>473</v>
      </c>
      <c r="BC16" s="149">
        <f t="shared" si="8"/>
        <v>1892</v>
      </c>
      <c r="BD16" s="45">
        <f>IF(A16&lt;&gt;"",IF(_xlfn.XLOOKUP(A16,'1C'!A:A,'1C'!A:A,0,0)&gt;0,1,0),"")</f>
        <v>0</v>
      </c>
      <c r="BE16" s="145">
        <f>IF(C16&lt;&gt;"",IF(_xlfn.XLOOKUP(TEXT(C16,"###"),'1C'!W:W,'1C'!D:D,0,0)&gt;0,0,1),"")</f>
        <v>0</v>
      </c>
      <c r="BF16" s="72">
        <f t="shared" si="9"/>
        <v>1</v>
      </c>
    </row>
    <row r="17" spans="1:58" ht="98.1" customHeight="1">
      <c r="A17" s="43" t="str">
        <f t="shared" si="0"/>
        <v>6089MTHeather/Red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94-009-70</v>
      </c>
      <c r="C17" s="147" t="s">
        <v>861</v>
      </c>
      <c r="E17" s="43" t="str">
        <f>IF(F17&lt;&gt;"",IFERROR(VLOOKUP(F17,Категории!A:B,2,0),""),"Требуется категория")</f>
        <v>Бейсболки</v>
      </c>
      <c r="F17" s="43" t="str">
        <f>IF(A17&lt;&gt;"",IF(BD17&gt;0,_xlfn.XLOOKUP(A17,'1C'!A:A,'1C'!J:J,"",0),_xlfn.XLOOKUP(C17,'1C'!W:W,'1C'!J:J,"",0)),"")</f>
        <v>Бейсболка с прямым козырьком</v>
      </c>
      <c r="G17" s="56" t="str">
        <f>IF(C17&lt;&gt;"",IF(BD17&gt;0,_xlfn.XLOOKUP(A17,'1C'!A:A,'1C'!L:L,"",0),_xlfn.XLOOKUP(C17,'1C'!W:W,'1C'!L:L,"",0)),"")</f>
        <v>Flexfit</v>
      </c>
      <c r="H17" s="43" t="str">
        <f>IF(A17&lt;&gt;"",_xlfn.XLOOKUP(A17,'1C'!A:A,'1C'!M:M,_xlfn.XLOOKUP(C17,'1C'!W:W,'1C'!M:M,"",0),0))</f>
        <v>всесезон</v>
      </c>
      <c r="J17" s="57" t="str">
        <f>'1C'!$AJ$1</f>
        <v>FLEXFIT</v>
      </c>
      <c r="K17" s="100" t="s">
        <v>1129</v>
      </c>
      <c r="L17" s="100" t="s">
        <v>1136</v>
      </c>
      <c r="M17" s="62"/>
      <c r="N17" s="62"/>
      <c r="O17" s="62"/>
      <c r="P17" s="62"/>
      <c r="Q17" s="152" t="str">
        <f>IF(A17&lt;&gt;"",_xlfn.XLOOKUP(A17,'1C'!A:A,'1C'!I:I,_xlfn.XLOOKUP(C17,'1C'!W:W,'1C'!I:I,"",0),0),"")</f>
        <v>80% акрил - 20% шерсть</v>
      </c>
      <c r="R17" s="64"/>
      <c r="S17" s="56" t="str">
        <f>_xlfn.LET(_xlpm.RES,IF(A17&lt;&gt;"",_xlfn.XLOOKUP(A17,'1C'!A:A,'1C'!N:N,_xlfn.XLOOKUP(C17,'1C'!W:W,'1C'!N:N,"",0),0),""),IF(_xlpm.RES=0,"",_xlpm.RES))</f>
        <v>акриловые</v>
      </c>
      <c r="T17" s="58"/>
      <c r="U17" s="59" t="str">
        <f>IF(A17&lt;&gt;"",_xlfn.XLOOKUP(A17,'1C'!A:A,'1C'!K:K,_xlfn.XLOOKUP(C17,'1C'!W:W,'1C'!K:K,"",0),0),"")</f>
        <v>Унисекс</v>
      </c>
      <c r="V17" s="58">
        <v>8</v>
      </c>
      <c r="Y17" s="58"/>
      <c r="AA17" s="58"/>
      <c r="AC17" s="58"/>
      <c r="AE17" s="58"/>
      <c r="AG17" s="58"/>
      <c r="AT17" s="57">
        <f t="shared" si="1"/>
        <v>8</v>
      </c>
      <c r="AU17" s="153" t="str">
        <f>IF(A17&lt;&gt;"",_xlfn.XLOOKUP(_xlfn.XLOOKUP(A17,'1C'!A:A,'1C'!O:O,_xlfn.XLOOKUP(C17,'1C'!W:W,'1C'!O:O,"",0),0),Settings!N:N,Settings!O:O,"",0),"")</f>
        <v>BD</v>
      </c>
      <c r="AV17" s="56" t="str">
        <f t="shared" ca="1" si="10"/>
        <v>YupoongInc; 174, Gurodong-ro, Guro-gu, 08285 Seoul, South Korea</v>
      </c>
      <c r="AW17" s="43" t="str">
        <f t="shared" ca="1" si="11"/>
        <v>Бангладеш</v>
      </c>
      <c r="AX17" s="74">
        <f t="shared" si="4"/>
        <v>0.1</v>
      </c>
      <c r="AY17" s="43">
        <f t="shared" si="5"/>
        <v>0.15000000000000002</v>
      </c>
      <c r="AZ17" s="43">
        <f t="shared" si="6"/>
        <v>0.8</v>
      </c>
      <c r="BA17" s="43">
        <f t="shared" si="7"/>
        <v>1.2000000000000002</v>
      </c>
      <c r="BB17" s="139">
        <v>517</v>
      </c>
      <c r="BC17" s="149">
        <f t="shared" si="8"/>
        <v>4136</v>
      </c>
      <c r="BD17" s="45">
        <f>IF(A17&lt;&gt;"",IF(_xlfn.XLOOKUP(A17,'1C'!A:A,'1C'!A:A,0,0)&gt;0,1,0),"")</f>
        <v>0</v>
      </c>
      <c r="BE17" s="145">
        <f>IF(C17&lt;&gt;"",IF(_xlfn.XLOOKUP(TEXT(C17,"###"),'1C'!W:W,'1C'!D:D,0,0)&gt;0,0,1),"")</f>
        <v>0</v>
      </c>
      <c r="BF17" s="72">
        <f t="shared" si="9"/>
        <v>1</v>
      </c>
    </row>
    <row r="18" spans="1:58" ht="98.1" customHeight="1">
      <c r="A18" s="43" t="str">
        <f t="shared" si="0"/>
        <v>6089MTHeather/Purple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94-009-56</v>
      </c>
      <c r="C18" s="147" t="s">
        <v>861</v>
      </c>
      <c r="E18" s="43" t="str">
        <f>IF(F18&lt;&gt;"",IFERROR(VLOOKUP(F18,Категории!A:B,2,0),""),"Требуется категория")</f>
        <v>Бейсболки</v>
      </c>
      <c r="F18" s="43" t="str">
        <f>IF(A18&lt;&gt;"",IF(BD18&gt;0,_xlfn.XLOOKUP(A18,'1C'!A:A,'1C'!J:J,"",0),_xlfn.XLOOKUP(C18,'1C'!W:W,'1C'!J:J,"",0)),"")</f>
        <v>Бейсболка с прямым козырьком</v>
      </c>
      <c r="G18" s="56" t="str">
        <f>IF(C18&lt;&gt;"",IF(BD18&gt;0,_xlfn.XLOOKUP(A18,'1C'!A:A,'1C'!L:L,"",0),_xlfn.XLOOKUP(C18,'1C'!W:W,'1C'!L:L,"",0)),"")</f>
        <v>Flexfit</v>
      </c>
      <c r="H18" s="43" t="str">
        <f>IF(A18&lt;&gt;"",_xlfn.XLOOKUP(A18,'1C'!A:A,'1C'!M:M,_xlfn.XLOOKUP(C18,'1C'!W:W,'1C'!M:M,"",0),0))</f>
        <v>всесезон</v>
      </c>
      <c r="J18" s="57" t="str">
        <f>'1C'!$AJ$1</f>
        <v>FLEXFIT</v>
      </c>
      <c r="K18" s="100" t="s">
        <v>1130</v>
      </c>
      <c r="L18" s="100" t="s">
        <v>1135</v>
      </c>
      <c r="M18" s="62"/>
      <c r="N18" s="62"/>
      <c r="O18" s="62"/>
      <c r="P18" s="62"/>
      <c r="Q18" s="152" t="str">
        <f>IF(A18&lt;&gt;"",_xlfn.XLOOKUP(A18,'1C'!A:A,'1C'!I:I,_xlfn.XLOOKUP(C18,'1C'!W:W,'1C'!I:I,"",0),0),"")</f>
        <v>80% акрил - 20% шерсть</v>
      </c>
      <c r="R18" s="64"/>
      <c r="S18" s="56" t="str">
        <f>_xlfn.LET(_xlpm.RES,IF(A18&lt;&gt;"",_xlfn.XLOOKUP(A18,'1C'!A:A,'1C'!N:N,_xlfn.XLOOKUP(C18,'1C'!W:W,'1C'!N:N,"",0),0),""),IF(_xlpm.RES=0,"",_xlpm.RES))</f>
        <v>акриловые</v>
      </c>
      <c r="T18" s="58"/>
      <c r="U18" s="59" t="str">
        <f>IF(A18&lt;&gt;"",_xlfn.XLOOKUP(A18,'1C'!A:A,'1C'!K:K,_xlfn.XLOOKUP(C18,'1C'!W:W,'1C'!K:K,"",0),0),"")</f>
        <v>Унисекс</v>
      </c>
      <c r="V18" s="58">
        <v>8</v>
      </c>
      <c r="Y18" s="58"/>
      <c r="AA18" s="58"/>
      <c r="AC18" s="58"/>
      <c r="AE18" s="58"/>
      <c r="AG18" s="58"/>
      <c r="AT18" s="57">
        <f t="shared" si="1"/>
        <v>8</v>
      </c>
      <c r="AU18" s="153" t="str">
        <f>IF(A18&lt;&gt;"",_xlfn.XLOOKUP(_xlfn.XLOOKUP(A18,'1C'!A:A,'1C'!O:O,_xlfn.XLOOKUP(C18,'1C'!W:W,'1C'!O:O,"",0),0),Settings!N:N,Settings!O:O,"",0),"")</f>
        <v>BD</v>
      </c>
      <c r="AV18" s="56" t="str">
        <f t="shared" ca="1" si="10"/>
        <v>YupoongInc; 174, Gurodong-ro, Guro-gu, 08285 Seoul, South Korea</v>
      </c>
      <c r="AW18" s="43" t="str">
        <f t="shared" ca="1" si="11"/>
        <v>Бангладеш</v>
      </c>
      <c r="AX18" s="74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B18" s="139">
        <v>517</v>
      </c>
      <c r="BC18" s="149">
        <f t="shared" si="8"/>
        <v>4136</v>
      </c>
      <c r="BD18" s="45">
        <f>IF(A18&lt;&gt;"",IF(_xlfn.XLOOKUP(A18,'1C'!A:A,'1C'!A:A,0,0)&gt;0,1,0),"")</f>
        <v>0</v>
      </c>
      <c r="BE18" s="145">
        <f>IF(C18&lt;&gt;"",IF(_xlfn.XLOOKUP(TEXT(C18,"###"),'1C'!W:W,'1C'!D:D,0,0)&gt;0,0,1),"")</f>
        <v>0</v>
      </c>
      <c r="BF18" s="72">
        <f t="shared" si="9"/>
        <v>1</v>
      </c>
    </row>
    <row r="19" spans="1:58" ht="98.1" customHeight="1">
      <c r="A19" s="43" t="str">
        <f t="shared" si="0"/>
        <v>6089MTNavy/Red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94-009-71</v>
      </c>
      <c r="C19" s="147" t="s">
        <v>861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IF(A19&lt;&gt;"",IF(BD19&gt;0,_xlfn.XLOOKUP(A19,'1C'!A:A,'1C'!J:J,"",0),_xlfn.XLOOKUP(C19,'1C'!W:W,'1C'!J:J,"",0)),"")</f>
        <v>Бейсболка с прямым козырьком</v>
      </c>
      <c r="G19" s="56" t="str">
        <f>IF(C19&lt;&gt;"",IF(BD19&gt;0,_xlfn.XLOOKUP(A19,'1C'!A:A,'1C'!L:L,"",0),_xlfn.XLOOKUP(C19,'1C'!W:W,'1C'!L:L,"",0)),"")</f>
        <v>Flexfit</v>
      </c>
      <c r="H19" s="43" t="str">
        <f>IF(A19&lt;&gt;"",_xlfn.XLOOKUP(A19,'1C'!A:A,'1C'!M:M,_xlfn.XLOOKUP(C19,'1C'!W:W,'1C'!M:M,"",0),0))</f>
        <v>всесезон</v>
      </c>
      <c r="J19" s="57" t="str">
        <f>'1C'!$AJ$1</f>
        <v>FLEXFIT</v>
      </c>
      <c r="K19" s="100" t="s">
        <v>1131</v>
      </c>
      <c r="L19" s="148" t="str">
        <f>IF(K19&lt;&gt;"",IFERROR(VLOOKUP(A19,'1C'!A:X,8,0),IFERROR(VLOOKUP(K19,Colors!D:E,2,0),"")),"")</f>
        <v>темно-синий / красный</v>
      </c>
      <c r="M19" s="56" t="str">
        <f>IF(K19&lt;&gt;"",_xlfn.XLOOKUP(A19,'1C'!A:A,'1C'!R:R,"",0),"")</f>
        <v>синий</v>
      </c>
      <c r="N19" s="62"/>
      <c r="O19" s="62"/>
      <c r="P19" s="62"/>
      <c r="Q19" s="152" t="str">
        <f>IF(A19&lt;&gt;"",_xlfn.XLOOKUP(A19,'1C'!A:A,'1C'!I:I,_xlfn.XLOOKUP(C19,'1C'!W:W,'1C'!I:I,"",0),0),"")</f>
        <v>80% акрил - 20% шерсть</v>
      </c>
      <c r="R19" s="64"/>
      <c r="S19" s="56" t="str">
        <f>_xlfn.LET(_xlpm.RES,IF(A19&lt;&gt;"",_xlfn.XLOOKUP(A19,'1C'!A:A,'1C'!N:N,_xlfn.XLOOKUP(C19,'1C'!W:W,'1C'!N:N,"",0),0),""),IF(_xlpm.RES=0,"",_xlpm.RES))</f>
        <v>акриловые</v>
      </c>
      <c r="T19" s="58"/>
      <c r="U19" s="59" t="str">
        <f>IF(A19&lt;&gt;"",_xlfn.XLOOKUP(A19,'1C'!A:A,'1C'!K:K,_xlfn.XLOOKUP(C19,'1C'!W:W,'1C'!K:K,"",0),0),"")</f>
        <v>Унисекс</v>
      </c>
      <c r="V19" s="58">
        <v>10</v>
      </c>
      <c r="Y19" s="58"/>
      <c r="AA19" s="58"/>
      <c r="AC19" s="58"/>
      <c r="AE19" s="58"/>
      <c r="AG19" s="58"/>
      <c r="AT19" s="57">
        <f t="shared" si="1"/>
        <v>10</v>
      </c>
      <c r="AU19" s="153" t="str">
        <f>IF(A19&lt;&gt;"",_xlfn.XLOOKUP(_xlfn.XLOOKUP(A19,'1C'!A:A,'1C'!O:O,_xlfn.XLOOKUP(C19,'1C'!W:W,'1C'!O:O,"",0),0),Settings!N:N,Settings!O:O,"",0),"")</f>
        <v>BD</v>
      </c>
      <c r="AV19" s="56" t="str">
        <f t="shared" ca="1" si="10"/>
        <v>YupoongInc; 174, Gurodong-ro, Guro-gu, 08285 Seoul, South Korea</v>
      </c>
      <c r="AW19" s="43" t="str">
        <f t="shared" ca="1" si="11"/>
        <v>Бангладеш</v>
      </c>
      <c r="AX19" s="74">
        <f t="shared" si="4"/>
        <v>0.1</v>
      </c>
      <c r="AY19" s="43">
        <f t="shared" si="5"/>
        <v>0.15000000000000002</v>
      </c>
      <c r="AZ19" s="43">
        <f t="shared" si="6"/>
        <v>1</v>
      </c>
      <c r="BA19" s="43">
        <f t="shared" si="7"/>
        <v>1.5000000000000002</v>
      </c>
      <c r="BB19" s="139">
        <v>517</v>
      </c>
      <c r="BC19" s="149">
        <f t="shared" si="8"/>
        <v>5170</v>
      </c>
      <c r="BD19" s="45">
        <f>IF(A19&lt;&gt;"",IF(_xlfn.XLOOKUP(A19,'1C'!A:A,'1C'!A:A,0,0)&gt;0,1,0),"")</f>
        <v>1</v>
      </c>
      <c r="BE19" s="145">
        <f>IF(C19&lt;&gt;"",IF(_xlfn.XLOOKUP(TEXT(C19,"###"),'1C'!W:W,'1C'!D:D,0,0)&gt;0,0,1),"")</f>
        <v>0</v>
      </c>
      <c r="BF19" s="72">
        <f t="shared" si="9"/>
        <v>0</v>
      </c>
    </row>
    <row r="20" spans="1:58" ht="98.1" customHeight="1">
      <c r="A20" s="43" t="str">
        <f t="shared" si="0"/>
        <v>6089MTDark Heather/Red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94-009-08</v>
      </c>
      <c r="C20" s="147" t="s">
        <v>861</v>
      </c>
      <c r="E20" s="43" t="str">
        <f>IF(F20&lt;&gt;"",IFERROR(VLOOKUP(F20,Категории!A:B,2,0),""),"Требуется категория")</f>
        <v>Бейсболки</v>
      </c>
      <c r="F20" s="43" t="str">
        <f>IF(A20&lt;&gt;"",IF(BD20&gt;0,_xlfn.XLOOKUP(A20,'1C'!A:A,'1C'!J:J,"",0),_xlfn.XLOOKUP(C20,'1C'!W:W,'1C'!J:J,"",0)),"")</f>
        <v>Бейсболка с прямым козырьком</v>
      </c>
      <c r="G20" s="56" t="str">
        <f>IF(C20&lt;&gt;"",IF(BD20&gt;0,_xlfn.XLOOKUP(A20,'1C'!A:A,'1C'!L:L,"",0),_xlfn.XLOOKUP(C20,'1C'!W:W,'1C'!L:L,"",0)),"")</f>
        <v>Flexfit</v>
      </c>
      <c r="H20" s="43" t="str">
        <f>IF(A20&lt;&gt;"",_xlfn.XLOOKUP(A20,'1C'!A:A,'1C'!M:M,_xlfn.XLOOKUP(C20,'1C'!W:W,'1C'!M:M,"",0),0))</f>
        <v>всесезон</v>
      </c>
      <c r="J20" s="57" t="str">
        <f>'1C'!$AJ$1</f>
        <v>FLEXFIT</v>
      </c>
      <c r="K20" s="100" t="s">
        <v>1132</v>
      </c>
      <c r="L20" s="148" t="str">
        <f>IF(K20&lt;&gt;"",IFERROR(VLOOKUP(A20,'1C'!A:X,8,0),IFERROR(VLOOKUP(K20,Colors!D:E,2,0),"")),"")</f>
        <v>серый / красный</v>
      </c>
      <c r="M20" s="56" t="str">
        <f>IF(K20&lt;&gt;"",_xlfn.XLOOKUP(A20,'1C'!A:A,'1C'!R:R,"",0),"")</f>
        <v>серый</v>
      </c>
      <c r="N20" s="62"/>
      <c r="O20" s="62"/>
      <c r="P20" s="62"/>
      <c r="Q20" s="152" t="str">
        <f>IF(A20&lt;&gt;"",_xlfn.XLOOKUP(A20,'1C'!A:A,'1C'!I:I,_xlfn.XLOOKUP(C20,'1C'!W:W,'1C'!I:I,"",0),0),"")</f>
        <v>80% акрил - 20% шерсть</v>
      </c>
      <c r="R20" s="64"/>
      <c r="S20" s="56" t="str">
        <f>_xlfn.LET(_xlpm.RES,IF(A20&lt;&gt;"",_xlfn.XLOOKUP(A20,'1C'!A:A,'1C'!N:N,_xlfn.XLOOKUP(C20,'1C'!W:W,'1C'!N:N,"",0),0),""),IF(_xlpm.RES=0,"",_xlpm.RES))</f>
        <v>акриловые</v>
      </c>
      <c r="T20" s="58"/>
      <c r="U20" s="59" t="str">
        <f>IF(A20&lt;&gt;"",_xlfn.XLOOKUP(A20,'1C'!A:A,'1C'!K:K,_xlfn.XLOOKUP(C20,'1C'!W:W,'1C'!K:K,"",0),0),"")</f>
        <v>Унисекс</v>
      </c>
      <c r="V20" s="58">
        <v>6</v>
      </c>
      <c r="Y20" s="58"/>
      <c r="AA20" s="58"/>
      <c r="AC20" s="58"/>
      <c r="AE20" s="58"/>
      <c r="AG20" s="58"/>
      <c r="AT20" s="57">
        <f t="shared" si="1"/>
        <v>6</v>
      </c>
      <c r="AU20" s="153" t="str">
        <f>IF(A20&lt;&gt;"",_xlfn.XLOOKUP(_xlfn.XLOOKUP(A20,'1C'!A:A,'1C'!O:O,_xlfn.XLOOKUP(C20,'1C'!W:W,'1C'!O:O,"",0),0),Settings!N:N,Settings!O:O,"",0),"")</f>
        <v>BD</v>
      </c>
      <c r="AV20" s="56" t="str">
        <f t="shared" ca="1" si="10"/>
        <v>YupoongInc; 174, Gurodong-ro, Guro-gu, 08285 Seoul, South Korea</v>
      </c>
      <c r="AW20" s="43" t="str">
        <f t="shared" ca="1" si="11"/>
        <v>Бангладеш</v>
      </c>
      <c r="AX20" s="74">
        <f t="shared" si="4"/>
        <v>0.1</v>
      </c>
      <c r="AY20" s="43">
        <f t="shared" si="5"/>
        <v>0.15000000000000002</v>
      </c>
      <c r="AZ20" s="43">
        <f t="shared" si="6"/>
        <v>0.60000000000000009</v>
      </c>
      <c r="BA20" s="43">
        <f t="shared" si="7"/>
        <v>0.90000000000000013</v>
      </c>
      <c r="BB20" s="139">
        <v>517</v>
      </c>
      <c r="BC20" s="149">
        <f t="shared" si="8"/>
        <v>3102</v>
      </c>
      <c r="BD20" s="45">
        <f>IF(A20&lt;&gt;"",IF(_xlfn.XLOOKUP(A20,'1C'!A:A,'1C'!A:A,0,0)&gt;0,1,0),"")</f>
        <v>1</v>
      </c>
      <c r="BE20" s="145">
        <f>IF(C20&lt;&gt;"",IF(_xlfn.XLOOKUP(TEXT(C20,"###"),'1C'!W:W,'1C'!D:D,0,0)&gt;0,0,1),"")</f>
        <v>0</v>
      </c>
      <c r="BF20" s="72">
        <f t="shared" si="9"/>
        <v>0</v>
      </c>
    </row>
    <row r="21" spans="1:58" ht="98.1" customHeight="1">
      <c r="A21" s="43" t="str">
        <f t="shared" si="0"/>
        <v>6089MRoyal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94-007-06</v>
      </c>
      <c r="C21" s="147" t="s">
        <v>859</v>
      </c>
      <c r="E21" s="43" t="str">
        <f>IF(F21&lt;&gt;"",IFERROR(VLOOKUP(F21,Категории!A:B,2,0),""),"Требуется категория")</f>
        <v>Бейсболки</v>
      </c>
      <c r="F21" s="43" t="str">
        <f>IF(A21&lt;&gt;"",IF(BD21&gt;0,_xlfn.XLOOKUP(A21,'1C'!A:A,'1C'!J:J,"",0),_xlfn.XLOOKUP(C21,'1C'!W:W,'1C'!J:J,"",0)),"")</f>
        <v>Бейсболка с прямым козырьком</v>
      </c>
      <c r="G21" s="56" t="str">
        <f>IF(C21&lt;&gt;"",IF(BD21&gt;0,_xlfn.XLOOKUP(A21,'1C'!A:A,'1C'!L:L,"",0),_xlfn.XLOOKUP(C21,'1C'!W:W,'1C'!L:L,"",0)),"")</f>
        <v>Flexfit</v>
      </c>
      <c r="H21" s="43" t="str">
        <f>IF(A21&lt;&gt;"",_xlfn.XLOOKUP(A21,'1C'!A:A,'1C'!M:M,_xlfn.XLOOKUP(C21,'1C'!W:W,'1C'!M:M,"",0),0))</f>
        <v>всесезон</v>
      </c>
      <c r="J21" s="57" t="str">
        <f>'1C'!$AJ$1</f>
        <v>FLEXFIT</v>
      </c>
      <c r="K21" s="100" t="s">
        <v>1127</v>
      </c>
      <c r="L21" s="148" t="str">
        <f>IF(K21&lt;&gt;"",IFERROR(VLOOKUP(A21,'1C'!A:X,8,0),IFERROR(VLOOKUP(K21,Colors!D:E,2,0),"")),"")</f>
        <v>синий</v>
      </c>
      <c r="M21" s="56" t="str">
        <f>IF(K21&lt;&gt;"",_xlfn.XLOOKUP(A21,'1C'!A:A,'1C'!R:R,"",0),"")</f>
        <v>синий</v>
      </c>
      <c r="N21" s="62"/>
      <c r="O21" s="62"/>
      <c r="P21" s="62"/>
      <c r="Q21" s="152" t="str">
        <f>IF(A21&lt;&gt;"",_xlfn.XLOOKUP(A21,'1C'!A:A,'1C'!I:I,_xlfn.XLOOKUP(C21,'1C'!W:W,'1C'!I:I,"",0),0),"")</f>
        <v>80% акрил - 20% шерсть</v>
      </c>
      <c r="R21" s="64"/>
      <c r="S21" s="56" t="str">
        <f>_xlfn.LET(_xlpm.RES,IF(A21&lt;&gt;"",_xlfn.XLOOKUP(A21,'1C'!A:A,'1C'!N:N,_xlfn.XLOOKUP(C21,'1C'!W:W,'1C'!N:N,"",0),0),""),IF(_xlpm.RES=0,"",_xlpm.RES))</f>
        <v>акриловые</v>
      </c>
      <c r="T21" s="58"/>
      <c r="U21" s="59" t="str">
        <f>IF(A21&lt;&gt;"",_xlfn.XLOOKUP(A21,'1C'!A:A,'1C'!K:K,_xlfn.XLOOKUP(C21,'1C'!W:W,'1C'!K:K,"",0),0),"")</f>
        <v>Унисекс</v>
      </c>
      <c r="V21" s="58">
        <v>8</v>
      </c>
      <c r="Y21" s="58"/>
      <c r="AA21" s="58"/>
      <c r="AC21" s="58"/>
      <c r="AE21" s="58"/>
      <c r="AG21" s="58"/>
      <c r="AT21" s="57">
        <f t="shared" si="1"/>
        <v>8</v>
      </c>
      <c r="AU21" s="153" t="str">
        <f>IF(A21&lt;&gt;"",_xlfn.XLOOKUP(_xlfn.XLOOKUP(A21,'1C'!A:A,'1C'!O:O,_xlfn.XLOOKUP(C21,'1C'!W:W,'1C'!O:O,"",0),0),Settings!N:N,Settings!O:O,"",0),"")</f>
        <v>BD</v>
      </c>
      <c r="AV21" s="56" t="str">
        <f t="shared" ca="1" si="10"/>
        <v>YupoongInc; 174, Gurodong-ro, Guro-gu, 08285 Seoul, South Korea</v>
      </c>
      <c r="AW21" s="43" t="str">
        <f t="shared" ca="1" si="11"/>
        <v>Бангладеш</v>
      </c>
      <c r="AX21" s="74">
        <f t="shared" si="4"/>
        <v>0.1</v>
      </c>
      <c r="AY21" s="43">
        <f t="shared" si="5"/>
        <v>0.15000000000000002</v>
      </c>
      <c r="AZ21" s="43">
        <f t="shared" si="6"/>
        <v>0.8</v>
      </c>
      <c r="BA21" s="43">
        <f t="shared" si="7"/>
        <v>1.2000000000000002</v>
      </c>
      <c r="BB21" s="139">
        <v>517</v>
      </c>
      <c r="BC21" s="149">
        <f t="shared" si="8"/>
        <v>4136</v>
      </c>
      <c r="BD21" s="45">
        <f>IF(A21&lt;&gt;"",IF(_xlfn.XLOOKUP(A21,'1C'!A:A,'1C'!A:A,0,0)&gt;0,1,0),"")</f>
        <v>1</v>
      </c>
      <c r="BE21" s="145">
        <f>IF(C21&lt;&gt;"",IF(_xlfn.XLOOKUP(TEXT(C21,"###"),'1C'!W:W,'1C'!D:D,0,0)&gt;0,0,1),"")</f>
        <v>0</v>
      </c>
      <c r="BF21" s="72">
        <f t="shared" si="9"/>
        <v>0</v>
      </c>
    </row>
    <row r="22" spans="1:58" ht="98.1" customHeight="1">
      <c r="A22" s="43" t="str">
        <f t="shared" si="0"/>
        <v>6245CMWhite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94-019-17</v>
      </c>
      <c r="C22" s="147" t="s">
        <v>1115</v>
      </c>
      <c r="E22" s="43" t="str">
        <f>IF(F22&lt;&gt;"",IFERROR(VLOOKUP(F22,Категории!A:B,2,0),""),"Требуется категория")</f>
        <v>Бейсболки</v>
      </c>
      <c r="F22" s="44" t="s">
        <v>327</v>
      </c>
      <c r="G22" s="62" t="s">
        <v>1076</v>
      </c>
      <c r="H22" s="44" t="s">
        <v>388</v>
      </c>
      <c r="J22" s="57" t="str">
        <f>'1C'!$AJ$1</f>
        <v>FLEXFIT</v>
      </c>
      <c r="K22" s="100" t="s">
        <v>56</v>
      </c>
      <c r="L22" s="148" t="str">
        <f>IF(K22&lt;&gt;"",IFERROR(VLOOKUP(A22,'1C'!A:X,8,0),IFERROR(VLOOKUP(K22,Colors!D:E,2,0),"")),"")</f>
        <v>белый</v>
      </c>
      <c r="M22" s="62"/>
      <c r="N22" s="62"/>
      <c r="O22" s="62"/>
      <c r="P22" s="62"/>
      <c r="Q22" s="132" t="s">
        <v>875</v>
      </c>
      <c r="R22" s="64"/>
      <c r="S22" s="62" t="s">
        <v>43</v>
      </c>
      <c r="T22" s="58"/>
      <c r="U22" s="58" t="s">
        <v>382</v>
      </c>
      <c r="V22" s="58">
        <v>8</v>
      </c>
      <c r="Y22" s="58"/>
      <c r="AA22" s="58"/>
      <c r="AC22" s="58"/>
      <c r="AE22" s="58"/>
      <c r="AG22" s="58"/>
      <c r="AT22" s="57">
        <f t="shared" si="1"/>
        <v>8</v>
      </c>
      <c r="AU22" s="65" t="s">
        <v>571</v>
      </c>
      <c r="AV22" s="56" t="str">
        <f t="shared" ca="1" si="10"/>
        <v>YupoongInc; 174, Gurodong-ro, Guro-gu, 08285 Seoul, South Korea</v>
      </c>
      <c r="AW22" s="43" t="str">
        <f t="shared" ca="1" si="11"/>
        <v>Бангладеш</v>
      </c>
      <c r="AX22" s="74">
        <f t="shared" si="4"/>
        <v>0.1</v>
      </c>
      <c r="AY22" s="43">
        <f t="shared" si="5"/>
        <v>0.15000000000000002</v>
      </c>
      <c r="AZ22" s="43">
        <f t="shared" si="6"/>
        <v>0.8</v>
      </c>
      <c r="BA22" s="43">
        <f t="shared" si="7"/>
        <v>1.2000000000000002</v>
      </c>
      <c r="BB22" s="139">
        <v>517</v>
      </c>
      <c r="BC22" s="149">
        <f t="shared" si="8"/>
        <v>4136</v>
      </c>
      <c r="BD22" s="45">
        <f>IF(A22&lt;&gt;"",IF(_xlfn.XLOOKUP(A22,'1C'!A:A,'1C'!A:A,0,0)&gt;0,1,0),"")</f>
        <v>0</v>
      </c>
      <c r="BE22" s="145">
        <f>IF(C22&lt;&gt;"",IF(_xlfn.XLOOKUP(TEXT(C22,"###"),'1C'!W:W,'1C'!D:D,0,0)&gt;0,0,1),"")</f>
        <v>1</v>
      </c>
      <c r="BF22" s="72" t="str">
        <f t="shared" si="9"/>
        <v>-</v>
      </c>
    </row>
    <row r="23" spans="1:58" ht="98.1" customHeight="1">
      <c r="A23" s="43" t="str">
        <f t="shared" si="0"/>
        <v>6789MRoyal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94-023-06</v>
      </c>
      <c r="C23" s="147" t="s">
        <v>1119</v>
      </c>
      <c r="E23" s="43" t="str">
        <f>IF(F23&lt;&gt;"",IFERROR(VLOOKUP(F23,Категории!A:B,2,0),""),"Требуется категория")</f>
        <v>Бейсболки</v>
      </c>
      <c r="F23" s="44" t="s">
        <v>327</v>
      </c>
      <c r="G23" s="62" t="s">
        <v>1076</v>
      </c>
      <c r="H23" s="44" t="s">
        <v>388</v>
      </c>
      <c r="J23" s="57" t="str">
        <f>'1C'!$AJ$1</f>
        <v>FLEXFIT</v>
      </c>
      <c r="K23" s="100" t="s">
        <v>1127</v>
      </c>
      <c r="L23" s="100" t="s">
        <v>71</v>
      </c>
      <c r="M23" s="62"/>
      <c r="N23" s="62"/>
      <c r="O23" s="62"/>
      <c r="P23" s="62"/>
      <c r="Q23" s="132" t="s">
        <v>874</v>
      </c>
      <c r="R23" s="64"/>
      <c r="S23" s="62" t="s">
        <v>46</v>
      </c>
      <c r="T23" s="58"/>
      <c r="U23" s="58" t="s">
        <v>382</v>
      </c>
      <c r="V23" s="58">
        <v>6</v>
      </c>
      <c r="Y23" s="58"/>
      <c r="AA23" s="58"/>
      <c r="AC23" s="58"/>
      <c r="AE23" s="58"/>
      <c r="AG23" s="58"/>
      <c r="AT23" s="57">
        <f t="shared" si="1"/>
        <v>6</v>
      </c>
      <c r="AU23" s="65" t="s">
        <v>571</v>
      </c>
      <c r="AV23" s="56" t="str">
        <f t="shared" ca="1" si="10"/>
        <v>YupoongInc; 174, Gurodong-ro, Guro-gu, 08285 Seoul, South Korea</v>
      </c>
      <c r="AW23" s="43" t="str">
        <f t="shared" ca="1" si="11"/>
        <v>Бангладеш</v>
      </c>
      <c r="AX23" s="74">
        <f t="shared" si="4"/>
        <v>0.1</v>
      </c>
      <c r="AY23" s="43">
        <f t="shared" si="5"/>
        <v>0.15000000000000002</v>
      </c>
      <c r="AZ23" s="43">
        <f t="shared" si="6"/>
        <v>0.60000000000000009</v>
      </c>
      <c r="BA23" s="43">
        <f t="shared" si="7"/>
        <v>0.90000000000000013</v>
      </c>
      <c r="BB23" s="139">
        <v>595</v>
      </c>
      <c r="BC23" s="149">
        <f t="shared" si="8"/>
        <v>3570</v>
      </c>
      <c r="BD23" s="45">
        <f>IF(A23&lt;&gt;"",IF(_xlfn.XLOOKUP(A23,'1C'!A:A,'1C'!A:A,0,0)&gt;0,1,0),"")</f>
        <v>0</v>
      </c>
      <c r="BE23" s="145">
        <f>IF(C23&lt;&gt;"",IF(_xlfn.XLOOKUP(TEXT(C23,"###"),'1C'!W:W,'1C'!D:D,0,0)&gt;0,0,1),"")</f>
        <v>1</v>
      </c>
      <c r="BF23" s="72" t="str">
        <f t="shared" si="9"/>
        <v>-</v>
      </c>
    </row>
    <row r="24" spans="1:58" ht="98.1" customHeight="1">
      <c r="A24" s="43" t="str">
        <f t="shared" si="0"/>
        <v>6789MRed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94-023-18</v>
      </c>
      <c r="C24" s="147" t="s">
        <v>1119</v>
      </c>
      <c r="E24" s="43" t="str">
        <f>IF(F24&lt;&gt;"",IFERROR(VLOOKUP(F24,Категории!A:B,2,0),""),"Требуется категория")</f>
        <v>Бейсболки</v>
      </c>
      <c r="F24" s="44" t="s">
        <v>327</v>
      </c>
      <c r="G24" s="62" t="s">
        <v>1076</v>
      </c>
      <c r="H24" s="44" t="s">
        <v>388</v>
      </c>
      <c r="J24" s="57" t="str">
        <f>'1C'!$AJ$1</f>
        <v>FLEXFIT</v>
      </c>
      <c r="K24" s="100" t="s">
        <v>77</v>
      </c>
      <c r="L24" s="148" t="str">
        <f>IF(K24&lt;&gt;"",IFERROR(VLOOKUP(A24,'1C'!A:X,8,0),IFERROR(VLOOKUP(K24,Colors!D:E,2,0),"")),"")</f>
        <v>красный</v>
      </c>
      <c r="M24" s="62"/>
      <c r="N24" s="62"/>
      <c r="O24" s="62"/>
      <c r="P24" s="62"/>
      <c r="Q24" s="132" t="s">
        <v>874</v>
      </c>
      <c r="R24" s="64"/>
      <c r="S24" s="62" t="s">
        <v>46</v>
      </c>
      <c r="T24" s="58"/>
      <c r="U24" s="58" t="s">
        <v>382</v>
      </c>
      <c r="V24" s="58">
        <v>4</v>
      </c>
      <c r="Y24" s="58"/>
      <c r="AA24" s="58"/>
      <c r="AC24" s="58"/>
      <c r="AE24" s="58"/>
      <c r="AG24" s="58"/>
      <c r="AT24" s="57">
        <f t="shared" si="1"/>
        <v>4</v>
      </c>
      <c r="AU24" s="65" t="s">
        <v>571</v>
      </c>
      <c r="AV24" s="56" t="str">
        <f t="shared" ca="1" si="10"/>
        <v>YupoongInc; 174, Gurodong-ro, Guro-gu, 08285 Seoul, South Korea</v>
      </c>
      <c r="AW24" s="43" t="str">
        <f t="shared" ca="1" si="11"/>
        <v>Бангладеш</v>
      </c>
      <c r="AX24" s="74">
        <f t="shared" si="4"/>
        <v>0.1</v>
      </c>
      <c r="AY24" s="43">
        <f t="shared" si="5"/>
        <v>0.15000000000000002</v>
      </c>
      <c r="AZ24" s="43">
        <f t="shared" si="6"/>
        <v>0.4</v>
      </c>
      <c r="BA24" s="43">
        <f t="shared" si="7"/>
        <v>0.60000000000000009</v>
      </c>
      <c r="BB24" s="139">
        <v>536</v>
      </c>
      <c r="BC24" s="149">
        <f t="shared" si="8"/>
        <v>2144</v>
      </c>
      <c r="BD24" s="45">
        <f>IF(A24&lt;&gt;"",IF(_xlfn.XLOOKUP(A24,'1C'!A:A,'1C'!A:A,0,0)&gt;0,1,0),"")</f>
        <v>0</v>
      </c>
      <c r="BE24" s="145">
        <f>IF(C24&lt;&gt;"",IF(_xlfn.XLOOKUP(TEXT(C24,"###"),'1C'!W:W,'1C'!D:D,0,0)&gt;0,0,1),"")</f>
        <v>1</v>
      </c>
      <c r="BF24" s="72" t="str">
        <f t="shared" si="9"/>
        <v>-</v>
      </c>
    </row>
    <row r="25" spans="1:58" ht="98.1" customHeight="1">
      <c r="A25" s="43" t="str">
        <f t="shared" si="0"/>
        <v>6789MHeather Grey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94-023-01</v>
      </c>
      <c r="C25" s="147" t="s">
        <v>1119</v>
      </c>
      <c r="E25" s="43" t="str">
        <f>IF(F25&lt;&gt;"",IFERROR(VLOOKUP(F25,Категории!A:B,2,0),""),"Требуется категория")</f>
        <v>Бейсболки</v>
      </c>
      <c r="F25" s="44" t="s">
        <v>327</v>
      </c>
      <c r="G25" s="62" t="s">
        <v>1076</v>
      </c>
      <c r="H25" s="44" t="s">
        <v>388</v>
      </c>
      <c r="J25" s="57" t="str">
        <f>'1C'!$AJ$1</f>
        <v>FLEXFIT</v>
      </c>
      <c r="K25" s="100" t="s">
        <v>1120</v>
      </c>
      <c r="L25" s="100" t="s">
        <v>231</v>
      </c>
      <c r="M25" s="62"/>
      <c r="N25" s="62"/>
      <c r="O25" s="62"/>
      <c r="P25" s="62"/>
      <c r="Q25" s="132" t="s">
        <v>874</v>
      </c>
      <c r="R25" s="64"/>
      <c r="S25" s="62" t="s">
        <v>46</v>
      </c>
      <c r="T25" s="58"/>
      <c r="U25" s="58" t="s">
        <v>382</v>
      </c>
      <c r="V25" s="58">
        <v>7</v>
      </c>
      <c r="Y25" s="58"/>
      <c r="AA25" s="58"/>
      <c r="AC25" s="58"/>
      <c r="AE25" s="58"/>
      <c r="AG25" s="58"/>
      <c r="AT25" s="57">
        <f t="shared" si="1"/>
        <v>7</v>
      </c>
      <c r="AU25" s="65" t="s">
        <v>571</v>
      </c>
      <c r="AV25" s="56" t="str">
        <f t="shared" ca="1" si="10"/>
        <v>YupoongInc; 174, Gurodong-ro, Guro-gu, 08285 Seoul, South Korea</v>
      </c>
      <c r="AW25" s="43" t="str">
        <f t="shared" ca="1" si="11"/>
        <v>Бангладеш</v>
      </c>
      <c r="AX25" s="74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B25" s="139">
        <v>517</v>
      </c>
      <c r="BC25" s="149">
        <f t="shared" si="8"/>
        <v>3619</v>
      </c>
      <c r="BD25" s="45">
        <f>IF(A25&lt;&gt;"",IF(_xlfn.XLOOKUP(A25,'1C'!A:A,'1C'!A:A,0,0)&gt;0,1,0),"")</f>
        <v>0</v>
      </c>
      <c r="BE25" s="145">
        <f>IF(C25&lt;&gt;"",IF(_xlfn.XLOOKUP(TEXT(C25,"###"),'1C'!W:W,'1C'!D:D,0,0)&gt;0,0,1),"")</f>
        <v>1</v>
      </c>
      <c r="BF25" s="72" t="str">
        <f t="shared" si="9"/>
        <v>-</v>
      </c>
    </row>
    <row r="26" spans="1:58" ht="98.1" customHeight="1">
      <c r="A26" s="43" t="str">
        <f t="shared" si="0"/>
        <v>6089CCLT. Steel Grey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94-020-80</v>
      </c>
      <c r="C26" s="147" t="s">
        <v>1116</v>
      </c>
      <c r="E26" s="43" t="str">
        <f>IF(F26&lt;&gt;"",IFERROR(VLOOKUP(F26,Категории!A:B,2,0),""),"Требуется категория")</f>
        <v>Бейсболки</v>
      </c>
      <c r="F26" s="44" t="s">
        <v>327</v>
      </c>
      <c r="G26" s="62" t="s">
        <v>1076</v>
      </c>
      <c r="H26" s="44" t="s">
        <v>388</v>
      </c>
      <c r="J26" s="57" t="str">
        <f>'1C'!$AJ$1</f>
        <v>FLEXFIT</v>
      </c>
      <c r="K26" s="100" t="s">
        <v>1133</v>
      </c>
      <c r="L26" s="100" t="s">
        <v>83</v>
      </c>
      <c r="M26" s="62"/>
      <c r="N26" s="62"/>
      <c r="O26" s="62"/>
      <c r="P26" s="62"/>
      <c r="Q26" s="132" t="s">
        <v>875</v>
      </c>
      <c r="R26" s="64"/>
      <c r="S26" s="62" t="s">
        <v>43</v>
      </c>
      <c r="T26" s="58"/>
      <c r="U26" s="58" t="s">
        <v>382</v>
      </c>
      <c r="V26" s="58">
        <v>12</v>
      </c>
      <c r="Y26" s="58"/>
      <c r="AA26" s="58"/>
      <c r="AC26" s="58"/>
      <c r="AE26" s="58"/>
      <c r="AG26" s="58"/>
      <c r="AT26" s="57">
        <f t="shared" si="1"/>
        <v>12</v>
      </c>
      <c r="AU26" s="65" t="s">
        <v>571</v>
      </c>
      <c r="AV26" s="56" t="str">
        <f t="shared" ca="1" si="10"/>
        <v>YupoongInc; 174, Gurodong-ro, Guro-gu, 08285 Seoul, South Korea</v>
      </c>
      <c r="AW26" s="43" t="str">
        <f t="shared" ca="1" si="11"/>
        <v>Бангладеш</v>
      </c>
      <c r="AX26" s="74">
        <f t="shared" si="4"/>
        <v>0.1</v>
      </c>
      <c r="AY26" s="43">
        <f t="shared" si="5"/>
        <v>0.15000000000000002</v>
      </c>
      <c r="AZ26" s="43">
        <f t="shared" si="6"/>
        <v>1.2000000000000002</v>
      </c>
      <c r="BA26" s="43">
        <f t="shared" si="7"/>
        <v>1.8000000000000003</v>
      </c>
      <c r="BB26" s="139">
        <v>517</v>
      </c>
      <c r="BC26" s="149">
        <f t="shared" si="8"/>
        <v>6204</v>
      </c>
      <c r="BD26" s="45">
        <f>IF(A26&lt;&gt;"",IF(_xlfn.XLOOKUP(A26,'1C'!A:A,'1C'!A:A,0,0)&gt;0,1,0),"")</f>
        <v>0</v>
      </c>
      <c r="BE26" s="145">
        <f>IF(C26&lt;&gt;"",IF(_xlfn.XLOOKUP(TEXT(C26,"###"),'1C'!W:W,'1C'!D:D,0,0)&gt;0,0,1),"")</f>
        <v>1</v>
      </c>
      <c r="BF26" s="72" t="str">
        <f t="shared" si="9"/>
        <v>-</v>
      </c>
    </row>
    <row r="27" spans="1:58" ht="98.1" customHeight="1">
      <c r="A27" s="43" t="str">
        <f t="shared" si="0"/>
        <v>6245CMSpruce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94-019-11</v>
      </c>
      <c r="C27" s="147" t="s">
        <v>1115</v>
      </c>
      <c r="E27" s="43" t="str">
        <f>IF(F27&lt;&gt;"",IFERROR(VLOOKUP(F27,Категории!A:B,2,0),""),"Требуется категория")</f>
        <v>Бейсболки</v>
      </c>
      <c r="F27" s="44" t="s">
        <v>327</v>
      </c>
      <c r="G27" s="62" t="s">
        <v>1076</v>
      </c>
      <c r="H27" s="44" t="s">
        <v>388</v>
      </c>
      <c r="J27" s="57" t="str">
        <f>'1C'!$AJ$1</f>
        <v>FLEXFIT</v>
      </c>
      <c r="K27" s="100" t="s">
        <v>1134</v>
      </c>
      <c r="L27" s="100" t="s">
        <v>60</v>
      </c>
      <c r="M27" s="62"/>
      <c r="N27" s="62"/>
      <c r="O27" s="62"/>
      <c r="P27" s="62"/>
      <c r="Q27" s="132" t="s">
        <v>875</v>
      </c>
      <c r="R27" s="64"/>
      <c r="S27" s="62" t="s">
        <v>43</v>
      </c>
      <c r="T27" s="58"/>
      <c r="U27" s="58" t="s">
        <v>382</v>
      </c>
      <c r="V27" s="58">
        <v>6</v>
      </c>
      <c r="Y27" s="58"/>
      <c r="AA27" s="58"/>
      <c r="AC27" s="58"/>
      <c r="AE27" s="58"/>
      <c r="AG27" s="58"/>
      <c r="AT27" s="57">
        <f t="shared" si="1"/>
        <v>6</v>
      </c>
      <c r="AU27" s="65" t="s">
        <v>571</v>
      </c>
      <c r="AV27" s="56" t="str">
        <f t="shared" ca="1" si="10"/>
        <v>YupoongInc; 174, Gurodong-ro, Guro-gu, 08285 Seoul, South Korea</v>
      </c>
      <c r="AW27" s="43" t="str">
        <f t="shared" ca="1" si="11"/>
        <v>Бангладеш</v>
      </c>
      <c r="AX27" s="74">
        <f t="shared" si="4"/>
        <v>0.1</v>
      </c>
      <c r="AY27" s="43">
        <f t="shared" si="5"/>
        <v>0.15000000000000002</v>
      </c>
      <c r="AZ27" s="43">
        <f t="shared" si="6"/>
        <v>0.60000000000000009</v>
      </c>
      <c r="BA27" s="43">
        <f t="shared" si="7"/>
        <v>0.90000000000000013</v>
      </c>
      <c r="BB27" s="139">
        <v>517</v>
      </c>
      <c r="BC27" s="149">
        <f t="shared" si="8"/>
        <v>3102</v>
      </c>
      <c r="BD27" s="45">
        <f>IF(A27&lt;&gt;"",IF(_xlfn.XLOOKUP(A27,'1C'!A:A,'1C'!A:A,0,0)&gt;0,1,0),"")</f>
        <v>0</v>
      </c>
      <c r="BE27" s="145">
        <f>IF(C27&lt;&gt;"",IF(_xlfn.XLOOKUP(TEXT(C27,"###"),'1C'!W:W,'1C'!D:D,0,0)&gt;0,0,1),"")</f>
        <v>1</v>
      </c>
      <c r="BF27" s="72" t="str">
        <f t="shared" si="9"/>
        <v>-</v>
      </c>
    </row>
    <row r="28" spans="1:58" ht="98.1" customHeight="1">
      <c r="A28" s="43" t="str">
        <f t="shared" si="0"/>
        <v>6789MBlack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94-023-09</v>
      </c>
      <c r="C28" s="147" t="s">
        <v>1119</v>
      </c>
      <c r="E28" s="43" t="str">
        <f>IF(F28&lt;&gt;"",IFERROR(VLOOKUP(F28,Категории!A:B,2,0),""),"Требуется категория")</f>
        <v>Бейсболки</v>
      </c>
      <c r="F28" s="44" t="s">
        <v>327</v>
      </c>
      <c r="G28" s="62" t="s">
        <v>1076</v>
      </c>
      <c r="H28" s="44" t="s">
        <v>388</v>
      </c>
      <c r="J28" s="57" t="str">
        <f>'1C'!$AJ$1</f>
        <v>FLEXFIT</v>
      </c>
      <c r="K28" s="100" t="s">
        <v>52</v>
      </c>
      <c r="L28" s="148" t="str">
        <f>IF(K28&lt;&gt;"",IFERROR(VLOOKUP(A28,'1C'!A:X,8,0),IFERROR(VLOOKUP(K28,Colors!D:E,2,0),"")),"")</f>
        <v>черный</v>
      </c>
      <c r="M28" s="62"/>
      <c r="N28" s="62"/>
      <c r="O28" s="62"/>
      <c r="P28" s="62"/>
      <c r="Q28" s="132" t="s">
        <v>874</v>
      </c>
      <c r="R28" s="64"/>
      <c r="S28" s="62" t="s">
        <v>46</v>
      </c>
      <c r="T28" s="58"/>
      <c r="U28" s="58" t="s">
        <v>382</v>
      </c>
      <c r="V28" s="58">
        <v>19</v>
      </c>
      <c r="Y28" s="58"/>
      <c r="AA28" s="58"/>
      <c r="AC28" s="58"/>
      <c r="AE28" s="58"/>
      <c r="AG28" s="58"/>
      <c r="AT28" s="57">
        <f t="shared" si="1"/>
        <v>19</v>
      </c>
      <c r="AU28" s="65" t="s">
        <v>571</v>
      </c>
      <c r="AV28" s="56" t="str">
        <f t="shared" ca="1" si="10"/>
        <v>YupoongInc; 174, Gurodong-ro, Guro-gu, 08285 Seoul, South Korea</v>
      </c>
      <c r="AW28" s="43" t="str">
        <f t="shared" ca="1" si="11"/>
        <v>Бангладеш</v>
      </c>
      <c r="AX28" s="74">
        <f t="shared" si="4"/>
        <v>0.1</v>
      </c>
      <c r="AY28" s="43">
        <f t="shared" si="5"/>
        <v>0.15000000000000002</v>
      </c>
      <c r="AZ28" s="43">
        <f t="shared" si="6"/>
        <v>1.9000000000000001</v>
      </c>
      <c r="BA28" s="43">
        <f t="shared" si="7"/>
        <v>2.8500000000000005</v>
      </c>
      <c r="BB28" s="139">
        <v>780</v>
      </c>
      <c r="BC28" s="149">
        <f t="shared" si="8"/>
        <v>14820</v>
      </c>
      <c r="BD28" s="45">
        <f>IF(A28&lt;&gt;"",IF(_xlfn.XLOOKUP(A28,'1C'!A:A,'1C'!A:A,0,0)&gt;0,1,0),"")</f>
        <v>0</v>
      </c>
      <c r="BE28" s="145">
        <f>IF(C28&lt;&gt;"",IF(_xlfn.XLOOKUP(TEXT(C28,"###"),'1C'!W:W,'1C'!D:D,0,0)&gt;0,0,1),"")</f>
        <v>1</v>
      </c>
      <c r="BF28" s="72" t="str">
        <f t="shared" si="9"/>
        <v>-</v>
      </c>
    </row>
    <row r="29" spans="1:58" ht="98.1" customHeight="1">
      <c r="A29" s="43" t="str">
        <f t="shared" si="0"/>
        <v>110FHeather Grey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94-001-01</v>
      </c>
      <c r="C29" s="147" t="s">
        <v>853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прямым козырьком</v>
      </c>
      <c r="G29" s="56" t="str">
        <f>IF(C29&lt;&gt;"",IF(BD29&gt;0,_xlfn.XLOOKUP(A29,'1C'!A:A,'1C'!L:L,"",0),_xlfn.XLOOKUP(C29,'1C'!W:W,'1C'!L:L,"",0)),"")</f>
        <v>Flexfit</v>
      </c>
      <c r="H29" s="43" t="str">
        <f>IF(A29&lt;&gt;"",_xlfn.XLOOKUP(A29,'1C'!A:A,'1C'!M:M,_xlfn.XLOOKUP(C29,'1C'!W:W,'1C'!M:M,"",0),0))</f>
        <v>всесезон</v>
      </c>
      <c r="J29" s="57" t="str">
        <f>'1C'!$AJ$1</f>
        <v>FLEXFIT</v>
      </c>
      <c r="K29" s="100" t="s">
        <v>1120</v>
      </c>
      <c r="L29" s="148" t="str">
        <f>IF(K29&lt;&gt;"",IFERROR(VLOOKUP(A29,'1C'!A:X,8,0),IFERROR(VLOOKUP(K29,Colors!D:E,2,0),"")),"")</f>
        <v>светло-серый</v>
      </c>
      <c r="M29" s="56" t="str">
        <f>IF(K29&lt;&gt;"",_xlfn.XLOOKUP(A29,'1C'!A:A,'1C'!R:R,"",0),"")</f>
        <v>серый</v>
      </c>
      <c r="N29" s="62"/>
      <c r="O29" s="62"/>
      <c r="P29" s="62"/>
      <c r="Q29" s="152" t="str">
        <f>IF(A29&lt;&gt;"",_xlfn.XLOOKUP(A29,'1C'!A:A,'1C'!I:I,_xlfn.XLOOKUP(C29,'1C'!W:W,'1C'!I:I,"",0),0),"")</f>
        <v>87% акрил - 11% шерсть - 2% спандекс</v>
      </c>
      <c r="R29" s="64"/>
      <c r="S29" s="56" t="str">
        <f>_xlfn.LET(_xlpm.RES,IF(A29&lt;&gt;"",_xlfn.XLOOKUP(A29,'1C'!A:A,'1C'!N:N,_xlfn.XLOOKUP(C29,'1C'!W:W,'1C'!N:N,"",0),0),""),IF(_xlpm.RES=0,"",_xlpm.RES))</f>
        <v>акриловые</v>
      </c>
      <c r="T29" s="58"/>
      <c r="U29" s="59" t="str">
        <f>IF(A29&lt;&gt;"",_xlfn.XLOOKUP(A29,'1C'!A:A,'1C'!K:K,_xlfn.XLOOKUP(C29,'1C'!W:W,'1C'!K:K,"",0),0),"")</f>
        <v>Унисекс</v>
      </c>
      <c r="V29" s="58">
        <v>9</v>
      </c>
      <c r="Y29" s="58"/>
      <c r="AA29" s="58"/>
      <c r="AC29" s="58"/>
      <c r="AE29" s="58"/>
      <c r="AG29" s="58"/>
      <c r="AT29" s="57">
        <f t="shared" si="1"/>
        <v>9</v>
      </c>
      <c r="AU29" s="153" t="str">
        <f>IF(A29&lt;&gt;"",_xlfn.XLOOKUP(_xlfn.XLOOKUP(A29,'1C'!A:A,'1C'!O:O,_xlfn.XLOOKUP(C29,'1C'!W:W,'1C'!O:O,"",0),0),Settings!N:N,Settings!O:O,"",0),"")</f>
        <v>BD</v>
      </c>
      <c r="AV29" s="56" t="str">
        <f t="shared" ca="1" si="10"/>
        <v>YupoongInc; 174, Gurodong-ro, Guro-gu, 08285 Seoul, South Korea</v>
      </c>
      <c r="AW29" s="43" t="str">
        <f t="shared" ca="1" si="11"/>
        <v>Бангладеш</v>
      </c>
      <c r="AX29" s="74">
        <f t="shared" si="4"/>
        <v>0.1</v>
      </c>
      <c r="AY29" s="43">
        <f t="shared" si="5"/>
        <v>0.15000000000000002</v>
      </c>
      <c r="AZ29" s="43">
        <f t="shared" si="6"/>
        <v>0.9</v>
      </c>
      <c r="BA29" s="43">
        <f t="shared" si="7"/>
        <v>1.35</v>
      </c>
      <c r="BB29" s="139">
        <v>560</v>
      </c>
      <c r="BC29" s="149">
        <f t="shared" si="8"/>
        <v>5040</v>
      </c>
      <c r="BD29" s="45">
        <f>IF(A29&lt;&gt;"",IF(_xlfn.XLOOKUP(A29,'1C'!A:A,'1C'!A:A,0,0)&gt;0,1,0),"")</f>
        <v>1</v>
      </c>
      <c r="BE29" s="145">
        <f>IF(C29&lt;&gt;"",IF(_xlfn.XLOOKUP(TEXT(C29,"###"),'1C'!W:W,'1C'!D:D,0,0)&gt;0,0,1),"")</f>
        <v>0</v>
      </c>
      <c r="BF29" s="72">
        <f t="shared" si="9"/>
        <v>0</v>
      </c>
    </row>
    <row r="30" spans="1:58" ht="98.1" customHeight="1">
      <c r="A30" s="43" t="str">
        <f t="shared" si="0"/>
        <v>110FDark Grey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94-001-05</v>
      </c>
      <c r="C30" s="147" t="s">
        <v>853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прямым козырьком</v>
      </c>
      <c r="G30" s="56" t="str">
        <f>IF(C30&lt;&gt;"",IF(BD30&gt;0,_xlfn.XLOOKUP(A30,'1C'!A:A,'1C'!L:L,"",0),_xlfn.XLOOKUP(C30,'1C'!W:W,'1C'!L:L,"",0)),"")</f>
        <v>Flexfit</v>
      </c>
      <c r="H30" s="43" t="str">
        <f>IF(A30&lt;&gt;"",_xlfn.XLOOKUP(A30,'1C'!A:A,'1C'!M:M,_xlfn.XLOOKUP(C30,'1C'!W:W,'1C'!M:M,"",0),0))</f>
        <v>всесезон</v>
      </c>
      <c r="J30" s="59" t="str">
        <f>'1C'!$AJ$1</f>
        <v>FLEXFIT</v>
      </c>
      <c r="K30" s="100" t="s">
        <v>1122</v>
      </c>
      <c r="L30" s="148" t="str">
        <f>IF(K30&lt;&gt;"",IFERROR(VLOOKUP(A30,'1C'!A:X,8,0),IFERROR(VLOOKUP(K30,Colors!D:E,2,0),"")),"")</f>
        <v>темно-серый</v>
      </c>
      <c r="M30" s="56" t="str">
        <f>IF(K30&lt;&gt;"",_xlfn.XLOOKUP(A30,'1C'!A:A,'1C'!R:R,"",0),"")</f>
        <v>серый</v>
      </c>
      <c r="N30" s="62"/>
      <c r="O30" s="62"/>
      <c r="P30" s="62"/>
      <c r="Q30" s="152" t="str">
        <f>IF(A30&lt;&gt;"",_xlfn.XLOOKUP(A30,'1C'!A:A,'1C'!I:I,_xlfn.XLOOKUP(C30,'1C'!W:W,'1C'!I:I,"",0),0),"")</f>
        <v>87% акрил - 11% шерсть - 2% спандекс</v>
      </c>
      <c r="R30" s="64"/>
      <c r="S30" s="56" t="str">
        <f>_xlfn.LET(_xlpm.RES,IF(A30&lt;&gt;"",_xlfn.XLOOKUP(A30,'1C'!A:A,'1C'!N:N,_xlfn.XLOOKUP(C30,'1C'!W:W,'1C'!N:N,"",0),0),""),IF(_xlpm.RES=0,"",_xlpm.RES))</f>
        <v>акриловые</v>
      </c>
      <c r="T30" s="58"/>
      <c r="U30" s="59" t="str">
        <f>IF(A30&lt;&gt;"",_xlfn.XLOOKUP(A30,'1C'!A:A,'1C'!K:K,_xlfn.XLOOKUP(C30,'1C'!W:W,'1C'!K:K,"",0),0),"")</f>
        <v>Унисекс</v>
      </c>
      <c r="V30" s="58">
        <v>18</v>
      </c>
      <c r="Y30" s="58"/>
      <c r="AA30" s="58"/>
      <c r="AC30" s="58"/>
      <c r="AE30" s="58"/>
      <c r="AG30" s="58"/>
      <c r="AT30" s="57">
        <f t="shared" si="1"/>
        <v>18</v>
      </c>
      <c r="AU30" s="153" t="str">
        <f>IF(A30&lt;&gt;"",_xlfn.XLOOKUP(_xlfn.XLOOKUP(A30,'1C'!A:A,'1C'!O:O,_xlfn.XLOOKUP(C30,'1C'!W:W,'1C'!O:O,"",0),0),Settings!N:N,Settings!O:O,"",0),"")</f>
        <v>BD</v>
      </c>
      <c r="AV30" s="56" t="str">
        <f t="shared" ca="1" si="10"/>
        <v>YupoongInc; 174, Gurodong-ro, Guro-gu, 08285 Seoul, South Korea</v>
      </c>
      <c r="AW30" s="43" t="str">
        <f t="shared" ca="1" si="11"/>
        <v>Бангладеш</v>
      </c>
      <c r="AX30" s="74">
        <f t="shared" si="4"/>
        <v>0.1</v>
      </c>
      <c r="AY30" s="43">
        <f t="shared" si="5"/>
        <v>0.15000000000000002</v>
      </c>
      <c r="AZ30" s="43">
        <f t="shared" si="6"/>
        <v>1.8</v>
      </c>
      <c r="BA30" s="43">
        <f t="shared" si="7"/>
        <v>2.7</v>
      </c>
      <c r="BB30" s="139">
        <v>560</v>
      </c>
      <c r="BC30" s="149">
        <f t="shared" si="8"/>
        <v>10080</v>
      </c>
      <c r="BD30" s="45">
        <f>IF(A30&lt;&gt;"",IF(_xlfn.XLOOKUP(A30,'1C'!A:A,'1C'!A:A,0,0)&gt;0,1,0),"")</f>
        <v>1</v>
      </c>
      <c r="BE30" s="145">
        <f>IF(C30&lt;&gt;"",IF(_xlfn.XLOOKUP(TEXT(C30,"###"),'1C'!W:W,'1C'!D:D,0,0)&gt;0,0,1),"")</f>
        <v>0</v>
      </c>
      <c r="BF30" s="72">
        <f t="shared" si="9"/>
        <v>0</v>
      </c>
    </row>
    <row r="31" spans="1:58" ht="98.1" customHeight="1">
      <c r="C31" s="147" t="s">
        <v>47</v>
      </c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1:58" ht="98.1" customHeight="1">
      <c r="C32" s="147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7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7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7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7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7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7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7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7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7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7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7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7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7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7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7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7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7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7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7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7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7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7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7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7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7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7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7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7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7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7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7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7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7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7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7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7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7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7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7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7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7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7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7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7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7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7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7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7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7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7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7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7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7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7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7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7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7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4" workbookViewId="0">
      <selection activeCell="I18" sqref="I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8" t="s">
        <v>453</v>
      </c>
      <c r="C1" s="159"/>
      <c r="D1" s="159"/>
      <c r="E1" s="160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1" t="s">
        <v>466</v>
      </c>
      <c r="C5" s="161"/>
      <c r="D5" s="161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2"/>
      <c r="C6" s="163"/>
      <c r="D6" s="163"/>
      <c r="E6" s="164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8" t="s">
        <v>543</v>
      </c>
      <c r="C8" s="159"/>
      <c r="D8" s="159"/>
      <c r="E8" s="160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5" t="s">
        <v>572</v>
      </c>
      <c r="C9" s="166"/>
      <c r="D9" s="167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5"/>
      <c r="C17" s="156"/>
      <c r="D17" s="156"/>
      <c r="E17" s="157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872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531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50" t="s">
        <v>894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892</v>
      </c>
      <c r="F2" s="126" t="str">
        <v>TOQUILLA PALM</v>
      </c>
      <c r="G2" s="127" t="str">
        <v>солома Токилла</v>
      </c>
      <c r="H2" s="151" t="s">
        <v>893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883</v>
      </c>
      <c r="C31" s="21" t="s">
        <v>884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885</v>
      </c>
      <c r="C32" s="21" t="s">
        <v>886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887</v>
      </c>
      <c r="C33" s="154" t="s">
        <v>887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888</v>
      </c>
      <c r="C34" s="154" t="s">
        <v>888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889</v>
      </c>
      <c r="C36" s="21" t="s">
        <v>890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891</v>
      </c>
      <c r="C37" s="154" t="s">
        <v>891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3"/>
  <sheetViews>
    <sheetView topLeftCell="A799" workbookViewId="0">
      <selection activeCell="A2" sqref="A2:B833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871</v>
      </c>
      <c r="B136" s="113" t="s">
        <v>624</v>
      </c>
      <c r="D136" s="14"/>
      <c r="E136" s="14"/>
    </row>
    <row r="137" spans="1:5">
      <c r="A137" s="112" t="s">
        <v>246</v>
      </c>
      <c r="B137" s="113" t="s">
        <v>625</v>
      </c>
      <c r="D137" s="14"/>
      <c r="E137" s="14"/>
    </row>
    <row r="138" spans="1:5">
      <c r="A138" s="112" t="s">
        <v>133</v>
      </c>
      <c r="B138" s="113" t="s">
        <v>617</v>
      </c>
      <c r="D138" s="14"/>
      <c r="E138" s="14"/>
    </row>
    <row r="139" spans="1:5">
      <c r="A139" s="112" t="s">
        <v>704</v>
      </c>
      <c r="B139" s="113" t="s">
        <v>660</v>
      </c>
      <c r="D139" s="14"/>
      <c r="E139" s="14"/>
    </row>
    <row r="140" spans="1:5">
      <c r="A140" s="112" t="s">
        <v>109</v>
      </c>
      <c r="B140" s="113" t="s">
        <v>624</v>
      </c>
      <c r="D140" s="14"/>
      <c r="E140" s="14"/>
    </row>
    <row r="141" spans="1:5">
      <c r="A141" s="112" t="s">
        <v>83</v>
      </c>
      <c r="B141" s="113" t="s">
        <v>621</v>
      </c>
      <c r="D141" s="14"/>
      <c r="E141" s="14"/>
    </row>
    <row r="142" spans="1:5">
      <c r="A142" s="112" t="s">
        <v>141</v>
      </c>
      <c r="B142" s="113" t="s">
        <v>625</v>
      </c>
      <c r="D142" s="14"/>
      <c r="E142" s="14"/>
    </row>
    <row r="143" spans="1:5">
      <c r="A143" s="112" t="s">
        <v>183</v>
      </c>
      <c r="B143" s="113" t="s">
        <v>632</v>
      </c>
      <c r="D143" s="14"/>
      <c r="E143" s="14"/>
    </row>
    <row r="144" spans="1:5">
      <c r="A144" s="112" t="s">
        <v>185</v>
      </c>
      <c r="B144" s="113" t="s">
        <v>632</v>
      </c>
      <c r="D144" s="14"/>
      <c r="E144" s="14"/>
    </row>
    <row r="145" spans="1:5">
      <c r="A145" s="112" t="s">
        <v>57</v>
      </c>
      <c r="B145" s="113" t="s">
        <v>620</v>
      </c>
      <c r="D145" s="14"/>
      <c r="E145" s="14"/>
    </row>
    <row r="146" spans="1:5">
      <c r="A146" s="112" t="s">
        <v>86</v>
      </c>
      <c r="B146" s="113" t="s">
        <v>622</v>
      </c>
      <c r="D146" s="14"/>
      <c r="E146" s="14"/>
    </row>
    <row r="147" spans="1:5">
      <c r="A147" s="112" t="s">
        <v>296</v>
      </c>
      <c r="B147" s="113" t="s">
        <v>625</v>
      </c>
      <c r="D147" s="14"/>
      <c r="E147" s="14"/>
    </row>
    <row r="148" spans="1:5">
      <c r="A148" s="112" t="s">
        <v>705</v>
      </c>
      <c r="B148" s="113" t="s">
        <v>622</v>
      </c>
      <c r="D148" s="14"/>
      <c r="E148" s="14"/>
    </row>
    <row r="149" spans="1:5">
      <c r="A149" s="112" t="s">
        <v>133</v>
      </c>
      <c r="B149" s="113" t="s">
        <v>596</v>
      </c>
      <c r="D149" s="14"/>
      <c r="E149" s="14"/>
    </row>
    <row r="150" spans="1:5">
      <c r="A150" s="112" t="s">
        <v>175</v>
      </c>
      <c r="B150" s="113" t="s">
        <v>621</v>
      </c>
      <c r="D150" s="14"/>
      <c r="E150" s="14"/>
    </row>
    <row r="151" spans="1:5">
      <c r="A151" s="112" t="s">
        <v>158</v>
      </c>
      <c r="B151" s="113" t="s">
        <v>632</v>
      </c>
      <c r="D151" s="14"/>
      <c r="E151" s="14"/>
    </row>
    <row r="152" spans="1:5">
      <c r="A152" s="112" t="s">
        <v>86</v>
      </c>
      <c r="B152" s="113" t="s">
        <v>666</v>
      </c>
      <c r="D152" s="14"/>
      <c r="E152" s="14"/>
    </row>
    <row r="153" spans="1:5">
      <c r="A153" s="112" t="s">
        <v>68</v>
      </c>
      <c r="B153" s="113" t="s">
        <v>622</v>
      </c>
      <c r="D153" s="14"/>
      <c r="E153" s="14"/>
    </row>
    <row r="154" spans="1:5">
      <c r="A154" s="112" t="s">
        <v>187</v>
      </c>
      <c r="B154" s="113" t="s">
        <v>619</v>
      </c>
      <c r="D154" s="14"/>
      <c r="E154" s="14"/>
    </row>
    <row r="155" spans="1:5">
      <c r="A155" s="112" t="s">
        <v>191</v>
      </c>
      <c r="B155" s="113" t="s">
        <v>611</v>
      </c>
      <c r="D155" s="14"/>
      <c r="E155" s="14"/>
    </row>
    <row r="156" spans="1:5">
      <c r="A156" s="112" t="s">
        <v>144</v>
      </c>
      <c r="B156" s="113" t="s">
        <v>648</v>
      </c>
      <c r="D156" s="14"/>
      <c r="E156" s="14"/>
    </row>
    <row r="157" spans="1:5">
      <c r="A157" s="112" t="s">
        <v>71</v>
      </c>
      <c r="B157" s="113" t="s">
        <v>620</v>
      </c>
      <c r="D157" s="14"/>
      <c r="E157" s="14"/>
    </row>
    <row r="158" spans="1:5">
      <c r="A158" s="112" t="s">
        <v>180</v>
      </c>
      <c r="B158" s="113" t="s">
        <v>621</v>
      </c>
      <c r="D158" s="14"/>
      <c r="E158" s="14"/>
    </row>
    <row r="159" spans="1:5">
      <c r="A159" s="112" t="s">
        <v>241</v>
      </c>
      <c r="B159" s="113" t="s">
        <v>618</v>
      </c>
      <c r="D159" s="14"/>
      <c r="E159" s="14"/>
    </row>
    <row r="160" spans="1:5">
      <c r="A160" s="112" t="s">
        <v>194</v>
      </c>
      <c r="B160" s="113" t="s">
        <v>619</v>
      </c>
      <c r="D160" s="14"/>
      <c r="E160" s="14"/>
    </row>
    <row r="161" spans="1:5">
      <c r="A161" s="112" t="s">
        <v>706</v>
      </c>
      <c r="B161" s="113" t="s">
        <v>626</v>
      </c>
      <c r="D161" s="14"/>
      <c r="E161" s="14"/>
    </row>
    <row r="162" spans="1:5">
      <c r="A162" s="112" t="s">
        <v>236</v>
      </c>
      <c r="B162" s="113" t="s">
        <v>632</v>
      </c>
      <c r="D162" s="14"/>
      <c r="E162" s="14"/>
    </row>
    <row r="163" spans="1:5">
      <c r="A163" s="112" t="s">
        <v>277</v>
      </c>
      <c r="B163" s="113" t="s">
        <v>609</v>
      </c>
      <c r="D163" s="14"/>
      <c r="E163" s="14"/>
    </row>
    <row r="164" spans="1:5">
      <c r="A164" s="112" t="s">
        <v>119</v>
      </c>
      <c r="B164" s="113" t="s">
        <v>625</v>
      </c>
      <c r="D164" s="14"/>
      <c r="E164" s="14"/>
    </row>
    <row r="165" spans="1:5">
      <c r="A165" s="112" t="s">
        <v>271</v>
      </c>
      <c r="B165" s="113" t="s">
        <v>671</v>
      </c>
      <c r="D165" s="14"/>
      <c r="E165" s="14"/>
    </row>
    <row r="166" spans="1:5">
      <c r="A166" s="112" t="s">
        <v>698</v>
      </c>
      <c r="B166" s="113" t="s">
        <v>620</v>
      </c>
      <c r="D166" s="14"/>
      <c r="E166" s="14"/>
    </row>
    <row r="167" spans="1:5">
      <c r="A167" s="112" t="s">
        <v>219</v>
      </c>
      <c r="B167" s="113" t="s">
        <v>630</v>
      </c>
      <c r="D167" s="14"/>
      <c r="E167" s="14"/>
    </row>
    <row r="168" spans="1:5">
      <c r="A168" s="112" t="s">
        <v>186</v>
      </c>
      <c r="B168" s="113" t="s">
        <v>618</v>
      </c>
      <c r="D168" s="14"/>
      <c r="E168" s="14"/>
    </row>
    <row r="169" spans="1:5">
      <c r="A169" s="112" t="s">
        <v>120</v>
      </c>
      <c r="B169" s="113" t="s">
        <v>615</v>
      </c>
      <c r="D169" s="14"/>
      <c r="E169" s="14"/>
    </row>
    <row r="170" spans="1:5">
      <c r="A170" s="112" t="s">
        <v>143</v>
      </c>
      <c r="B170" s="113" t="s">
        <v>632</v>
      </c>
      <c r="D170" s="14"/>
      <c r="E170" s="14"/>
    </row>
    <row r="171" spans="1:5">
      <c r="A171" s="112" t="s">
        <v>157</v>
      </c>
      <c r="B171" s="113" t="s">
        <v>632</v>
      </c>
      <c r="D171" s="14"/>
      <c r="E171" s="14"/>
    </row>
    <row r="172" spans="1:5">
      <c r="A172" s="112" t="s">
        <v>168</v>
      </c>
      <c r="B172" s="113" t="s">
        <v>652</v>
      </c>
      <c r="D172" s="14"/>
      <c r="E172" s="14"/>
    </row>
    <row r="173" spans="1:5">
      <c r="A173" s="112" t="s">
        <v>152</v>
      </c>
      <c r="B173" s="113" t="s">
        <v>652</v>
      </c>
      <c r="D173" s="14"/>
      <c r="E173" s="14"/>
    </row>
    <row r="174" spans="1:5">
      <c r="A174" s="112" t="s">
        <v>139</v>
      </c>
      <c r="B174" s="113" t="s">
        <v>645</v>
      </c>
      <c r="D174" s="14"/>
      <c r="E174" s="14"/>
    </row>
    <row r="175" spans="1:5">
      <c r="A175" s="112" t="s">
        <v>707</v>
      </c>
      <c r="B175" s="113" t="s">
        <v>619</v>
      </c>
      <c r="D175" s="14"/>
      <c r="E175" s="14"/>
    </row>
    <row r="176" spans="1:5">
      <c r="A176" s="112" t="s">
        <v>278</v>
      </c>
      <c r="B176" s="113" t="s">
        <v>614</v>
      </c>
      <c r="D176" s="14"/>
      <c r="E176" s="14"/>
    </row>
    <row r="177" spans="1:5">
      <c r="A177" s="112" t="s">
        <v>279</v>
      </c>
      <c r="B177" s="113" t="s">
        <v>634</v>
      </c>
      <c r="D177" s="14"/>
      <c r="E177" s="14"/>
    </row>
    <row r="178" spans="1:5">
      <c r="A178" s="112" t="s">
        <v>845</v>
      </c>
      <c r="B178" s="113" t="s">
        <v>632</v>
      </c>
      <c r="D178" s="14"/>
      <c r="E178" s="14"/>
    </row>
    <row r="179" spans="1:5">
      <c r="A179" s="112" t="s">
        <v>847</v>
      </c>
      <c r="B179" s="113" t="s">
        <v>632</v>
      </c>
      <c r="D179" s="14"/>
      <c r="E179" s="14"/>
    </row>
    <row r="180" spans="1:5">
      <c r="A180" s="112" t="s">
        <v>169</v>
      </c>
      <c r="B180" s="113" t="s">
        <v>632</v>
      </c>
      <c r="D180" s="14"/>
      <c r="E180" s="14"/>
    </row>
    <row r="181" spans="1:5">
      <c r="A181" s="112" t="s">
        <v>167</v>
      </c>
      <c r="B181" s="113" t="s">
        <v>621</v>
      </c>
      <c r="D181" s="14"/>
      <c r="E181" s="14"/>
    </row>
    <row r="182" spans="1:5">
      <c r="A182" s="112" t="s">
        <v>122</v>
      </c>
      <c r="B182" s="113" t="s">
        <v>606</v>
      </c>
      <c r="D182" s="14"/>
      <c r="E182" s="14"/>
    </row>
    <row r="183" spans="1:5">
      <c r="A183" s="112" t="s">
        <v>164</v>
      </c>
      <c r="B183" s="113" t="s">
        <v>621</v>
      </c>
      <c r="D183" s="14"/>
      <c r="E183" s="14"/>
    </row>
    <row r="184" spans="1:5">
      <c r="A184" s="112" t="s">
        <v>293</v>
      </c>
      <c r="B184" s="113" t="s">
        <v>625</v>
      </c>
      <c r="D184" s="14"/>
      <c r="E184" s="14"/>
    </row>
    <row r="185" spans="1:5">
      <c r="A185" s="112" t="s">
        <v>228</v>
      </c>
      <c r="B185" s="113" t="s">
        <v>708</v>
      </c>
      <c r="D185" s="14"/>
      <c r="E185" s="14"/>
    </row>
    <row r="186" spans="1:5">
      <c r="A186" s="112" t="s">
        <v>220</v>
      </c>
      <c r="B186" s="113" t="s">
        <v>663</v>
      </c>
      <c r="D186" s="14"/>
      <c r="E186" s="14"/>
    </row>
    <row r="187" spans="1:5">
      <c r="A187" s="112" t="s">
        <v>83</v>
      </c>
      <c r="B187" s="113" t="s">
        <v>619</v>
      </c>
      <c r="D187" s="14"/>
      <c r="E187" s="14"/>
    </row>
    <row r="188" spans="1:5">
      <c r="A188" s="112" t="s">
        <v>109</v>
      </c>
      <c r="B188" s="113" t="s">
        <v>637</v>
      </c>
      <c r="D188" s="14"/>
      <c r="E188" s="14"/>
    </row>
    <row r="189" spans="1:5">
      <c r="A189" s="112" t="s">
        <v>296</v>
      </c>
      <c r="B189" s="113" t="s">
        <v>630</v>
      </c>
      <c r="D189" s="14"/>
      <c r="E189" s="14"/>
    </row>
    <row r="190" spans="1:5">
      <c r="A190" s="112" t="s">
        <v>158</v>
      </c>
      <c r="B190" s="113" t="s">
        <v>630</v>
      </c>
      <c r="D190" s="14"/>
      <c r="E190" s="14"/>
    </row>
    <row r="191" spans="1:5">
      <c r="A191" s="112" t="s">
        <v>192</v>
      </c>
      <c r="B191" s="113" t="s">
        <v>643</v>
      </c>
      <c r="D191" s="14"/>
      <c r="E191" s="14"/>
    </row>
    <row r="192" spans="1:5">
      <c r="A192" s="112" t="s">
        <v>807</v>
      </c>
      <c r="B192" s="113" t="s">
        <v>643</v>
      </c>
      <c r="D192" s="14"/>
      <c r="E192" s="14"/>
    </row>
    <row r="193" spans="1:5">
      <c r="A193" s="112" t="s">
        <v>156</v>
      </c>
      <c r="B193" s="113" t="s">
        <v>647</v>
      </c>
      <c r="D193" s="14"/>
      <c r="E193" s="14"/>
    </row>
    <row r="194" spans="1:5">
      <c r="A194" s="112" t="s">
        <v>79</v>
      </c>
      <c r="B194" s="113" t="s">
        <v>635</v>
      </c>
      <c r="D194" s="14"/>
      <c r="E194" s="14"/>
    </row>
    <row r="195" spans="1:5">
      <c r="A195" s="112" t="s">
        <v>71</v>
      </c>
      <c r="B195" s="113" t="s">
        <v>617</v>
      </c>
      <c r="D195" s="14"/>
      <c r="E195" s="14"/>
    </row>
    <row r="196" spans="1:5">
      <c r="A196" s="112" t="s">
        <v>245</v>
      </c>
      <c r="B196" s="113" t="s">
        <v>708</v>
      </c>
      <c r="D196" s="14"/>
      <c r="E196" s="14"/>
    </row>
    <row r="197" spans="1:5">
      <c r="A197" s="112" t="s">
        <v>71</v>
      </c>
      <c r="B197" s="113" t="s">
        <v>619</v>
      </c>
      <c r="D197" s="14"/>
      <c r="E197" s="14"/>
    </row>
    <row r="198" spans="1:5">
      <c r="A198" s="112" t="s">
        <v>55</v>
      </c>
      <c r="B198" s="113" t="s">
        <v>628</v>
      </c>
      <c r="D198" s="14"/>
      <c r="E198" s="14"/>
    </row>
    <row r="199" spans="1:5">
      <c r="A199" s="112" t="s">
        <v>313</v>
      </c>
      <c r="B199" s="113" t="s">
        <v>617</v>
      </c>
      <c r="D199" s="14"/>
      <c r="E199" s="14"/>
    </row>
    <row r="200" spans="1:5">
      <c r="A200" s="112" t="s">
        <v>300</v>
      </c>
      <c r="B200" s="113" t="s">
        <v>647</v>
      </c>
      <c r="D200" s="14"/>
      <c r="E200" s="14"/>
    </row>
    <row r="201" spans="1:5">
      <c r="A201" s="112" t="s">
        <v>60</v>
      </c>
      <c r="B201" s="113" t="s">
        <v>617</v>
      </c>
      <c r="D201" s="14"/>
      <c r="E201" s="14"/>
    </row>
    <row r="202" spans="1:5">
      <c r="A202" s="112" t="s">
        <v>216</v>
      </c>
      <c r="B202" s="113" t="s">
        <v>662</v>
      </c>
      <c r="D202" s="14"/>
      <c r="E202" s="14"/>
    </row>
    <row r="203" spans="1:5">
      <c r="A203" s="112" t="s">
        <v>63</v>
      </c>
      <c r="B203" s="113" t="s">
        <v>621</v>
      </c>
      <c r="D203" s="14"/>
      <c r="E203" s="14"/>
    </row>
    <row r="204" spans="1:5">
      <c r="A204" s="112" t="s">
        <v>261</v>
      </c>
      <c r="B204" s="113" t="s">
        <v>613</v>
      </c>
      <c r="D204" s="14"/>
      <c r="E204" s="14"/>
    </row>
    <row r="205" spans="1:5">
      <c r="A205" s="112" t="s">
        <v>87</v>
      </c>
      <c r="B205" s="113" t="s">
        <v>606</v>
      </c>
      <c r="D205" s="14"/>
      <c r="E205" s="14"/>
    </row>
    <row r="206" spans="1:5">
      <c r="A206" s="112" t="s">
        <v>110</v>
      </c>
      <c r="B206" s="113" t="s">
        <v>647</v>
      </c>
      <c r="D206" s="14"/>
      <c r="E206" s="14"/>
    </row>
    <row r="207" spans="1:5">
      <c r="A207" s="112" t="s">
        <v>250</v>
      </c>
      <c r="B207" s="113" t="s">
        <v>628</v>
      </c>
      <c r="D207" s="14"/>
      <c r="E207" s="14"/>
    </row>
    <row r="208" spans="1:5">
      <c r="A208" s="112" t="s">
        <v>149</v>
      </c>
      <c r="B208" s="113" t="s">
        <v>624</v>
      </c>
      <c r="D208" s="14"/>
      <c r="E208" s="14"/>
    </row>
    <row r="209" spans="1:5">
      <c r="A209" s="112" t="s">
        <v>252</v>
      </c>
      <c r="B209" s="113" t="s">
        <v>628</v>
      </c>
      <c r="D209" s="14"/>
      <c r="E209" s="14"/>
    </row>
    <row r="210" spans="1:5">
      <c r="A210" s="112" t="s">
        <v>142</v>
      </c>
      <c r="B210" s="113" t="s">
        <v>647</v>
      </c>
      <c r="D210" s="14"/>
      <c r="E210" s="14"/>
    </row>
    <row r="211" spans="1:5">
      <c r="A211" s="112" t="s">
        <v>81</v>
      </c>
      <c r="B211" s="113" t="s">
        <v>635</v>
      </c>
      <c r="D211" s="14"/>
      <c r="E211" s="14"/>
    </row>
    <row r="212" spans="1:5">
      <c r="A212" s="112" t="s">
        <v>141</v>
      </c>
      <c r="B212" s="113" t="s">
        <v>598</v>
      </c>
      <c r="D212" s="14"/>
      <c r="E212" s="14"/>
    </row>
    <row r="213" spans="1:5">
      <c r="A213" s="112" t="s">
        <v>238</v>
      </c>
      <c r="B213" s="113" t="s">
        <v>645</v>
      </c>
      <c r="D213" s="14"/>
      <c r="E213" s="14"/>
    </row>
    <row r="214" spans="1:5">
      <c r="A214" s="112" t="s">
        <v>84</v>
      </c>
      <c r="B214" s="113" t="s">
        <v>606</v>
      </c>
      <c r="D214" s="14"/>
      <c r="E214" s="14"/>
    </row>
    <row r="215" spans="1:5">
      <c r="A215" s="112" t="s">
        <v>171</v>
      </c>
      <c r="B215" s="113" t="s">
        <v>635</v>
      </c>
      <c r="D215" s="14"/>
      <c r="E215" s="14"/>
    </row>
    <row r="216" spans="1:5">
      <c r="A216" s="112" t="s">
        <v>311</v>
      </c>
      <c r="B216" s="113" t="s">
        <v>617</v>
      </c>
      <c r="D216" s="14"/>
      <c r="E216" s="14"/>
    </row>
    <row r="217" spans="1:5">
      <c r="A217" s="112" t="s">
        <v>182</v>
      </c>
      <c r="B217" s="113" t="s">
        <v>654</v>
      </c>
      <c r="D217" s="14"/>
      <c r="E217" s="14"/>
    </row>
    <row r="218" spans="1:5">
      <c r="A218" s="112" t="s">
        <v>271</v>
      </c>
      <c r="B218" s="113" t="s">
        <v>666</v>
      </c>
      <c r="D218" s="14"/>
      <c r="E218" s="14"/>
    </row>
    <row r="219" spans="1:5">
      <c r="A219" s="112" t="s">
        <v>60</v>
      </c>
      <c r="B219" s="113" t="s">
        <v>627</v>
      </c>
      <c r="D219" s="14"/>
      <c r="E219" s="14"/>
    </row>
    <row r="220" spans="1:5">
      <c r="A220" s="112" t="s">
        <v>290</v>
      </c>
      <c r="B220" s="113" t="s">
        <v>632</v>
      </c>
      <c r="D220" s="14"/>
      <c r="E220" s="14"/>
    </row>
    <row r="221" spans="1:5">
      <c r="A221" s="112" t="s">
        <v>221</v>
      </c>
      <c r="B221" s="113" t="s">
        <v>664</v>
      </c>
      <c r="D221" s="14"/>
      <c r="E221" s="14"/>
    </row>
    <row r="222" spans="1:5">
      <c r="A222" s="112" t="s">
        <v>836</v>
      </c>
      <c r="B222" s="113" t="s">
        <v>664</v>
      </c>
      <c r="D222" s="14"/>
      <c r="E222" s="14"/>
    </row>
    <row r="223" spans="1:5">
      <c r="A223" s="112" t="s">
        <v>299</v>
      </c>
      <c r="B223" s="113" t="s">
        <v>625</v>
      </c>
      <c r="D223" s="14"/>
      <c r="E223" s="14"/>
    </row>
    <row r="224" spans="1:5">
      <c r="A224" s="112" t="s">
        <v>205</v>
      </c>
      <c r="B224" s="113" t="s">
        <v>670</v>
      </c>
      <c r="D224" s="14"/>
      <c r="E224" s="14"/>
    </row>
    <row r="225" spans="1:5">
      <c r="A225" s="112" t="s">
        <v>86</v>
      </c>
      <c r="B225" s="113" t="s">
        <v>630</v>
      </c>
      <c r="D225" s="14"/>
      <c r="E225" s="14"/>
    </row>
    <row r="226" spans="1:5">
      <c r="A226" s="112" t="s">
        <v>247</v>
      </c>
      <c r="B226" s="113" t="s">
        <v>668</v>
      </c>
      <c r="D226" s="14"/>
      <c r="E226" s="14"/>
    </row>
    <row r="227" spans="1:5">
      <c r="A227" s="112" t="s">
        <v>174</v>
      </c>
      <c r="B227" s="113" t="s">
        <v>600</v>
      </c>
      <c r="D227" s="14"/>
      <c r="E227" s="14"/>
    </row>
    <row r="228" spans="1:5">
      <c r="A228" s="112" t="s">
        <v>71</v>
      </c>
      <c r="B228" s="113" t="s">
        <v>596</v>
      </c>
      <c r="D228" s="14"/>
      <c r="E228" s="14"/>
    </row>
    <row r="229" spans="1:5">
      <c r="A229" s="112" t="s">
        <v>256</v>
      </c>
      <c r="B229" s="113" t="s">
        <v>606</v>
      </c>
      <c r="D229" s="14"/>
      <c r="E229" s="14"/>
    </row>
    <row r="230" spans="1:5">
      <c r="A230" s="112" t="s">
        <v>313</v>
      </c>
      <c r="B230" s="113" t="s">
        <v>632</v>
      </c>
      <c r="D230" s="14"/>
      <c r="E230" s="14"/>
    </row>
    <row r="231" spans="1:5">
      <c r="A231" s="112" t="s">
        <v>183</v>
      </c>
      <c r="B231" s="113" t="s">
        <v>618</v>
      </c>
      <c r="D231" s="14"/>
      <c r="E231" s="14"/>
    </row>
    <row r="232" spans="1:5">
      <c r="A232" s="112" t="s">
        <v>253</v>
      </c>
      <c r="B232" s="113" t="s">
        <v>628</v>
      </c>
      <c r="D232" s="14"/>
      <c r="E232" s="14"/>
    </row>
    <row r="233" spans="1:5">
      <c r="A233" s="112" t="s">
        <v>709</v>
      </c>
      <c r="B233" s="113" t="s">
        <v>623</v>
      </c>
      <c r="D233" s="14"/>
      <c r="E233" s="14"/>
    </row>
    <row r="234" spans="1:5">
      <c r="A234" s="112" t="s">
        <v>710</v>
      </c>
      <c r="B234" s="113" t="s">
        <v>619</v>
      </c>
      <c r="D234" s="14"/>
      <c r="E234" s="14"/>
    </row>
    <row r="235" spans="1:5">
      <c r="A235" s="112" t="s">
        <v>111</v>
      </c>
      <c r="B235" s="113" t="s">
        <v>632</v>
      </c>
      <c r="D235" s="14"/>
      <c r="E235" s="14"/>
    </row>
    <row r="236" spans="1:5">
      <c r="A236" s="112" t="s">
        <v>108</v>
      </c>
      <c r="B236" s="113" t="s">
        <v>632</v>
      </c>
      <c r="D236" s="14"/>
      <c r="E236" s="14"/>
    </row>
    <row r="237" spans="1:5">
      <c r="A237" s="112" t="s">
        <v>166</v>
      </c>
      <c r="B237" s="113" t="s">
        <v>644</v>
      </c>
      <c r="D237" s="14"/>
      <c r="E237" s="14"/>
    </row>
    <row r="238" spans="1:5">
      <c r="A238" s="112" t="s">
        <v>711</v>
      </c>
      <c r="B238" s="113" t="s">
        <v>620</v>
      </c>
      <c r="D238" s="14"/>
      <c r="E238" s="14"/>
    </row>
    <row r="239" spans="1:5">
      <c r="A239" s="112" t="s">
        <v>712</v>
      </c>
      <c r="B239" s="113" t="s">
        <v>618</v>
      </c>
      <c r="D239" s="14"/>
      <c r="E239" s="14"/>
    </row>
    <row r="240" spans="1:5">
      <c r="A240" s="112" t="s">
        <v>256</v>
      </c>
      <c r="B240" s="113" t="s">
        <v>632</v>
      </c>
      <c r="D240" s="14"/>
      <c r="E240" s="14"/>
    </row>
    <row r="241" spans="1:5">
      <c r="A241" s="112" t="s">
        <v>286</v>
      </c>
      <c r="B241" s="113" t="s">
        <v>622</v>
      </c>
      <c r="D241" s="14"/>
      <c r="E241" s="14"/>
    </row>
    <row r="242" spans="1:5">
      <c r="A242" s="112" t="s">
        <v>713</v>
      </c>
      <c r="B242" s="113" t="s">
        <v>621</v>
      </c>
      <c r="D242" s="14"/>
      <c r="E242" s="14"/>
    </row>
    <row r="243" spans="1:5">
      <c r="A243" s="112" t="s">
        <v>714</v>
      </c>
      <c r="B243" s="113" t="s">
        <v>630</v>
      </c>
      <c r="D243" s="14"/>
      <c r="E243" s="14"/>
    </row>
    <row r="244" spans="1:5">
      <c r="A244" s="112" t="s">
        <v>241</v>
      </c>
      <c r="B244" s="113" t="s">
        <v>619</v>
      </c>
      <c r="D244" s="14"/>
      <c r="E244" s="14"/>
    </row>
    <row r="245" spans="1:5">
      <c r="A245" s="112" t="s">
        <v>703</v>
      </c>
      <c r="B245" s="113" t="s">
        <v>647</v>
      </c>
      <c r="D245" s="14"/>
      <c r="E245" s="14"/>
    </row>
    <row r="246" spans="1:5">
      <c r="A246" s="112" t="s">
        <v>165</v>
      </c>
      <c r="B246" s="113" t="s">
        <v>621</v>
      </c>
      <c r="D246" s="14"/>
      <c r="E246" s="14"/>
    </row>
    <row r="247" spans="1:5">
      <c r="A247" s="112" t="s">
        <v>96</v>
      </c>
      <c r="B247" s="113" t="s">
        <v>606</v>
      </c>
      <c r="D247" s="14"/>
      <c r="E247" s="14"/>
    </row>
    <row r="248" spans="1:5">
      <c r="A248" s="112" t="s">
        <v>302</v>
      </c>
      <c r="B248" s="113" t="s">
        <v>618</v>
      </c>
      <c r="D248" s="14"/>
      <c r="E248" s="14"/>
    </row>
    <row r="249" spans="1:5">
      <c r="A249" s="112" t="s">
        <v>308</v>
      </c>
      <c r="B249" s="113" t="s">
        <v>619</v>
      </c>
      <c r="D249" s="14"/>
      <c r="E249" s="14"/>
    </row>
    <row r="250" spans="1:5">
      <c r="A250" s="112" t="s">
        <v>715</v>
      </c>
      <c r="B250" s="113" t="s">
        <v>622</v>
      </c>
      <c r="D250" s="14"/>
      <c r="E250" s="14"/>
    </row>
    <row r="251" spans="1:5">
      <c r="A251" s="112" t="s">
        <v>175</v>
      </c>
      <c r="B251" s="113" t="s">
        <v>655</v>
      </c>
      <c r="D251" s="14"/>
      <c r="E251" s="14"/>
    </row>
    <row r="252" spans="1:5">
      <c r="A252" s="112" t="s">
        <v>160</v>
      </c>
      <c r="B252" s="113" t="s">
        <v>621</v>
      </c>
      <c r="D252" s="14"/>
      <c r="E252" s="14"/>
    </row>
    <row r="253" spans="1:5">
      <c r="A253" s="112" t="s">
        <v>716</v>
      </c>
      <c r="B253" s="113" t="s">
        <v>675</v>
      </c>
      <c r="D253" s="14"/>
      <c r="E253" s="14"/>
    </row>
    <row r="254" spans="1:5">
      <c r="A254" s="112" t="s">
        <v>101</v>
      </c>
      <c r="B254" s="113" t="s">
        <v>631</v>
      </c>
      <c r="D254" s="14"/>
      <c r="E254" s="14"/>
    </row>
    <row r="255" spans="1:5">
      <c r="A255" s="112" t="s">
        <v>53</v>
      </c>
      <c r="B255" s="113" t="s">
        <v>608</v>
      </c>
      <c r="D255" s="14"/>
      <c r="E255" s="14"/>
    </row>
    <row r="256" spans="1:5">
      <c r="A256" s="112" t="s">
        <v>261</v>
      </c>
      <c r="B256" s="113" t="s">
        <v>611</v>
      </c>
      <c r="D256" s="14"/>
      <c r="E256" s="14"/>
    </row>
    <row r="257" spans="1:5">
      <c r="A257" s="112" t="s">
        <v>717</v>
      </c>
      <c r="B257" s="113" t="s">
        <v>708</v>
      </c>
      <c r="D257" s="14"/>
      <c r="E257" s="14"/>
    </row>
    <row r="258" spans="1:5">
      <c r="A258" s="112" t="s">
        <v>142</v>
      </c>
      <c r="B258" s="113" t="s">
        <v>646</v>
      </c>
      <c r="D258" s="14"/>
      <c r="E258" s="14"/>
    </row>
    <row r="259" spans="1:5">
      <c r="A259" s="112" t="s">
        <v>194</v>
      </c>
      <c r="B259" s="113" t="s">
        <v>610</v>
      </c>
      <c r="D259" s="14"/>
      <c r="E259" s="14"/>
    </row>
    <row r="260" spans="1:5">
      <c r="A260" s="112" t="s">
        <v>233</v>
      </c>
      <c r="B260" s="113" t="s">
        <v>617</v>
      </c>
      <c r="D260" s="14"/>
      <c r="E260" s="14"/>
    </row>
    <row r="261" spans="1:5">
      <c r="A261" s="112" t="s">
        <v>276</v>
      </c>
      <c r="B261" s="113" t="s">
        <v>660</v>
      </c>
      <c r="D261" s="14"/>
      <c r="E261" s="14"/>
    </row>
    <row r="262" spans="1:5">
      <c r="A262" s="112" t="s">
        <v>718</v>
      </c>
      <c r="B262" s="113" t="s">
        <v>693</v>
      </c>
      <c r="D262" s="14"/>
      <c r="E262" s="14"/>
    </row>
    <row r="263" spans="1:5">
      <c r="A263" s="112" t="s">
        <v>719</v>
      </c>
      <c r="B263" s="113" t="s">
        <v>606</v>
      </c>
      <c r="D263" s="14"/>
      <c r="E263" s="14"/>
    </row>
    <row r="264" spans="1:5">
      <c r="A264" s="112" t="s">
        <v>720</v>
      </c>
      <c r="B264" s="113" t="s">
        <v>671</v>
      </c>
      <c r="D264" s="14"/>
      <c r="E264" s="14"/>
    </row>
    <row r="265" spans="1:5">
      <c r="A265" s="112" t="s">
        <v>721</v>
      </c>
      <c r="B265" s="113" t="s">
        <v>666</v>
      </c>
      <c r="D265" s="14"/>
      <c r="E265" s="14"/>
    </row>
    <row r="266" spans="1:5">
      <c r="A266" s="112" t="s">
        <v>204</v>
      </c>
      <c r="B266" s="113" t="s">
        <v>689</v>
      </c>
      <c r="D266" s="14"/>
      <c r="E266" s="14"/>
    </row>
    <row r="267" spans="1:5">
      <c r="A267" s="112" t="s">
        <v>204</v>
      </c>
      <c r="B267" s="113" t="s">
        <v>632</v>
      </c>
      <c r="D267" s="14"/>
      <c r="E267" s="14"/>
    </row>
    <row r="268" spans="1:5">
      <c r="A268" s="112" t="s">
        <v>226</v>
      </c>
      <c r="B268" s="113" t="s">
        <v>664</v>
      </c>
      <c r="D268" s="14"/>
      <c r="E268" s="14"/>
    </row>
    <row r="269" spans="1:5">
      <c r="A269" s="112" t="s">
        <v>837</v>
      </c>
      <c r="B269" s="113" t="s">
        <v>664</v>
      </c>
      <c r="D269" s="14"/>
      <c r="E269" s="14"/>
    </row>
    <row r="270" spans="1:5">
      <c r="A270" s="112" t="s">
        <v>722</v>
      </c>
      <c r="B270" s="113" t="s">
        <v>640</v>
      </c>
      <c r="D270" s="14"/>
      <c r="E270" s="14"/>
    </row>
    <row r="271" spans="1:5">
      <c r="A271" s="112" t="s">
        <v>723</v>
      </c>
      <c r="B271" s="113" t="s">
        <v>635</v>
      </c>
      <c r="D271" s="14"/>
      <c r="E271" s="14"/>
    </row>
    <row r="272" spans="1:5">
      <c r="A272" s="112" t="s">
        <v>266</v>
      </c>
      <c r="B272" s="113" t="s">
        <v>643</v>
      </c>
      <c r="D272" s="14"/>
      <c r="E272" s="14"/>
    </row>
    <row r="273" spans="1:5">
      <c r="A273" s="112" t="s">
        <v>724</v>
      </c>
      <c r="B273" s="113" t="s">
        <v>670</v>
      </c>
      <c r="D273" s="14"/>
      <c r="E273" s="14"/>
    </row>
    <row r="274" spans="1:5">
      <c r="A274" s="112" t="s">
        <v>313</v>
      </c>
      <c r="B274" s="113" t="s">
        <v>644</v>
      </c>
      <c r="D274" s="14"/>
      <c r="E274" s="14"/>
    </row>
    <row r="275" spans="1:5">
      <c r="A275" s="112" t="s">
        <v>204</v>
      </c>
      <c r="B275" s="113" t="s">
        <v>660</v>
      </c>
      <c r="D275" s="14"/>
      <c r="E275" s="14"/>
    </row>
    <row r="276" spans="1:5">
      <c r="A276" s="112" t="s">
        <v>81</v>
      </c>
      <c r="B276" s="113" t="s">
        <v>631</v>
      </c>
      <c r="D276" s="14"/>
      <c r="E276" s="14"/>
    </row>
    <row r="277" spans="1:5">
      <c r="A277" s="112" t="s">
        <v>725</v>
      </c>
      <c r="B277" s="113" t="s">
        <v>624</v>
      </c>
      <c r="D277" s="14"/>
      <c r="E277" s="14"/>
    </row>
    <row r="278" spans="1:5">
      <c r="A278" s="112" t="s">
        <v>308</v>
      </c>
      <c r="B278" s="113" t="s">
        <v>625</v>
      </c>
      <c r="D278" s="14"/>
      <c r="E278" s="14"/>
    </row>
    <row r="279" spans="1:5">
      <c r="A279" s="112" t="s">
        <v>194</v>
      </c>
      <c r="B279" s="113" t="s">
        <v>605</v>
      </c>
      <c r="D279" s="14"/>
      <c r="E279" s="14"/>
    </row>
    <row r="280" spans="1:5">
      <c r="A280" s="112" t="s">
        <v>233</v>
      </c>
      <c r="B280" s="113" t="s">
        <v>616</v>
      </c>
      <c r="D280" s="14"/>
      <c r="E280" s="14"/>
    </row>
    <row r="281" spans="1:5">
      <c r="A281" s="112" t="s">
        <v>276</v>
      </c>
      <c r="B281" s="113" t="s">
        <v>689</v>
      </c>
      <c r="D281" s="14"/>
      <c r="E281" s="14"/>
    </row>
    <row r="282" spans="1:5">
      <c r="A282" s="112" t="s">
        <v>726</v>
      </c>
      <c r="B282" s="113" t="s">
        <v>618</v>
      </c>
      <c r="D282" s="14"/>
      <c r="E282" s="14"/>
    </row>
    <row r="283" spans="1:5">
      <c r="A283" s="112" t="s">
        <v>727</v>
      </c>
      <c r="B283" s="113" t="s">
        <v>660</v>
      </c>
      <c r="D283" s="14"/>
      <c r="E283" s="14"/>
    </row>
    <row r="284" spans="1:5">
      <c r="A284" s="112" t="s">
        <v>592</v>
      </c>
      <c r="B284" s="113" t="s">
        <v>620</v>
      </c>
      <c r="D284" s="14"/>
      <c r="E284" s="14"/>
    </row>
    <row r="285" spans="1:5">
      <c r="A285" s="112" t="s">
        <v>302</v>
      </c>
      <c r="B285" s="113" t="s">
        <v>625</v>
      </c>
      <c r="D285" s="14"/>
      <c r="E285" s="14"/>
    </row>
    <row r="286" spans="1:5">
      <c r="A286" s="112" t="s">
        <v>161</v>
      </c>
      <c r="B286" s="113" t="s">
        <v>728</v>
      </c>
      <c r="D286" s="14"/>
      <c r="E286" s="14"/>
    </row>
    <row r="287" spans="1:5">
      <c r="A287" s="112" t="s">
        <v>205</v>
      </c>
      <c r="B287" s="113" t="s">
        <v>708</v>
      </c>
      <c r="D287" s="14"/>
      <c r="E287" s="14"/>
    </row>
    <row r="288" spans="1:5">
      <c r="A288" s="112" t="s">
        <v>68</v>
      </c>
      <c r="B288" s="113" t="s">
        <v>631</v>
      </c>
      <c r="D288" s="14"/>
      <c r="E288" s="14"/>
    </row>
    <row r="289" spans="1:5">
      <c r="A289" s="112" t="s">
        <v>256</v>
      </c>
      <c r="B289" s="113" t="s">
        <v>597</v>
      </c>
      <c r="D289" s="14"/>
      <c r="E289" s="14"/>
    </row>
    <row r="290" spans="1:5">
      <c r="A290" s="112" t="s">
        <v>261</v>
      </c>
      <c r="B290" s="113" t="s">
        <v>643</v>
      </c>
      <c r="D290" s="14"/>
      <c r="E290" s="14"/>
    </row>
    <row r="291" spans="1:5">
      <c r="A291" s="112" t="s">
        <v>275</v>
      </c>
      <c r="B291" s="113" t="s">
        <v>657</v>
      </c>
      <c r="D291" s="14"/>
      <c r="E291" s="14"/>
    </row>
    <row r="292" spans="1:5">
      <c r="A292" s="112" t="s">
        <v>136</v>
      </c>
      <c r="B292" s="113" t="s">
        <v>634</v>
      </c>
      <c r="D292" s="14"/>
      <c r="E292" s="14"/>
    </row>
    <row r="293" spans="1:5">
      <c r="A293" s="112" t="s">
        <v>176</v>
      </c>
      <c r="B293" s="113" t="s">
        <v>655</v>
      </c>
      <c r="D293" s="14"/>
      <c r="E293" s="14"/>
    </row>
    <row r="294" spans="1:5">
      <c r="A294" s="112" t="s">
        <v>284</v>
      </c>
      <c r="B294" s="113" t="s">
        <v>643</v>
      </c>
      <c r="D294" s="14"/>
      <c r="E294" s="14"/>
    </row>
    <row r="295" spans="1:5">
      <c r="A295" s="112" t="s">
        <v>729</v>
      </c>
      <c r="B295" s="113" t="s">
        <v>606</v>
      </c>
      <c r="D295" s="14"/>
      <c r="E295" s="14"/>
    </row>
    <row r="296" spans="1:5">
      <c r="A296" s="112" t="s">
        <v>730</v>
      </c>
      <c r="B296" s="113" t="s">
        <v>697</v>
      </c>
      <c r="D296" s="14"/>
      <c r="E296" s="14"/>
    </row>
    <row r="297" spans="1:5">
      <c r="A297" s="112" t="s">
        <v>731</v>
      </c>
      <c r="B297" s="113" t="s">
        <v>663</v>
      </c>
      <c r="D297" s="14"/>
      <c r="E297" s="14"/>
    </row>
    <row r="298" spans="1:5">
      <c r="A298" s="112" t="s">
        <v>236</v>
      </c>
      <c r="B298" s="113" t="s">
        <v>605</v>
      </c>
      <c r="D298" s="14"/>
      <c r="E298" s="14"/>
    </row>
    <row r="299" spans="1:5">
      <c r="A299" s="112" t="s">
        <v>74</v>
      </c>
      <c r="B299" s="113" t="s">
        <v>634</v>
      </c>
      <c r="D299" s="14"/>
      <c r="E299" s="14"/>
    </row>
    <row r="300" spans="1:5">
      <c r="A300" s="112" t="s">
        <v>96</v>
      </c>
      <c r="B300" s="113" t="s">
        <v>605</v>
      </c>
      <c r="D300" s="14"/>
      <c r="E300" s="14"/>
    </row>
    <row r="301" spans="1:5">
      <c r="A301" s="112" t="s">
        <v>98</v>
      </c>
      <c r="B301" s="113" t="s">
        <v>672</v>
      </c>
      <c r="D301" s="14"/>
      <c r="E301" s="14"/>
    </row>
    <row r="302" spans="1:5">
      <c r="A302" s="112" t="s">
        <v>680</v>
      </c>
      <c r="B302" s="113" t="s">
        <v>617</v>
      </c>
      <c r="D302" s="14"/>
      <c r="E302" s="14"/>
    </row>
    <row r="303" spans="1:5">
      <c r="A303" s="112" t="s">
        <v>186</v>
      </c>
      <c r="B303" s="113" t="s">
        <v>732</v>
      </c>
      <c r="D303" s="14"/>
      <c r="E303" s="14"/>
    </row>
    <row r="304" spans="1:5">
      <c r="A304" s="112" t="s">
        <v>190</v>
      </c>
      <c r="B304" s="113" t="s">
        <v>660</v>
      </c>
      <c r="D304" s="14"/>
      <c r="E304" s="14"/>
    </row>
    <row r="305" spans="1:5">
      <c r="A305" s="112" t="s">
        <v>733</v>
      </c>
      <c r="B305" s="113" t="s">
        <v>708</v>
      </c>
      <c r="D305" s="14"/>
      <c r="E305" s="14"/>
    </row>
    <row r="306" spans="1:5">
      <c r="A306" s="112" t="s">
        <v>279</v>
      </c>
      <c r="B306" s="113" t="s">
        <v>658</v>
      </c>
      <c r="D306" s="14"/>
      <c r="E306" s="14"/>
    </row>
    <row r="307" spans="1:5">
      <c r="A307" s="112" t="s">
        <v>229</v>
      </c>
      <c r="B307" s="113" t="s">
        <v>728</v>
      </c>
      <c r="D307" s="14"/>
      <c r="E307" s="14"/>
    </row>
    <row r="308" spans="1:5">
      <c r="A308" s="112" t="s">
        <v>83</v>
      </c>
      <c r="B308" s="113" t="s">
        <v>629</v>
      </c>
      <c r="D308" s="14"/>
      <c r="E308" s="14"/>
    </row>
    <row r="309" spans="1:5">
      <c r="A309" s="112" t="s">
        <v>277</v>
      </c>
      <c r="B309" s="113" t="s">
        <v>626</v>
      </c>
      <c r="D309" s="14"/>
      <c r="E309" s="14"/>
    </row>
    <row r="310" spans="1:5">
      <c r="A310" s="112" t="s">
        <v>734</v>
      </c>
      <c r="B310" s="113" t="s">
        <v>728</v>
      </c>
      <c r="D310" s="14"/>
      <c r="E310" s="14"/>
    </row>
    <row r="311" spans="1:5">
      <c r="A311" s="112" t="s">
        <v>95</v>
      </c>
      <c r="B311" s="113" t="s">
        <v>660</v>
      </c>
      <c r="D311" s="14"/>
      <c r="E311" s="14"/>
    </row>
    <row r="312" spans="1:5">
      <c r="A312" s="112" t="s">
        <v>696</v>
      </c>
      <c r="B312" s="113" t="s">
        <v>708</v>
      </c>
      <c r="D312" s="14"/>
      <c r="E312" s="14"/>
    </row>
    <row r="313" spans="1:5">
      <c r="A313" s="112" t="s">
        <v>206</v>
      </c>
      <c r="B313" s="113" t="s">
        <v>635</v>
      </c>
      <c r="D313" s="14"/>
      <c r="E313" s="14"/>
    </row>
    <row r="314" spans="1:5">
      <c r="A314" s="112" t="s">
        <v>207</v>
      </c>
      <c r="B314" s="113" t="s">
        <v>735</v>
      </c>
      <c r="D314" s="14"/>
      <c r="E314" s="14"/>
    </row>
    <row r="315" spans="1:5">
      <c r="A315" s="112" t="s">
        <v>211</v>
      </c>
      <c r="B315" s="113" t="s">
        <v>606</v>
      </c>
      <c r="D315" s="14"/>
      <c r="E315" s="14"/>
    </row>
    <row r="316" spans="1:5">
      <c r="A316" s="112" t="s">
        <v>257</v>
      </c>
      <c r="B316" s="113" t="s">
        <v>736</v>
      </c>
      <c r="D316" s="14"/>
      <c r="E316" s="14"/>
    </row>
    <row r="317" spans="1:5">
      <c r="A317" s="112" t="s">
        <v>262</v>
      </c>
      <c r="B317" s="113" t="s">
        <v>737</v>
      </c>
      <c r="D317" s="14"/>
      <c r="E317" s="14"/>
    </row>
    <row r="318" spans="1:5">
      <c r="A318" s="112" t="s">
        <v>263</v>
      </c>
      <c r="B318" s="113" t="s">
        <v>686</v>
      </c>
      <c r="D318" s="14"/>
      <c r="E318" s="14"/>
    </row>
    <row r="319" spans="1:5">
      <c r="A319" s="112" t="s">
        <v>264</v>
      </c>
      <c r="B319" s="113" t="s">
        <v>661</v>
      </c>
      <c r="D319" s="14"/>
      <c r="E319" s="14"/>
    </row>
    <row r="320" spans="1:5">
      <c r="A320" s="112" t="s">
        <v>303</v>
      </c>
      <c r="B320" s="113" t="s">
        <v>662</v>
      </c>
    </row>
    <row r="321" spans="1:2">
      <c r="A321" s="112" t="s">
        <v>310</v>
      </c>
      <c r="B321" s="113" t="s">
        <v>659</v>
      </c>
    </row>
    <row r="322" spans="1:2">
      <c r="A322" s="112" t="s">
        <v>114</v>
      </c>
      <c r="B322" s="113" t="s">
        <v>601</v>
      </c>
    </row>
    <row r="323" spans="1:2">
      <c r="A323" s="112" t="s">
        <v>224</v>
      </c>
      <c r="B323" s="113" t="s">
        <v>630</v>
      </c>
    </row>
    <row r="324" spans="1:2">
      <c r="A324" s="112" t="s">
        <v>53</v>
      </c>
      <c r="B324" s="113" t="s">
        <v>607</v>
      </c>
    </row>
    <row r="325" spans="1:2">
      <c r="A325" s="112" t="s">
        <v>221</v>
      </c>
      <c r="B325" s="113" t="s">
        <v>646</v>
      </c>
    </row>
    <row r="326" spans="1:2">
      <c r="A326" s="112" t="s">
        <v>838</v>
      </c>
      <c r="B326" s="113" t="s">
        <v>646</v>
      </c>
    </row>
    <row r="327" spans="1:2">
      <c r="A327" s="112" t="s">
        <v>269</v>
      </c>
      <c r="B327" s="113" t="s">
        <v>628</v>
      </c>
    </row>
    <row r="328" spans="1:2">
      <c r="A328" s="112" t="s">
        <v>170</v>
      </c>
      <c r="B328" s="113" t="s">
        <v>644</v>
      </c>
    </row>
    <row r="329" spans="1:2">
      <c r="A329" s="112">
        <v>0</v>
      </c>
      <c r="B329" s="113" t="s">
        <v>646</v>
      </c>
    </row>
    <row r="330" spans="1:2">
      <c r="A330" s="112">
        <v>0</v>
      </c>
      <c r="B330" s="113" t="s">
        <v>628</v>
      </c>
    </row>
    <row r="331" spans="1:2">
      <c r="A331" s="112">
        <v>0</v>
      </c>
      <c r="B331" s="113" t="s">
        <v>708</v>
      </c>
    </row>
    <row r="332" spans="1:2">
      <c r="A332" s="112">
        <v>0</v>
      </c>
      <c r="B332" s="113" t="s">
        <v>630</v>
      </c>
    </row>
    <row r="333" spans="1:2">
      <c r="A333" s="112">
        <v>0</v>
      </c>
      <c r="B333" s="113" t="s">
        <v>627</v>
      </c>
    </row>
    <row r="334" spans="1:2">
      <c r="A334" s="112">
        <v>0</v>
      </c>
      <c r="B334" s="113" t="s">
        <v>631</v>
      </c>
    </row>
    <row r="335" spans="1:2">
      <c r="A335" s="112">
        <v>0</v>
      </c>
      <c r="B335" s="113" t="s">
        <v>663</v>
      </c>
    </row>
    <row r="336" spans="1:2">
      <c r="A336" s="112">
        <v>0</v>
      </c>
      <c r="B336" s="113" t="s">
        <v>629</v>
      </c>
    </row>
    <row r="337" spans="1:2">
      <c r="A337" s="112">
        <v>0</v>
      </c>
      <c r="B337" s="113" t="s">
        <v>632</v>
      </c>
    </row>
    <row r="338" spans="1:2">
      <c r="A338" s="112" t="s">
        <v>126</v>
      </c>
      <c r="B338" s="113" t="s">
        <v>621</v>
      </c>
    </row>
    <row r="339" spans="1:2">
      <c r="A339" s="112" t="s">
        <v>234</v>
      </c>
      <c r="B339" s="113" t="s">
        <v>621</v>
      </c>
    </row>
    <row r="340" spans="1:2">
      <c r="A340" s="112" t="s">
        <v>127</v>
      </c>
      <c r="B340" s="113" t="s">
        <v>621</v>
      </c>
    </row>
    <row r="341" spans="1:2">
      <c r="A341" s="112" t="s">
        <v>86</v>
      </c>
      <c r="B341" s="113" t="s">
        <v>625</v>
      </c>
    </row>
    <row r="342" spans="1:2">
      <c r="A342" s="112" t="s">
        <v>217</v>
      </c>
      <c r="B342" s="113" t="s">
        <v>621</v>
      </c>
    </row>
    <row r="343" spans="1:2">
      <c r="A343" s="112" t="s">
        <v>738</v>
      </c>
      <c r="B343" s="113" t="s">
        <v>670</v>
      </c>
    </row>
    <row r="344" spans="1:2">
      <c r="A344" s="112" t="s">
        <v>277</v>
      </c>
      <c r="B344" s="113" t="s">
        <v>624</v>
      </c>
    </row>
    <row r="345" spans="1:2">
      <c r="A345" s="112" t="s">
        <v>174</v>
      </c>
      <c r="B345" s="113" t="s">
        <v>621</v>
      </c>
    </row>
    <row r="346" spans="1:2">
      <c r="A346" s="112" t="s">
        <v>240</v>
      </c>
      <c r="B346" s="113" t="s">
        <v>626</v>
      </c>
    </row>
    <row r="347" spans="1:2">
      <c r="A347" s="112" t="s">
        <v>301</v>
      </c>
      <c r="B347" s="113" t="s">
        <v>625</v>
      </c>
    </row>
    <row r="348" spans="1:2">
      <c r="A348" s="112" t="s">
        <v>226</v>
      </c>
      <c r="B348" s="113" t="s">
        <v>612</v>
      </c>
    </row>
    <row r="349" spans="1:2">
      <c r="A349" s="112" t="s">
        <v>231</v>
      </c>
      <c r="B349" s="113" t="s">
        <v>612</v>
      </c>
    </row>
    <row r="350" spans="1:2">
      <c r="A350" s="112" t="s">
        <v>248</v>
      </c>
      <c r="B350" s="113" t="s">
        <v>636</v>
      </c>
    </row>
    <row r="351" spans="1:2">
      <c r="A351" s="112" t="s">
        <v>277</v>
      </c>
      <c r="B351" s="113" t="s">
        <v>663</v>
      </c>
    </row>
    <row r="352" spans="1:2">
      <c r="A352" s="112" t="s">
        <v>250</v>
      </c>
      <c r="B352" s="113" t="s">
        <v>632</v>
      </c>
    </row>
    <row r="353" spans="1:2">
      <c r="A353" s="112" t="s">
        <v>155</v>
      </c>
      <c r="B353" s="113" t="s">
        <v>632</v>
      </c>
    </row>
    <row r="354" spans="1:2">
      <c r="A354" s="112" t="s">
        <v>187</v>
      </c>
      <c r="B354" s="113" t="s">
        <v>631</v>
      </c>
    </row>
    <row r="355" spans="1:2">
      <c r="A355" s="112" t="s">
        <v>269</v>
      </c>
      <c r="B355" s="113" t="s">
        <v>625</v>
      </c>
    </row>
    <row r="356" spans="1:2">
      <c r="A356" s="112" t="s">
        <v>192</v>
      </c>
      <c r="B356" s="113" t="s">
        <v>657</v>
      </c>
    </row>
    <row r="357" spans="1:2">
      <c r="A357" s="112" t="s">
        <v>119</v>
      </c>
      <c r="B357" s="113" t="s">
        <v>607</v>
      </c>
    </row>
    <row r="358" spans="1:2">
      <c r="A358" s="112" t="s">
        <v>590</v>
      </c>
      <c r="B358" s="113" t="s">
        <v>609</v>
      </c>
    </row>
    <row r="359" spans="1:2">
      <c r="A359" s="112" t="s">
        <v>53</v>
      </c>
      <c r="B359" s="113" t="s">
        <v>708</v>
      </c>
    </row>
    <row r="360" spans="1:2">
      <c r="A360" s="112" t="s">
        <v>104</v>
      </c>
      <c r="B360" s="113" t="s">
        <v>632</v>
      </c>
    </row>
    <row r="361" spans="1:2">
      <c r="A361" s="112" t="s">
        <v>86</v>
      </c>
      <c r="B361" s="113" t="s">
        <v>631</v>
      </c>
    </row>
    <row r="362" spans="1:2">
      <c r="A362" s="112" t="s">
        <v>112</v>
      </c>
      <c r="B362" s="113" t="s">
        <v>630</v>
      </c>
    </row>
    <row r="363" spans="1:2">
      <c r="A363" s="112" t="s">
        <v>130</v>
      </c>
      <c r="B363" s="113" t="s">
        <v>617</v>
      </c>
    </row>
    <row r="364" spans="1:2">
      <c r="A364" s="112" t="s">
        <v>116</v>
      </c>
      <c r="B364" s="113" t="s">
        <v>614</v>
      </c>
    </row>
    <row r="365" spans="1:2">
      <c r="A365" s="112" t="s">
        <v>71</v>
      </c>
      <c r="B365" s="113" t="s">
        <v>626</v>
      </c>
    </row>
    <row r="366" spans="1:2">
      <c r="A366" s="112" t="s">
        <v>199</v>
      </c>
      <c r="B366" s="113" t="s">
        <v>671</v>
      </c>
    </row>
    <row r="367" spans="1:2">
      <c r="A367" s="112" t="s">
        <v>177</v>
      </c>
      <c r="B367" s="113" t="s">
        <v>656</v>
      </c>
    </row>
    <row r="368" spans="1:2">
      <c r="A368" s="112" t="s">
        <v>191</v>
      </c>
      <c r="B368" s="113" t="s">
        <v>679</v>
      </c>
    </row>
    <row r="369" spans="1:2">
      <c r="A369" s="112" t="s">
        <v>63</v>
      </c>
      <c r="B369" s="113" t="s">
        <v>647</v>
      </c>
    </row>
    <row r="370" spans="1:2">
      <c r="A370" s="112" t="s">
        <v>286</v>
      </c>
      <c r="B370" s="113" t="s">
        <v>623</v>
      </c>
    </row>
    <row r="371" spans="1:2">
      <c r="A371" s="112" t="s">
        <v>116</v>
      </c>
      <c r="B371" s="113" t="s">
        <v>636</v>
      </c>
    </row>
    <row r="372" spans="1:2">
      <c r="A372" s="112" t="s">
        <v>164</v>
      </c>
      <c r="B372" s="113" t="s">
        <v>635</v>
      </c>
    </row>
    <row r="373" spans="1:2">
      <c r="A373" s="112" t="s">
        <v>175</v>
      </c>
      <c r="B373" s="113" t="s">
        <v>735</v>
      </c>
    </row>
    <row r="374" spans="1:2">
      <c r="A374" s="112" t="s">
        <v>226</v>
      </c>
      <c r="B374" s="113" t="s">
        <v>642</v>
      </c>
    </row>
    <row r="375" spans="1:2">
      <c r="A375" s="112" t="s">
        <v>241</v>
      </c>
      <c r="B375" s="113" t="s">
        <v>606</v>
      </c>
    </row>
    <row r="376" spans="1:2">
      <c r="A376" s="112" t="s">
        <v>246</v>
      </c>
      <c r="B376" s="113" t="s">
        <v>610</v>
      </c>
    </row>
    <row r="377" spans="1:2">
      <c r="A377" s="112" t="s">
        <v>195</v>
      </c>
      <c r="B377" s="113" t="s">
        <v>624</v>
      </c>
    </row>
    <row r="378" spans="1:2">
      <c r="A378" s="112" t="s">
        <v>839</v>
      </c>
      <c r="B378" s="113" t="s">
        <v>624</v>
      </c>
    </row>
    <row r="379" spans="1:2">
      <c r="A379" s="112" t="s">
        <v>241</v>
      </c>
      <c r="B379" s="113" t="s">
        <v>632</v>
      </c>
    </row>
    <row r="380" spans="1:2">
      <c r="A380" s="112" t="s">
        <v>164</v>
      </c>
      <c r="B380" s="113" t="s">
        <v>676</v>
      </c>
    </row>
    <row r="381" spans="1:2">
      <c r="A381" s="112" t="s">
        <v>172</v>
      </c>
      <c r="B381" s="113" t="s">
        <v>635</v>
      </c>
    </row>
    <row r="382" spans="1:2">
      <c r="A382" s="112" t="s">
        <v>241</v>
      </c>
      <c r="B382" s="113" t="s">
        <v>657</v>
      </c>
    </row>
    <row r="383" spans="1:2">
      <c r="A383" s="112" t="s">
        <v>259</v>
      </c>
      <c r="B383" s="113" t="s">
        <v>637</v>
      </c>
    </row>
    <row r="384" spans="1:2">
      <c r="A384" s="112" t="s">
        <v>155</v>
      </c>
      <c r="B384" s="113" t="s">
        <v>688</v>
      </c>
    </row>
    <row r="385" spans="1:2">
      <c r="A385" s="112" t="s">
        <v>161</v>
      </c>
      <c r="B385" s="113" t="s">
        <v>622</v>
      </c>
    </row>
    <row r="386" spans="1:2">
      <c r="A386" s="112" t="s">
        <v>251</v>
      </c>
      <c r="B386" s="113" t="s">
        <v>632</v>
      </c>
    </row>
    <row r="387" spans="1:2">
      <c r="A387" s="112" t="s">
        <v>159</v>
      </c>
      <c r="B387" s="113" t="s">
        <v>621</v>
      </c>
    </row>
    <row r="388" spans="1:2">
      <c r="A388" s="112" t="s">
        <v>848</v>
      </c>
      <c r="B388" s="113" t="s">
        <v>612</v>
      </c>
    </row>
    <row r="389" spans="1:2">
      <c r="A389" s="112" t="s">
        <v>846</v>
      </c>
      <c r="B389" s="113" t="s">
        <v>659</v>
      </c>
    </row>
    <row r="390" spans="1:2">
      <c r="A390" s="112" t="s">
        <v>162</v>
      </c>
      <c r="B390" s="113" t="s">
        <v>660</v>
      </c>
    </row>
    <row r="391" spans="1:2">
      <c r="A391" s="112" t="s">
        <v>83</v>
      </c>
      <c r="B391" s="113" t="s">
        <v>628</v>
      </c>
    </row>
    <row r="392" spans="1:2">
      <c r="A392" s="112" t="s">
        <v>134</v>
      </c>
      <c r="B392" s="113" t="s">
        <v>644</v>
      </c>
    </row>
    <row r="393" spans="1:2">
      <c r="A393" s="112" t="s">
        <v>270</v>
      </c>
      <c r="B393" s="113" t="s">
        <v>670</v>
      </c>
    </row>
    <row r="394" spans="1:2">
      <c r="A394" s="112" t="s">
        <v>148</v>
      </c>
      <c r="B394" s="113" t="s">
        <v>651</v>
      </c>
    </row>
    <row r="395" spans="1:2">
      <c r="A395" s="112" t="s">
        <v>61</v>
      </c>
      <c r="B395" s="113" t="s">
        <v>634</v>
      </c>
    </row>
    <row r="396" spans="1:2">
      <c r="A396" s="112" t="s">
        <v>121</v>
      </c>
      <c r="B396" s="113" t="s">
        <v>618</v>
      </c>
    </row>
    <row r="397" spans="1:2">
      <c r="A397" s="112" t="s">
        <v>128</v>
      </c>
      <c r="B397" s="113" t="s">
        <v>643</v>
      </c>
    </row>
    <row r="398" spans="1:2">
      <c r="A398" s="112" t="s">
        <v>191</v>
      </c>
      <c r="B398" s="113" t="s">
        <v>657</v>
      </c>
    </row>
    <row r="399" spans="1:2">
      <c r="A399" s="112" t="s">
        <v>86</v>
      </c>
      <c r="B399" s="113" t="s">
        <v>617</v>
      </c>
    </row>
    <row r="400" spans="1:2">
      <c r="A400" s="112" t="s">
        <v>273</v>
      </c>
      <c r="B400" s="113" t="s">
        <v>644</v>
      </c>
    </row>
    <row r="401" spans="1:2">
      <c r="A401" s="112" t="s">
        <v>208</v>
      </c>
      <c r="B401" s="113" t="s">
        <v>623</v>
      </c>
    </row>
    <row r="402" spans="1:2">
      <c r="A402" s="112" t="s">
        <v>223</v>
      </c>
      <c r="B402" s="113" t="s">
        <v>664</v>
      </c>
    </row>
    <row r="403" spans="1:2">
      <c r="A403" s="112" t="s">
        <v>222</v>
      </c>
      <c r="B403" s="113" t="s">
        <v>617</v>
      </c>
    </row>
    <row r="404" spans="1:2">
      <c r="A404" s="112" t="s">
        <v>63</v>
      </c>
      <c r="B404" s="113" t="s">
        <v>604</v>
      </c>
    </row>
    <row r="405" spans="1:2">
      <c r="A405" s="112" t="s">
        <v>129</v>
      </c>
      <c r="B405" s="113" t="s">
        <v>603</v>
      </c>
    </row>
    <row r="406" spans="1:2">
      <c r="A406" s="112" t="s">
        <v>91</v>
      </c>
      <c r="B406" s="113" t="s">
        <v>615</v>
      </c>
    </row>
    <row r="407" spans="1:2">
      <c r="A407" s="112" t="s">
        <v>115</v>
      </c>
      <c r="B407" s="113" t="s">
        <v>640</v>
      </c>
    </row>
    <row r="408" spans="1:2">
      <c r="A408" s="112" t="s">
        <v>63</v>
      </c>
      <c r="B408" s="113" t="s">
        <v>646</v>
      </c>
    </row>
    <row r="409" spans="1:2">
      <c r="A409" s="112" t="s">
        <v>199</v>
      </c>
      <c r="B409" s="113" t="s">
        <v>649</v>
      </c>
    </row>
    <row r="410" spans="1:2">
      <c r="A410" s="112" t="s">
        <v>240</v>
      </c>
      <c r="B410" s="113" t="s">
        <v>664</v>
      </c>
    </row>
    <row r="411" spans="1:2">
      <c r="A411" s="112" t="s">
        <v>317</v>
      </c>
      <c r="B411" s="113" t="s">
        <v>644</v>
      </c>
    </row>
    <row r="412" spans="1:2">
      <c r="A412" s="112" t="s">
        <v>314</v>
      </c>
      <c r="B412" s="113" t="s">
        <v>675</v>
      </c>
    </row>
    <row r="413" spans="1:2">
      <c r="A413" s="112" t="s">
        <v>315</v>
      </c>
      <c r="B413" s="113" t="s">
        <v>599</v>
      </c>
    </row>
    <row r="414" spans="1:2">
      <c r="A414" s="112" t="s">
        <v>317</v>
      </c>
      <c r="B414" s="113" t="s">
        <v>654</v>
      </c>
    </row>
    <row r="415" spans="1:2">
      <c r="A415" s="112" t="s">
        <v>316</v>
      </c>
      <c r="B415" s="113" t="s">
        <v>676</v>
      </c>
    </row>
    <row r="416" spans="1:2">
      <c r="A416" s="112" t="s">
        <v>314</v>
      </c>
      <c r="B416" s="113" t="s">
        <v>597</v>
      </c>
    </row>
    <row r="417" spans="1:2">
      <c r="A417" s="112" t="s">
        <v>154</v>
      </c>
      <c r="B417" s="113" t="s">
        <v>632</v>
      </c>
    </row>
    <row r="418" spans="1:2">
      <c r="A418" s="112" t="s">
        <v>55</v>
      </c>
      <c r="B418" s="113" t="s">
        <v>666</v>
      </c>
    </row>
    <row r="419" spans="1:2">
      <c r="A419" s="112" t="s">
        <v>309</v>
      </c>
      <c r="B419" s="113" t="s">
        <v>689</v>
      </c>
    </row>
    <row r="420" spans="1:2">
      <c r="A420" s="112" t="s">
        <v>154</v>
      </c>
      <c r="B420" s="113" t="s">
        <v>664</v>
      </c>
    </row>
    <row r="421" spans="1:2">
      <c r="A421" s="112" t="s">
        <v>101</v>
      </c>
      <c r="B421" s="113" t="s">
        <v>596</v>
      </c>
    </row>
    <row r="422" spans="1:2">
      <c r="A422" s="112" t="s">
        <v>86</v>
      </c>
      <c r="B422" s="113" t="s">
        <v>656</v>
      </c>
    </row>
    <row r="423" spans="1:2">
      <c r="A423" s="112" t="s">
        <v>227</v>
      </c>
      <c r="B423" s="113" t="s">
        <v>644</v>
      </c>
    </row>
    <row r="424" spans="1:2">
      <c r="A424" s="112" t="s">
        <v>168</v>
      </c>
      <c r="B424" s="113" t="s">
        <v>621</v>
      </c>
    </row>
    <row r="425" spans="1:2">
      <c r="A425" s="112" t="s">
        <v>124</v>
      </c>
      <c r="B425" s="113" t="s">
        <v>623</v>
      </c>
    </row>
    <row r="426" spans="1:2">
      <c r="A426" s="112" t="s">
        <v>256</v>
      </c>
      <c r="B426" s="113" t="s">
        <v>628</v>
      </c>
    </row>
    <row r="427" spans="1:2">
      <c r="A427" s="112" t="s">
        <v>168</v>
      </c>
      <c r="B427" s="113" t="s">
        <v>624</v>
      </c>
    </row>
    <row r="428" spans="1:2">
      <c r="A428" s="112" t="s">
        <v>175</v>
      </c>
      <c r="B428" s="113" t="s">
        <v>628</v>
      </c>
    </row>
    <row r="429" spans="1:2">
      <c r="A429" s="112" t="s">
        <v>252</v>
      </c>
      <c r="B429" s="113" t="s">
        <v>618</v>
      </c>
    </row>
    <row r="430" spans="1:2">
      <c r="A430" s="112" t="s">
        <v>72</v>
      </c>
      <c r="B430" s="113" t="s">
        <v>663</v>
      </c>
    </row>
    <row r="431" spans="1:2">
      <c r="A431" s="112" t="s">
        <v>76</v>
      </c>
      <c r="B431" s="113" t="s">
        <v>631</v>
      </c>
    </row>
    <row r="432" spans="1:2">
      <c r="A432" s="112" t="s">
        <v>100</v>
      </c>
      <c r="B432" s="113" t="s">
        <v>630</v>
      </c>
    </row>
    <row r="433" spans="1:2">
      <c r="A433" s="112" t="s">
        <v>97</v>
      </c>
      <c r="B433" s="113" t="s">
        <v>631</v>
      </c>
    </row>
    <row r="434" spans="1:2">
      <c r="A434" s="112" t="s">
        <v>172</v>
      </c>
      <c r="B434" s="113" t="s">
        <v>621</v>
      </c>
    </row>
    <row r="435" spans="1:2">
      <c r="A435" s="112" t="s">
        <v>271</v>
      </c>
      <c r="B435" s="113" t="s">
        <v>621</v>
      </c>
    </row>
    <row r="436" spans="1:2">
      <c r="A436" s="112" t="s">
        <v>83</v>
      </c>
      <c r="B436" s="113" t="s">
        <v>625</v>
      </c>
    </row>
    <row r="437" spans="1:2">
      <c r="A437" s="112" t="s">
        <v>84</v>
      </c>
      <c r="B437" s="113" t="s">
        <v>631</v>
      </c>
    </row>
    <row r="438" spans="1:2">
      <c r="A438" s="112" t="s">
        <v>251</v>
      </c>
      <c r="B438" s="113" t="s">
        <v>655</v>
      </c>
    </row>
    <row r="439" spans="1:2">
      <c r="A439" s="112" t="s">
        <v>55</v>
      </c>
      <c r="B439" s="113" t="s">
        <v>625</v>
      </c>
    </row>
    <row r="440" spans="1:2">
      <c r="A440" s="112" t="s">
        <v>254</v>
      </c>
      <c r="B440" s="113" t="s">
        <v>622</v>
      </c>
    </row>
    <row r="441" spans="1:2">
      <c r="A441" s="112" t="s">
        <v>315</v>
      </c>
      <c r="B441" s="113" t="s">
        <v>620</v>
      </c>
    </row>
    <row r="442" spans="1:2">
      <c r="A442" s="112" t="s">
        <v>226</v>
      </c>
      <c r="B442" s="113" t="s">
        <v>624</v>
      </c>
    </row>
    <row r="443" spans="1:2">
      <c r="A443" s="112" t="s">
        <v>739</v>
      </c>
      <c r="B443" s="113" t="s">
        <v>620</v>
      </c>
    </row>
    <row r="444" spans="1:2">
      <c r="A444" s="112" t="s">
        <v>71</v>
      </c>
      <c r="B444" s="113" t="s">
        <v>693</v>
      </c>
    </row>
    <row r="445" spans="1:2">
      <c r="A445" s="112" t="s">
        <v>300</v>
      </c>
      <c r="B445" s="113" t="s">
        <v>625</v>
      </c>
    </row>
    <row r="446" spans="1:2">
      <c r="A446" s="112" t="s">
        <v>53</v>
      </c>
      <c r="B446" s="113" t="s">
        <v>667</v>
      </c>
    </row>
    <row r="447" spans="1:2">
      <c r="A447" s="112" t="s">
        <v>109</v>
      </c>
      <c r="B447" s="113" t="s">
        <v>619</v>
      </c>
    </row>
    <row r="448" spans="1:2">
      <c r="A448" s="112" t="s">
        <v>51</v>
      </c>
      <c r="B448" s="113" t="s">
        <v>632</v>
      </c>
    </row>
    <row r="449" spans="1:2">
      <c r="A449" s="112" t="s">
        <v>740</v>
      </c>
      <c r="B449" s="113" t="s">
        <v>655</v>
      </c>
    </row>
    <row r="450" spans="1:2">
      <c r="A450" s="112" t="s">
        <v>741</v>
      </c>
      <c r="B450" s="113" t="s">
        <v>603</v>
      </c>
    </row>
    <row r="451" spans="1:2">
      <c r="A451" s="112" t="s">
        <v>251</v>
      </c>
      <c r="B451" s="113" t="s">
        <v>742</v>
      </c>
    </row>
    <row r="452" spans="1:2">
      <c r="A452" s="112" t="s">
        <v>74</v>
      </c>
      <c r="B452" s="113" t="s">
        <v>631</v>
      </c>
    </row>
    <row r="453" spans="1:2">
      <c r="A453" s="112" t="s">
        <v>265</v>
      </c>
      <c r="B453" s="113" t="s">
        <v>632</v>
      </c>
    </row>
    <row r="454" spans="1:2">
      <c r="A454" s="112" t="s">
        <v>743</v>
      </c>
      <c r="B454" s="113" t="s">
        <v>622</v>
      </c>
    </row>
    <row r="455" spans="1:2">
      <c r="A455" s="112" t="s">
        <v>168</v>
      </c>
      <c r="B455" s="113" t="s">
        <v>643</v>
      </c>
    </row>
    <row r="456" spans="1:2">
      <c r="A456" s="112" t="s">
        <v>252</v>
      </c>
      <c r="B456" s="113" t="s">
        <v>620</v>
      </c>
    </row>
    <row r="457" spans="1:2">
      <c r="A457" s="112" t="s">
        <v>240</v>
      </c>
      <c r="B457" s="113" t="s">
        <v>632</v>
      </c>
    </row>
    <row r="458" spans="1:2">
      <c r="A458" s="112" t="s">
        <v>189</v>
      </c>
      <c r="B458" s="113" t="s">
        <v>635</v>
      </c>
    </row>
    <row r="459" spans="1:2">
      <c r="A459" s="112" t="s">
        <v>744</v>
      </c>
      <c r="B459" s="113" t="s">
        <v>621</v>
      </c>
    </row>
    <row r="460" spans="1:2">
      <c r="A460" s="112" t="s">
        <v>86</v>
      </c>
      <c r="B460" s="113" t="s">
        <v>635</v>
      </c>
    </row>
    <row r="461" spans="1:2">
      <c r="A461" s="112" t="s">
        <v>745</v>
      </c>
      <c r="B461" s="113" t="s">
        <v>628</v>
      </c>
    </row>
    <row r="462" spans="1:2">
      <c r="A462" s="112" t="s">
        <v>226</v>
      </c>
      <c r="B462" s="113" t="s">
        <v>671</v>
      </c>
    </row>
    <row r="463" spans="1:2">
      <c r="A463" s="112" t="s">
        <v>271</v>
      </c>
      <c r="B463" s="113" t="s">
        <v>644</v>
      </c>
    </row>
    <row r="464" spans="1:2">
      <c r="A464" s="112" t="s">
        <v>86</v>
      </c>
      <c r="B464" s="113" t="s">
        <v>671</v>
      </c>
    </row>
    <row r="465" spans="1:2">
      <c r="A465" s="112" t="s">
        <v>254</v>
      </c>
      <c r="B465" s="113" t="s">
        <v>632</v>
      </c>
    </row>
    <row r="466" spans="1:2">
      <c r="A466" s="112" t="s">
        <v>743</v>
      </c>
      <c r="B466" s="113" t="s">
        <v>626</v>
      </c>
    </row>
    <row r="467" spans="1:2">
      <c r="A467" s="112" t="s">
        <v>97</v>
      </c>
      <c r="B467" s="113" t="s">
        <v>634</v>
      </c>
    </row>
    <row r="468" spans="1:2">
      <c r="A468" s="112" t="s">
        <v>593</v>
      </c>
      <c r="B468" s="113" t="s">
        <v>630</v>
      </c>
    </row>
    <row r="469" spans="1:2">
      <c r="A469" s="112" t="s">
        <v>63</v>
      </c>
      <c r="B469" s="113" t="s">
        <v>626</v>
      </c>
    </row>
    <row r="470" spans="1:2">
      <c r="A470" s="112" t="s">
        <v>199</v>
      </c>
      <c r="B470" s="113" t="s">
        <v>628</v>
      </c>
    </row>
    <row r="471" spans="1:2">
      <c r="A471" s="112" t="s">
        <v>292</v>
      </c>
      <c r="B471" s="113" t="s">
        <v>632</v>
      </c>
    </row>
    <row r="472" spans="1:2">
      <c r="A472" s="112" t="s">
        <v>83</v>
      </c>
      <c r="B472" s="113" t="s">
        <v>614</v>
      </c>
    </row>
    <row r="473" spans="1:2">
      <c r="A473" s="112" t="s">
        <v>166</v>
      </c>
      <c r="B473" s="113" t="s">
        <v>621</v>
      </c>
    </row>
    <row r="474" spans="1:2">
      <c r="A474" s="112" t="s">
        <v>86</v>
      </c>
      <c r="B474" s="113" t="s">
        <v>632</v>
      </c>
    </row>
    <row r="475" spans="1:2">
      <c r="A475" s="112" t="s">
        <v>746</v>
      </c>
      <c r="B475" s="113" t="s">
        <v>626</v>
      </c>
    </row>
    <row r="476" spans="1:2">
      <c r="A476" s="112" t="s">
        <v>747</v>
      </c>
      <c r="B476" s="113" t="s">
        <v>628</v>
      </c>
    </row>
    <row r="477" spans="1:2">
      <c r="A477" s="112" t="s">
        <v>101</v>
      </c>
      <c r="B477" s="113" t="s">
        <v>642</v>
      </c>
    </row>
    <row r="478" spans="1:2">
      <c r="A478" s="112" t="s">
        <v>256</v>
      </c>
      <c r="B478" s="113" t="s">
        <v>614</v>
      </c>
    </row>
    <row r="479" spans="1:2">
      <c r="A479" s="112" t="s">
        <v>748</v>
      </c>
      <c r="B479" s="113" t="s">
        <v>628</v>
      </c>
    </row>
    <row r="480" spans="1:2">
      <c r="A480" s="112" t="s">
        <v>231</v>
      </c>
      <c r="B480" s="113" t="s">
        <v>620</v>
      </c>
    </row>
    <row r="481" spans="1:2">
      <c r="A481" s="112" t="s">
        <v>240</v>
      </c>
      <c r="B481" s="113" t="s">
        <v>625</v>
      </c>
    </row>
    <row r="482" spans="1:2">
      <c r="A482" s="112" t="s">
        <v>57</v>
      </c>
      <c r="B482" s="113" t="s">
        <v>612</v>
      </c>
    </row>
    <row r="483" spans="1:2">
      <c r="A483" s="112" t="s">
        <v>209</v>
      </c>
      <c r="B483" s="113" t="s">
        <v>632</v>
      </c>
    </row>
    <row r="484" spans="1:2">
      <c r="A484" s="112" t="s">
        <v>55</v>
      </c>
      <c r="B484" s="113" t="s">
        <v>617</v>
      </c>
    </row>
    <row r="485" spans="1:2">
      <c r="A485" s="112" t="s">
        <v>66</v>
      </c>
      <c r="B485" s="113" t="s">
        <v>619</v>
      </c>
    </row>
    <row r="486" spans="1:2">
      <c r="A486" s="112" t="s">
        <v>95</v>
      </c>
      <c r="B486" s="113" t="s">
        <v>631</v>
      </c>
    </row>
    <row r="487" spans="1:2">
      <c r="A487" s="112" t="s">
        <v>63</v>
      </c>
      <c r="B487" s="113" t="s">
        <v>708</v>
      </c>
    </row>
    <row r="488" spans="1:2">
      <c r="A488" s="112" t="s">
        <v>66</v>
      </c>
      <c r="B488" s="113" t="s">
        <v>632</v>
      </c>
    </row>
    <row r="489" spans="1:2">
      <c r="A489" s="112" t="s">
        <v>157</v>
      </c>
      <c r="B489" s="113" t="s">
        <v>647</v>
      </c>
    </row>
    <row r="490" spans="1:2">
      <c r="A490" s="112" t="s">
        <v>132</v>
      </c>
      <c r="B490" s="113" t="s">
        <v>617</v>
      </c>
    </row>
    <row r="491" spans="1:2">
      <c r="A491" s="112" t="s">
        <v>215</v>
      </c>
      <c r="B491" s="113" t="s">
        <v>661</v>
      </c>
    </row>
    <row r="492" spans="1:2">
      <c r="A492" s="112" t="s">
        <v>111</v>
      </c>
      <c r="B492" s="113" t="s">
        <v>597</v>
      </c>
    </row>
    <row r="493" spans="1:2">
      <c r="A493" s="112" t="s">
        <v>111</v>
      </c>
      <c r="B493" s="113" t="s">
        <v>618</v>
      </c>
    </row>
    <row r="494" spans="1:2">
      <c r="A494" s="112" t="s">
        <v>692</v>
      </c>
      <c r="B494" s="113" t="s">
        <v>742</v>
      </c>
    </row>
    <row r="495" spans="1:2">
      <c r="A495" s="112" t="s">
        <v>749</v>
      </c>
      <c r="B495" s="113" t="s">
        <v>647</v>
      </c>
    </row>
    <row r="496" spans="1:2">
      <c r="A496" s="112" t="s">
        <v>209</v>
      </c>
      <c r="B496" s="113" t="s">
        <v>628</v>
      </c>
    </row>
    <row r="497" spans="1:2">
      <c r="A497" s="112" t="s">
        <v>307</v>
      </c>
      <c r="B497" s="113" t="s">
        <v>625</v>
      </c>
    </row>
    <row r="498" spans="1:2">
      <c r="A498" s="112" t="s">
        <v>750</v>
      </c>
      <c r="B498" s="113" t="s">
        <v>622</v>
      </c>
    </row>
    <row r="499" spans="1:2">
      <c r="A499" s="112" t="s">
        <v>116</v>
      </c>
      <c r="B499" s="113" t="s">
        <v>619</v>
      </c>
    </row>
    <row r="500" spans="1:2">
      <c r="A500" s="112" t="s">
        <v>145</v>
      </c>
      <c r="B500" s="113" t="s">
        <v>597</v>
      </c>
    </row>
    <row r="501" spans="1:2">
      <c r="A501" s="112" t="s">
        <v>315</v>
      </c>
      <c r="B501" s="113" t="s">
        <v>597</v>
      </c>
    </row>
    <row r="502" spans="1:2">
      <c r="A502" s="112" t="s">
        <v>55</v>
      </c>
      <c r="B502" s="113" t="s">
        <v>599</v>
      </c>
    </row>
    <row r="503" spans="1:2">
      <c r="A503" s="112" t="s">
        <v>213</v>
      </c>
      <c r="B503" s="113" t="s">
        <v>660</v>
      </c>
    </row>
    <row r="504" spans="1:2">
      <c r="A504" s="112" t="s">
        <v>226</v>
      </c>
      <c r="B504" s="113" t="s">
        <v>631</v>
      </c>
    </row>
    <row r="505" spans="1:2">
      <c r="A505" s="112" t="s">
        <v>92</v>
      </c>
      <c r="B505" s="113" t="s">
        <v>631</v>
      </c>
    </row>
    <row r="506" spans="1:2">
      <c r="A506" s="112" t="s">
        <v>248</v>
      </c>
      <c r="B506" s="113" t="s">
        <v>628</v>
      </c>
    </row>
    <row r="507" spans="1:2">
      <c r="A507" s="112" t="s">
        <v>252</v>
      </c>
      <c r="B507" s="113" t="s">
        <v>597</v>
      </c>
    </row>
    <row r="508" spans="1:2">
      <c r="A508" s="112" t="s">
        <v>151</v>
      </c>
      <c r="B508" s="113" t="s">
        <v>632</v>
      </c>
    </row>
    <row r="509" spans="1:2">
      <c r="A509" s="112" t="s">
        <v>248</v>
      </c>
      <c r="B509" s="113" t="s">
        <v>641</v>
      </c>
    </row>
    <row r="510" spans="1:2">
      <c r="A510" s="112" t="s">
        <v>143</v>
      </c>
      <c r="B510" s="113" t="s">
        <v>647</v>
      </c>
    </row>
    <row r="511" spans="1:2">
      <c r="A511" s="112" t="s">
        <v>140</v>
      </c>
      <c r="B511" s="113" t="s">
        <v>617</v>
      </c>
    </row>
    <row r="512" spans="1:2">
      <c r="A512" s="112" t="s">
        <v>214</v>
      </c>
      <c r="B512" s="113" t="s">
        <v>660</v>
      </c>
    </row>
    <row r="513" spans="1:2">
      <c r="A513" s="112" t="s">
        <v>240</v>
      </c>
      <c r="B513" s="113" t="s">
        <v>629</v>
      </c>
    </row>
    <row r="514" spans="1:2">
      <c r="A514" s="112" t="s">
        <v>155</v>
      </c>
      <c r="B514" s="113" t="s">
        <v>624</v>
      </c>
    </row>
    <row r="515" spans="1:2">
      <c r="A515" s="112" t="s">
        <v>312</v>
      </c>
      <c r="B515" s="113" t="s">
        <v>630</v>
      </c>
    </row>
    <row r="516" spans="1:2">
      <c r="A516" s="112" t="s">
        <v>199</v>
      </c>
      <c r="B516" s="113" t="s">
        <v>647</v>
      </c>
    </row>
    <row r="517" spans="1:2">
      <c r="A517" s="112" t="s">
        <v>195</v>
      </c>
      <c r="B517" s="113" t="s">
        <v>629</v>
      </c>
    </row>
    <row r="518" spans="1:2">
      <c r="A518" s="112" t="s">
        <v>205</v>
      </c>
      <c r="B518" s="113" t="s">
        <v>647</v>
      </c>
    </row>
    <row r="519" spans="1:2">
      <c r="A519" s="112" t="s">
        <v>141</v>
      </c>
      <c r="B519" s="113" t="s">
        <v>617</v>
      </c>
    </row>
    <row r="520" spans="1:2">
      <c r="A520" s="112" t="s">
        <v>53</v>
      </c>
      <c r="B520" s="113" t="s">
        <v>611</v>
      </c>
    </row>
    <row r="521" spans="1:2">
      <c r="A521" s="112" t="s">
        <v>131</v>
      </c>
      <c r="B521" s="113" t="s">
        <v>617</v>
      </c>
    </row>
    <row r="522" spans="1:2">
      <c r="A522" s="112" t="s">
        <v>295</v>
      </c>
      <c r="B522" s="113" t="s">
        <v>621</v>
      </c>
    </row>
    <row r="523" spans="1:2">
      <c r="A523" s="112" t="s">
        <v>128</v>
      </c>
      <c r="B523" s="113" t="s">
        <v>671</v>
      </c>
    </row>
    <row r="524" spans="1:2">
      <c r="A524" s="112" t="s">
        <v>53</v>
      </c>
      <c r="B524" s="113" t="s">
        <v>621</v>
      </c>
    </row>
    <row r="525" spans="1:2">
      <c r="A525" s="112" t="s">
        <v>217</v>
      </c>
      <c r="B525" s="113" t="s">
        <v>630</v>
      </c>
    </row>
    <row r="526" spans="1:2">
      <c r="A526" s="112" t="s">
        <v>241</v>
      </c>
      <c r="B526" s="113" t="s">
        <v>603</v>
      </c>
    </row>
    <row r="527" spans="1:2">
      <c r="A527" s="112" t="s">
        <v>249</v>
      </c>
      <c r="B527" s="113" t="s">
        <v>617</v>
      </c>
    </row>
    <row r="528" spans="1:2">
      <c r="A528" s="112" t="s">
        <v>259</v>
      </c>
      <c r="B528" s="113" t="s">
        <v>664</v>
      </c>
    </row>
    <row r="529" spans="1:2">
      <c r="A529" s="112" t="s">
        <v>751</v>
      </c>
      <c r="B529" s="113" t="s">
        <v>611</v>
      </c>
    </row>
    <row r="530" spans="1:2">
      <c r="A530" s="112" t="s">
        <v>298</v>
      </c>
      <c r="B530" s="113" t="s">
        <v>647</v>
      </c>
    </row>
    <row r="531" spans="1:2">
      <c r="A531" s="112" t="s">
        <v>306</v>
      </c>
      <c r="B531" s="113" t="s">
        <v>622</v>
      </c>
    </row>
    <row r="532" spans="1:2">
      <c r="A532" s="112" t="s">
        <v>86</v>
      </c>
      <c r="B532" s="113" t="s">
        <v>619</v>
      </c>
    </row>
    <row r="533" spans="1:2">
      <c r="A533" s="112" t="s">
        <v>269</v>
      </c>
      <c r="B533" s="113" t="s">
        <v>630</v>
      </c>
    </row>
    <row r="534" spans="1:2">
      <c r="A534" s="112" t="s">
        <v>272</v>
      </c>
      <c r="B534" s="113" t="s">
        <v>635</v>
      </c>
    </row>
    <row r="535" spans="1:2">
      <c r="A535" s="112" t="s">
        <v>163</v>
      </c>
      <c r="B535" s="113" t="s">
        <v>618</v>
      </c>
    </row>
    <row r="536" spans="1:2">
      <c r="A536" s="112" t="s">
        <v>752</v>
      </c>
      <c r="B536" s="113" t="s">
        <v>753</v>
      </c>
    </row>
    <row r="537" spans="1:2">
      <c r="A537" s="112" t="s">
        <v>699</v>
      </c>
      <c r="B537" s="113" t="s">
        <v>598</v>
      </c>
    </row>
    <row r="538" spans="1:2">
      <c r="A538" s="112" t="s">
        <v>305</v>
      </c>
      <c r="B538" s="113" t="s">
        <v>625</v>
      </c>
    </row>
    <row r="539" spans="1:2">
      <c r="A539" s="112" t="s">
        <v>151</v>
      </c>
      <c r="B539" s="113" t="s">
        <v>624</v>
      </c>
    </row>
    <row r="540" spans="1:2">
      <c r="A540" s="112" t="s">
        <v>281</v>
      </c>
      <c r="B540" s="113" t="s">
        <v>655</v>
      </c>
    </row>
    <row r="541" spans="1:2">
      <c r="A541" s="112" t="s">
        <v>237</v>
      </c>
      <c r="B541" s="113" t="s">
        <v>640</v>
      </c>
    </row>
    <row r="542" spans="1:2">
      <c r="A542" s="112" t="s">
        <v>282</v>
      </c>
      <c r="B542" s="113" t="s">
        <v>620</v>
      </c>
    </row>
    <row r="543" spans="1:2">
      <c r="A543" s="112" t="s">
        <v>65</v>
      </c>
      <c r="B543" s="113" t="s">
        <v>620</v>
      </c>
    </row>
    <row r="544" spans="1:2">
      <c r="A544" s="112" t="s">
        <v>219</v>
      </c>
      <c r="B544" s="113" t="s">
        <v>627</v>
      </c>
    </row>
    <row r="545" spans="1:2">
      <c r="A545" s="112" t="s">
        <v>205</v>
      </c>
      <c r="B545" s="113" t="s">
        <v>622</v>
      </c>
    </row>
    <row r="546" spans="1:2">
      <c r="A546" s="112" t="s">
        <v>243</v>
      </c>
      <c r="B546" s="113" t="s">
        <v>658</v>
      </c>
    </row>
    <row r="547" spans="1:2">
      <c r="A547" s="112" t="s">
        <v>266</v>
      </c>
      <c r="B547" s="113" t="s">
        <v>618</v>
      </c>
    </row>
    <row r="548" spans="1:2">
      <c r="A548" s="112" t="s">
        <v>71</v>
      </c>
      <c r="B548" s="113" t="s">
        <v>629</v>
      </c>
    </row>
    <row r="549" spans="1:2">
      <c r="A549" s="112" t="s">
        <v>63</v>
      </c>
      <c r="B549" s="113" t="s">
        <v>612</v>
      </c>
    </row>
    <row r="550" spans="1:2">
      <c r="A550" s="112" t="s">
        <v>277</v>
      </c>
      <c r="B550" s="113" t="s">
        <v>625</v>
      </c>
    </row>
    <row r="551" spans="1:2">
      <c r="A551" s="112" t="s">
        <v>146</v>
      </c>
      <c r="B551" s="113" t="s">
        <v>650</v>
      </c>
    </row>
    <row r="552" spans="1:2">
      <c r="A552" s="112" t="s">
        <v>63</v>
      </c>
      <c r="B552" s="113" t="s">
        <v>648</v>
      </c>
    </row>
    <row r="553" spans="1:2">
      <c r="A553" s="112" t="s">
        <v>268</v>
      </c>
      <c r="B553" s="113" t="s">
        <v>664</v>
      </c>
    </row>
    <row r="554" spans="1:2">
      <c r="A554" s="112" t="s">
        <v>58</v>
      </c>
      <c r="B554" s="113" t="s">
        <v>597</v>
      </c>
    </row>
    <row r="555" spans="1:2">
      <c r="A555" s="112" t="s">
        <v>169</v>
      </c>
      <c r="B555" s="113" t="s">
        <v>648</v>
      </c>
    </row>
    <row r="556" spans="1:2">
      <c r="A556" s="112" t="s">
        <v>291</v>
      </c>
      <c r="B556" s="113" t="s">
        <v>608</v>
      </c>
    </row>
    <row r="557" spans="1:2">
      <c r="A557" s="112" t="s">
        <v>196</v>
      </c>
      <c r="B557" s="113" t="s">
        <v>635</v>
      </c>
    </row>
    <row r="558" spans="1:2">
      <c r="A558" s="112" t="s">
        <v>227</v>
      </c>
      <c r="B558" s="113" t="s">
        <v>667</v>
      </c>
    </row>
    <row r="559" spans="1:2">
      <c r="A559" s="112" t="s">
        <v>297</v>
      </c>
      <c r="B559" s="113" t="s">
        <v>673</v>
      </c>
    </row>
    <row r="560" spans="1:2">
      <c r="A560" s="112" t="s">
        <v>142</v>
      </c>
      <c r="B560" s="113" t="s">
        <v>624</v>
      </c>
    </row>
    <row r="561" spans="1:2">
      <c r="A561" s="112" t="s">
        <v>199</v>
      </c>
      <c r="B561" s="113" t="s">
        <v>659</v>
      </c>
    </row>
    <row r="562" spans="1:2">
      <c r="A562" s="112" t="s">
        <v>110</v>
      </c>
      <c r="B562" s="113" t="s">
        <v>638</v>
      </c>
    </row>
    <row r="563" spans="1:2">
      <c r="A563" s="112" t="s">
        <v>173</v>
      </c>
      <c r="B563" s="113" t="s">
        <v>654</v>
      </c>
    </row>
    <row r="564" spans="1:2">
      <c r="A564" s="112" t="s">
        <v>123</v>
      </c>
      <c r="B564" s="113" t="s">
        <v>642</v>
      </c>
    </row>
    <row r="565" spans="1:2">
      <c r="A565" s="112" t="s">
        <v>234</v>
      </c>
      <c r="B565" s="113" t="s">
        <v>626</v>
      </c>
    </row>
    <row r="566" spans="1:2">
      <c r="A566" s="112" t="s">
        <v>110</v>
      </c>
      <c r="B566" s="113" t="s">
        <v>619</v>
      </c>
    </row>
    <row r="567" spans="1:2">
      <c r="A567" s="112" t="s">
        <v>124</v>
      </c>
      <c r="B567" s="113" t="s">
        <v>611</v>
      </c>
    </row>
    <row r="568" spans="1:2">
      <c r="A568" s="112" t="s">
        <v>218</v>
      </c>
      <c r="B568" s="113" t="s">
        <v>647</v>
      </c>
    </row>
    <row r="569" spans="1:2">
      <c r="A569" s="112" t="s">
        <v>232</v>
      </c>
      <c r="B569" s="113" t="s">
        <v>663</v>
      </c>
    </row>
    <row r="570" spans="1:2">
      <c r="A570" s="112" t="s">
        <v>290</v>
      </c>
      <c r="B570" s="113" t="s">
        <v>630</v>
      </c>
    </row>
    <row r="571" spans="1:2">
      <c r="A571" s="112" t="s">
        <v>230</v>
      </c>
      <c r="B571" s="113" t="s">
        <v>754</v>
      </c>
    </row>
    <row r="572" spans="1:2">
      <c r="A572" s="112" t="s">
        <v>240</v>
      </c>
      <c r="B572" s="113" t="s">
        <v>621</v>
      </c>
    </row>
    <row r="573" spans="1:2">
      <c r="A573" s="112" t="s">
        <v>254</v>
      </c>
      <c r="B573" s="113" t="s">
        <v>628</v>
      </c>
    </row>
    <row r="574" spans="1:2">
      <c r="A574" s="112" t="s">
        <v>236</v>
      </c>
      <c r="B574" s="113" t="s">
        <v>626</v>
      </c>
    </row>
    <row r="575" spans="1:2">
      <c r="A575" s="112" t="s">
        <v>214</v>
      </c>
      <c r="B575" s="113" t="s">
        <v>632</v>
      </c>
    </row>
    <row r="576" spans="1:2">
      <c r="A576" s="112" t="s">
        <v>192</v>
      </c>
      <c r="B576" s="113" t="s">
        <v>618</v>
      </c>
    </row>
    <row r="577" spans="1:2">
      <c r="A577" s="112" t="s">
        <v>210</v>
      </c>
      <c r="B577" s="113" t="s">
        <v>660</v>
      </c>
    </row>
    <row r="578" spans="1:2">
      <c r="A578" s="112" t="s">
        <v>154</v>
      </c>
      <c r="B578" s="113" t="s">
        <v>624</v>
      </c>
    </row>
    <row r="579" spans="1:2">
      <c r="A579" s="112" t="s">
        <v>112</v>
      </c>
      <c r="B579" s="113" t="s">
        <v>639</v>
      </c>
    </row>
    <row r="580" spans="1:2">
      <c r="A580" s="112" t="s">
        <v>225</v>
      </c>
      <c r="B580" s="113" t="s">
        <v>665</v>
      </c>
    </row>
    <row r="581" spans="1:2">
      <c r="A581" s="112" t="s">
        <v>255</v>
      </c>
      <c r="B581" s="113" t="s">
        <v>669</v>
      </c>
    </row>
    <row r="582" spans="1:2">
      <c r="A582" s="112" t="s">
        <v>287</v>
      </c>
      <c r="B582" s="113" t="s">
        <v>672</v>
      </c>
    </row>
    <row r="583" spans="1:2">
      <c r="A583" s="112" t="s">
        <v>230</v>
      </c>
      <c r="B583" s="113" t="s">
        <v>622</v>
      </c>
    </row>
    <row r="584" spans="1:2">
      <c r="A584" s="112" t="s">
        <v>139</v>
      </c>
      <c r="B584" s="113" t="s">
        <v>686</v>
      </c>
    </row>
    <row r="585" spans="1:2">
      <c r="A585" s="112" t="s">
        <v>200</v>
      </c>
      <c r="B585" s="113" t="s">
        <v>658</v>
      </c>
    </row>
    <row r="586" spans="1:2">
      <c r="A586" s="112" t="s">
        <v>102</v>
      </c>
      <c r="B586" s="113" t="s">
        <v>631</v>
      </c>
    </row>
    <row r="587" spans="1:2">
      <c r="A587" s="112" t="s">
        <v>216</v>
      </c>
      <c r="B587" s="113" t="s">
        <v>611</v>
      </c>
    </row>
    <row r="588" spans="1:2">
      <c r="A588" s="112" t="s">
        <v>83</v>
      </c>
      <c r="B588" s="113" t="s">
        <v>618</v>
      </c>
    </row>
    <row r="589" spans="1:2">
      <c r="A589" s="112" t="s">
        <v>120</v>
      </c>
      <c r="B589" s="113" t="s">
        <v>617</v>
      </c>
    </row>
    <row r="590" spans="1:2">
      <c r="A590" s="112" t="s">
        <v>590</v>
      </c>
      <c r="B590" s="113" t="s">
        <v>708</v>
      </c>
    </row>
    <row r="591" spans="1:2">
      <c r="A591" s="112" t="s">
        <v>283</v>
      </c>
      <c r="B591" s="113" t="s">
        <v>620</v>
      </c>
    </row>
    <row r="592" spans="1:2">
      <c r="A592" s="112" t="s">
        <v>245</v>
      </c>
      <c r="B592" s="113" t="s">
        <v>626</v>
      </c>
    </row>
    <row r="593" spans="1:2">
      <c r="A593" s="112" t="s">
        <v>280</v>
      </c>
      <c r="B593" s="113" t="s">
        <v>620</v>
      </c>
    </row>
    <row r="594" spans="1:2">
      <c r="A594" s="112" t="s">
        <v>259</v>
      </c>
      <c r="B594" s="113" t="s">
        <v>628</v>
      </c>
    </row>
    <row r="595" spans="1:2">
      <c r="A595" s="112" t="s">
        <v>695</v>
      </c>
      <c r="B595" s="113" t="s">
        <v>629</v>
      </c>
    </row>
    <row r="596" spans="1:2">
      <c r="A596" s="112" t="s">
        <v>233</v>
      </c>
      <c r="B596" s="113" t="s">
        <v>620</v>
      </c>
    </row>
    <row r="597" spans="1:2">
      <c r="A597" s="112" t="s">
        <v>55</v>
      </c>
      <c r="B597" s="113" t="s">
        <v>616</v>
      </c>
    </row>
    <row r="598" spans="1:2">
      <c r="A598" s="112" t="s">
        <v>60</v>
      </c>
      <c r="B598" s="113" t="s">
        <v>742</v>
      </c>
    </row>
    <row r="599" spans="1:2">
      <c r="A599" s="112" t="s">
        <v>711</v>
      </c>
      <c r="B599" s="113" t="s">
        <v>628</v>
      </c>
    </row>
    <row r="600" spans="1:2">
      <c r="A600" s="112" t="s">
        <v>682</v>
      </c>
      <c r="B600" s="113" t="s">
        <v>612</v>
      </c>
    </row>
    <row r="601" spans="1:2">
      <c r="A601" s="112" t="s">
        <v>755</v>
      </c>
      <c r="B601" s="113" t="s">
        <v>742</v>
      </c>
    </row>
    <row r="602" spans="1:2">
      <c r="A602" s="112" t="s">
        <v>60</v>
      </c>
      <c r="B602" s="113" t="s">
        <v>630</v>
      </c>
    </row>
    <row r="603" spans="1:2">
      <c r="A603" s="112" t="s">
        <v>91</v>
      </c>
      <c r="B603" s="113" t="s">
        <v>628</v>
      </c>
    </row>
    <row r="604" spans="1:2">
      <c r="A604" s="112" t="s">
        <v>307</v>
      </c>
      <c r="B604" s="113" t="s">
        <v>660</v>
      </c>
    </row>
    <row r="605" spans="1:2">
      <c r="A605" s="112" t="s">
        <v>123</v>
      </c>
      <c r="B605" s="113" t="s">
        <v>661</v>
      </c>
    </row>
    <row r="606" spans="1:2">
      <c r="A606" s="112" t="s">
        <v>288</v>
      </c>
      <c r="B606" s="113" t="s">
        <v>611</v>
      </c>
    </row>
    <row r="607" spans="1:2">
      <c r="A607" s="112" t="s">
        <v>149</v>
      </c>
      <c r="B607" s="113" t="s">
        <v>637</v>
      </c>
    </row>
    <row r="608" spans="1:2">
      <c r="A608" s="112" t="s">
        <v>203</v>
      </c>
      <c r="B608" s="113" t="s">
        <v>669</v>
      </c>
    </row>
    <row r="609" spans="1:2">
      <c r="A609" s="112" t="s">
        <v>241</v>
      </c>
      <c r="B609" s="113" t="s">
        <v>629</v>
      </c>
    </row>
    <row r="610" spans="1:2">
      <c r="A610" s="112" t="s">
        <v>258</v>
      </c>
      <c r="B610" s="113" t="s">
        <v>628</v>
      </c>
    </row>
    <row r="611" spans="1:2">
      <c r="A611" s="112" t="s">
        <v>247</v>
      </c>
      <c r="B611" s="113" t="s">
        <v>628</v>
      </c>
    </row>
    <row r="612" spans="1:2">
      <c r="A612" s="112" t="s">
        <v>108</v>
      </c>
      <c r="B612" s="113" t="s">
        <v>619</v>
      </c>
    </row>
    <row r="613" spans="1:2">
      <c r="A613" s="112" t="s">
        <v>239</v>
      </c>
      <c r="B613" s="113" t="s">
        <v>626</v>
      </c>
    </row>
    <row r="614" spans="1:2">
      <c r="A614" s="112" t="s">
        <v>118</v>
      </c>
      <c r="B614" s="113" t="s">
        <v>619</v>
      </c>
    </row>
    <row r="615" spans="1:2">
      <c r="A615" s="112" t="s">
        <v>254</v>
      </c>
      <c r="B615" s="113" t="s">
        <v>669</v>
      </c>
    </row>
    <row r="616" spans="1:2">
      <c r="A616" s="112" t="s">
        <v>150</v>
      </c>
      <c r="B616" s="113" t="s">
        <v>624</v>
      </c>
    </row>
    <row r="617" spans="1:2">
      <c r="A617" s="112" t="s">
        <v>106</v>
      </c>
      <c r="B617" s="113" t="s">
        <v>597</v>
      </c>
    </row>
    <row r="618" spans="1:2">
      <c r="A618" s="112" t="s">
        <v>137</v>
      </c>
      <c r="B618" s="113" t="s">
        <v>617</v>
      </c>
    </row>
    <row r="619" spans="1:2">
      <c r="A619" s="112" t="s">
        <v>212</v>
      </c>
      <c r="B619" s="113" t="s">
        <v>660</v>
      </c>
    </row>
    <row r="620" spans="1:2">
      <c r="A620" s="112" t="s">
        <v>101</v>
      </c>
      <c r="B620" s="113" t="s">
        <v>625</v>
      </c>
    </row>
    <row r="621" spans="1:2">
      <c r="A621" s="112" t="s">
        <v>718</v>
      </c>
      <c r="B621" s="113" t="s">
        <v>660</v>
      </c>
    </row>
    <row r="622" spans="1:2">
      <c r="A622" s="112" t="s">
        <v>756</v>
      </c>
      <c r="B622" s="113" t="s">
        <v>632</v>
      </c>
    </row>
    <row r="623" spans="1:2">
      <c r="A623" s="112" t="s">
        <v>756</v>
      </c>
      <c r="B623" s="113" t="s">
        <v>613</v>
      </c>
    </row>
    <row r="624" spans="1:2">
      <c r="A624" s="112" t="s">
        <v>95</v>
      </c>
      <c r="B624" s="113" t="s">
        <v>619</v>
      </c>
    </row>
    <row r="625" spans="1:2">
      <c r="A625" s="112" t="s">
        <v>757</v>
      </c>
      <c r="B625" s="113" t="s">
        <v>619</v>
      </c>
    </row>
    <row r="626" spans="1:2">
      <c r="A626" s="112" t="s">
        <v>758</v>
      </c>
      <c r="B626" s="113" t="s">
        <v>623</v>
      </c>
    </row>
    <row r="627" spans="1:2">
      <c r="A627" s="112" t="s">
        <v>759</v>
      </c>
      <c r="B627" s="113" t="s">
        <v>628</v>
      </c>
    </row>
    <row r="628" spans="1:2">
      <c r="A628" s="112" t="s">
        <v>716</v>
      </c>
      <c r="B628" s="113" t="s">
        <v>624</v>
      </c>
    </row>
    <row r="629" spans="1:2">
      <c r="A629" s="112" t="s">
        <v>760</v>
      </c>
      <c r="B629" s="113" t="s">
        <v>624</v>
      </c>
    </row>
    <row r="630" spans="1:2">
      <c r="A630" s="112" t="s">
        <v>761</v>
      </c>
      <c r="B630" s="113" t="s">
        <v>631</v>
      </c>
    </row>
    <row r="631" spans="1:2">
      <c r="A631" s="112" t="s">
        <v>762</v>
      </c>
      <c r="B631" s="113" t="s">
        <v>623</v>
      </c>
    </row>
    <row r="632" spans="1:2">
      <c r="A632" s="112" t="s">
        <v>763</v>
      </c>
      <c r="B632" s="113" t="s">
        <v>623</v>
      </c>
    </row>
    <row r="633" spans="1:2">
      <c r="A633" s="112" t="s">
        <v>83</v>
      </c>
      <c r="B633" s="113" t="s">
        <v>663</v>
      </c>
    </row>
    <row r="634" spans="1:2">
      <c r="A634" s="112" t="s">
        <v>174</v>
      </c>
      <c r="B634" s="113" t="s">
        <v>764</v>
      </c>
    </row>
    <row r="635" spans="1:2">
      <c r="A635" s="112" t="s">
        <v>765</v>
      </c>
      <c r="B635" s="113" t="s">
        <v>647</v>
      </c>
    </row>
    <row r="636" spans="1:2">
      <c r="A636" s="112" t="s">
        <v>256</v>
      </c>
      <c r="B636" s="113" t="s">
        <v>626</v>
      </c>
    </row>
    <row r="637" spans="1:2">
      <c r="A637" s="112" t="s">
        <v>55</v>
      </c>
      <c r="B637" s="113" t="s">
        <v>645</v>
      </c>
    </row>
    <row r="638" spans="1:2">
      <c r="A638" s="112" t="s">
        <v>245</v>
      </c>
      <c r="B638" s="113" t="s">
        <v>550</v>
      </c>
    </row>
    <row r="639" spans="1:2">
      <c r="A639" s="112" t="s">
        <v>766</v>
      </c>
      <c r="B639" s="113" t="s">
        <v>617</v>
      </c>
    </row>
    <row r="640" spans="1:2">
      <c r="A640" s="112" t="s">
        <v>767</v>
      </c>
      <c r="B640" s="113" t="s">
        <v>624</v>
      </c>
    </row>
    <row r="641" spans="1:2">
      <c r="A641" s="112" t="s">
        <v>243</v>
      </c>
      <c r="B641" s="113" t="s">
        <v>632</v>
      </c>
    </row>
    <row r="642" spans="1:2">
      <c r="A642" s="112" t="s">
        <v>256</v>
      </c>
      <c r="B642" s="113" t="s">
        <v>708</v>
      </c>
    </row>
    <row r="643" spans="1:2">
      <c r="A643" s="112" t="s">
        <v>86</v>
      </c>
      <c r="B643" s="113" t="s">
        <v>663</v>
      </c>
    </row>
    <row r="644" spans="1:2">
      <c r="A644" s="112" t="s">
        <v>195</v>
      </c>
      <c r="B644" s="113" t="s">
        <v>632</v>
      </c>
    </row>
    <row r="645" spans="1:2">
      <c r="A645" s="112" t="s">
        <v>145</v>
      </c>
      <c r="B645" s="113" t="s">
        <v>649</v>
      </c>
    </row>
    <row r="646" spans="1:2">
      <c r="A646" s="112" t="s">
        <v>193</v>
      </c>
      <c r="B646" s="113" t="s">
        <v>610</v>
      </c>
    </row>
    <row r="647" spans="1:2">
      <c r="A647" s="112" t="s">
        <v>153</v>
      </c>
      <c r="B647" s="113" t="s">
        <v>653</v>
      </c>
    </row>
    <row r="648" spans="1:2">
      <c r="A648" s="112" t="s">
        <v>768</v>
      </c>
      <c r="B648" s="113" t="s">
        <v>619</v>
      </c>
    </row>
    <row r="649" spans="1:2">
      <c r="A649" s="112" t="s">
        <v>769</v>
      </c>
      <c r="B649" s="113" t="s">
        <v>622</v>
      </c>
    </row>
    <row r="650" spans="1:2">
      <c r="A650" s="112" t="s">
        <v>770</v>
      </c>
      <c r="B650" s="113" t="s">
        <v>660</v>
      </c>
    </row>
    <row r="651" spans="1:2">
      <c r="A651" s="112" t="s">
        <v>771</v>
      </c>
      <c r="B651" s="113" t="s">
        <v>660</v>
      </c>
    </row>
    <row r="652" spans="1:2">
      <c r="A652" s="112" t="s">
        <v>249</v>
      </c>
      <c r="B652" s="113" t="s">
        <v>632</v>
      </c>
    </row>
    <row r="653" spans="1:2">
      <c r="A653" s="112" t="s">
        <v>184</v>
      </c>
      <c r="B653" s="113" t="s">
        <v>618</v>
      </c>
    </row>
    <row r="654" spans="1:2">
      <c r="A654" s="112" t="s">
        <v>147</v>
      </c>
      <c r="B654" s="113" t="s">
        <v>647</v>
      </c>
    </row>
    <row r="655" spans="1:2">
      <c r="A655" s="112" t="s">
        <v>91</v>
      </c>
      <c r="B655" s="113" t="s">
        <v>618</v>
      </c>
    </row>
    <row r="656" spans="1:2">
      <c r="A656" s="112" t="s">
        <v>246</v>
      </c>
      <c r="B656" s="113" t="s">
        <v>612</v>
      </c>
    </row>
    <row r="657" spans="1:2">
      <c r="A657" s="112" t="s">
        <v>224</v>
      </c>
      <c r="B657" s="113" t="s">
        <v>624</v>
      </c>
    </row>
    <row r="658" spans="1:2">
      <c r="A658" s="112" t="s">
        <v>276</v>
      </c>
      <c r="B658" s="113" t="s">
        <v>643</v>
      </c>
    </row>
    <row r="659" spans="1:2">
      <c r="A659" s="112" t="s">
        <v>239</v>
      </c>
      <c r="B659" s="113" t="s">
        <v>629</v>
      </c>
    </row>
    <row r="660" spans="1:2">
      <c r="A660" s="112" t="s">
        <v>772</v>
      </c>
      <c r="B660" s="113" t="s">
        <v>624</v>
      </c>
    </row>
    <row r="661" spans="1:2">
      <c r="A661" s="112" t="s">
        <v>231</v>
      </c>
      <c r="B661" s="113" t="s">
        <v>626</v>
      </c>
    </row>
    <row r="662" spans="1:2">
      <c r="A662" s="112" t="s">
        <v>721</v>
      </c>
      <c r="B662" s="113" t="s">
        <v>598</v>
      </c>
    </row>
    <row r="663" spans="1:2">
      <c r="A663" s="112" t="s">
        <v>78</v>
      </c>
      <c r="B663" s="113" t="s">
        <v>622</v>
      </c>
    </row>
    <row r="664" spans="1:2">
      <c r="A664" s="112" t="s">
        <v>199</v>
      </c>
      <c r="B664" s="113" t="s">
        <v>618</v>
      </c>
    </row>
    <row r="665" spans="1:2">
      <c r="A665" s="112" t="s">
        <v>178</v>
      </c>
      <c r="B665" s="113" t="s">
        <v>671</v>
      </c>
    </row>
    <row r="666" spans="1:2">
      <c r="A666" s="112" t="s">
        <v>217</v>
      </c>
      <c r="B666" s="113" t="s">
        <v>666</v>
      </c>
    </row>
    <row r="667" spans="1:2">
      <c r="A667" s="112" t="s">
        <v>226</v>
      </c>
      <c r="B667" s="113" t="s">
        <v>668</v>
      </c>
    </row>
    <row r="668" spans="1:2">
      <c r="A668" s="112" t="s">
        <v>265</v>
      </c>
      <c r="B668" s="113" t="s">
        <v>664</v>
      </c>
    </row>
    <row r="669" spans="1:2">
      <c r="A669" s="112" t="s">
        <v>271</v>
      </c>
      <c r="B669" s="113" t="s">
        <v>708</v>
      </c>
    </row>
    <row r="670" spans="1:2">
      <c r="A670" s="112" t="s">
        <v>110</v>
      </c>
      <c r="B670" s="113" t="s">
        <v>693</v>
      </c>
    </row>
    <row r="671" spans="1:2">
      <c r="A671" s="112" t="s">
        <v>89</v>
      </c>
      <c r="B671" s="113" t="s">
        <v>635</v>
      </c>
    </row>
    <row r="672" spans="1:2">
      <c r="A672" s="112" t="s">
        <v>110</v>
      </c>
      <c r="B672" s="113" t="s">
        <v>599</v>
      </c>
    </row>
    <row r="673" spans="1:2">
      <c r="A673" s="112" t="s">
        <v>119</v>
      </c>
      <c r="B673" s="113" t="s">
        <v>655</v>
      </c>
    </row>
    <row r="674" spans="1:2">
      <c r="A674" s="112" t="s">
        <v>125</v>
      </c>
      <c r="B674" s="113" t="s">
        <v>632</v>
      </c>
    </row>
    <row r="675" spans="1:2">
      <c r="A675" s="112" t="s">
        <v>773</v>
      </c>
      <c r="B675" s="113" t="s">
        <v>612</v>
      </c>
    </row>
    <row r="676" spans="1:2">
      <c r="A676" s="112" t="s">
        <v>260</v>
      </c>
      <c r="B676" s="113" t="s">
        <v>626</v>
      </c>
    </row>
    <row r="677" spans="1:2">
      <c r="A677" s="112" t="s">
        <v>161</v>
      </c>
      <c r="B677" s="113" t="s">
        <v>671</v>
      </c>
    </row>
    <row r="678" spans="1:2">
      <c r="A678" s="112" t="s">
        <v>160</v>
      </c>
      <c r="B678" s="113" t="s">
        <v>693</v>
      </c>
    </row>
    <row r="679" spans="1:2">
      <c r="A679" s="112" t="s">
        <v>228</v>
      </c>
      <c r="B679" s="113" t="s">
        <v>630</v>
      </c>
    </row>
    <row r="680" spans="1:2">
      <c r="A680" s="112" t="s">
        <v>231</v>
      </c>
      <c r="B680" s="113" t="s">
        <v>631</v>
      </c>
    </row>
    <row r="681" spans="1:2">
      <c r="A681" s="112" t="s">
        <v>107</v>
      </c>
      <c r="B681" s="113" t="s">
        <v>617</v>
      </c>
    </row>
    <row r="682" spans="1:2">
      <c r="A682" s="112" t="s">
        <v>115</v>
      </c>
      <c r="B682" s="113" t="s">
        <v>626</v>
      </c>
    </row>
    <row r="683" spans="1:2">
      <c r="A683" s="112" t="s">
        <v>116</v>
      </c>
      <c r="B683" s="113" t="s">
        <v>668</v>
      </c>
    </row>
    <row r="684" spans="1:2">
      <c r="A684" s="112" t="s">
        <v>117</v>
      </c>
      <c r="B684" s="113" t="s">
        <v>620</v>
      </c>
    </row>
    <row r="685" spans="1:2">
      <c r="A685" s="112" t="s">
        <v>97</v>
      </c>
      <c r="B685" s="113" t="s">
        <v>607</v>
      </c>
    </row>
    <row r="686" spans="1:2">
      <c r="A686" s="112" t="s">
        <v>101</v>
      </c>
      <c r="B686" s="113" t="s">
        <v>609</v>
      </c>
    </row>
    <row r="687" spans="1:2">
      <c r="A687" s="112" t="s">
        <v>271</v>
      </c>
      <c r="B687" s="113" t="s">
        <v>668</v>
      </c>
    </row>
    <row r="688" spans="1:2">
      <c r="A688" s="112" t="s">
        <v>97</v>
      </c>
      <c r="B688" s="113" t="s">
        <v>609</v>
      </c>
    </row>
    <row r="689" spans="1:2">
      <c r="A689" s="112" t="s">
        <v>81</v>
      </c>
      <c r="B689" s="113" t="s">
        <v>597</v>
      </c>
    </row>
    <row r="690" spans="1:2">
      <c r="A690" s="112" t="s">
        <v>63</v>
      </c>
      <c r="B690" s="113" t="s">
        <v>666</v>
      </c>
    </row>
    <row r="691" spans="1:2">
      <c r="A691" s="112" t="s">
        <v>57</v>
      </c>
      <c r="B691" s="113" t="s">
        <v>631</v>
      </c>
    </row>
    <row r="692" spans="1:2">
      <c r="A692" s="112" t="s">
        <v>226</v>
      </c>
      <c r="B692" s="113" t="s">
        <v>708</v>
      </c>
    </row>
    <row r="693" spans="1:2">
      <c r="A693" s="112" t="s">
        <v>774</v>
      </c>
      <c r="B693" s="113" t="s">
        <v>661</v>
      </c>
    </row>
    <row r="694" spans="1:2">
      <c r="A694" s="112" t="s">
        <v>97</v>
      </c>
      <c r="B694" s="113" t="s">
        <v>616</v>
      </c>
    </row>
    <row r="695" spans="1:2">
      <c r="A695" s="112" t="s">
        <v>694</v>
      </c>
      <c r="B695" s="113" t="s">
        <v>673</v>
      </c>
    </row>
    <row r="696" spans="1:2">
      <c r="A696" s="112" t="s">
        <v>69</v>
      </c>
      <c r="B696" s="113" t="s">
        <v>632</v>
      </c>
    </row>
    <row r="697" spans="1:2">
      <c r="A697" s="112" t="s">
        <v>691</v>
      </c>
      <c r="B697" s="113" t="s">
        <v>631</v>
      </c>
    </row>
    <row r="698" spans="1:2">
      <c r="A698" s="112" t="s">
        <v>101</v>
      </c>
      <c r="B698" s="113" t="s">
        <v>668</v>
      </c>
    </row>
    <row r="699" spans="1:2">
      <c r="A699" s="112" t="s">
        <v>120</v>
      </c>
      <c r="B699" s="113" t="s">
        <v>642</v>
      </c>
    </row>
    <row r="700" spans="1:2">
      <c r="A700" s="112" t="s">
        <v>121</v>
      </c>
      <c r="B700" s="113" t="s">
        <v>669</v>
      </c>
    </row>
    <row r="701" spans="1:2">
      <c r="A701" s="112" t="s">
        <v>738</v>
      </c>
      <c r="B701" s="113" t="s">
        <v>664</v>
      </c>
    </row>
    <row r="702" spans="1:2">
      <c r="A702" s="112" t="s">
        <v>161</v>
      </c>
      <c r="B702" s="113" t="s">
        <v>638</v>
      </c>
    </row>
    <row r="703" spans="1:2">
      <c r="A703" s="112" t="s">
        <v>775</v>
      </c>
      <c r="B703" s="113" t="s">
        <v>753</v>
      </c>
    </row>
    <row r="704" spans="1:2">
      <c r="A704" s="112" t="s">
        <v>217</v>
      </c>
      <c r="B704" s="113" t="s">
        <v>635</v>
      </c>
    </row>
    <row r="705" spans="1:2">
      <c r="A705" s="112" t="s">
        <v>228</v>
      </c>
      <c r="B705" s="113" t="s">
        <v>602</v>
      </c>
    </row>
    <row r="706" spans="1:2">
      <c r="A706" s="112" t="s">
        <v>266</v>
      </c>
      <c r="B706" s="113" t="s">
        <v>623</v>
      </c>
    </row>
    <row r="707" spans="1:2">
      <c r="A707" s="112" t="s">
        <v>267</v>
      </c>
      <c r="B707" s="113" t="s">
        <v>632</v>
      </c>
    </row>
    <row r="708" spans="1:2">
      <c r="A708" s="112" t="s">
        <v>285</v>
      </c>
      <c r="B708" s="113" t="s">
        <v>622</v>
      </c>
    </row>
    <row r="709" spans="1:2">
      <c r="A709" s="112" t="s">
        <v>776</v>
      </c>
      <c r="B709" s="113" t="s">
        <v>708</v>
      </c>
    </row>
    <row r="710" spans="1:2">
      <c r="A710" s="112" t="s">
        <v>159</v>
      </c>
      <c r="B710" s="113" t="s">
        <v>598</v>
      </c>
    </row>
    <row r="711" spans="1:2">
      <c r="A711" s="112" t="s">
        <v>160</v>
      </c>
      <c r="B711" s="113" t="s">
        <v>654</v>
      </c>
    </row>
    <row r="712" spans="1:2">
      <c r="A712" s="112" t="s">
        <v>226</v>
      </c>
      <c r="B712" s="113" t="s">
        <v>621</v>
      </c>
    </row>
    <row r="713" spans="1:2">
      <c r="A713" s="112" t="s">
        <v>217</v>
      </c>
      <c r="B713" s="113" t="s">
        <v>647</v>
      </c>
    </row>
    <row r="714" spans="1:2">
      <c r="A714" s="112" t="s">
        <v>53</v>
      </c>
      <c r="B714" s="113" t="s">
        <v>550</v>
      </c>
    </row>
    <row r="715" spans="1:2">
      <c r="A715" s="112" t="s">
        <v>228</v>
      </c>
      <c r="B715" s="113" t="s">
        <v>627</v>
      </c>
    </row>
    <row r="716" spans="1:2">
      <c r="A716" s="112" t="s">
        <v>777</v>
      </c>
      <c r="B716" s="113" t="s">
        <v>637</v>
      </c>
    </row>
    <row r="717" spans="1:2">
      <c r="A717" s="112" t="s">
        <v>161</v>
      </c>
      <c r="B717" s="113" t="s">
        <v>666</v>
      </c>
    </row>
    <row r="718" spans="1:2">
      <c r="A718" s="112" t="s">
        <v>226</v>
      </c>
      <c r="B718" s="113" t="s">
        <v>688</v>
      </c>
    </row>
    <row r="719" spans="1:2">
      <c r="A719" s="112" t="s">
        <v>772</v>
      </c>
      <c r="B719" s="113" t="s">
        <v>647</v>
      </c>
    </row>
    <row r="720" spans="1:2">
      <c r="A720" s="112" t="s">
        <v>269</v>
      </c>
      <c r="B720" s="113" t="s">
        <v>624</v>
      </c>
    </row>
    <row r="721" spans="1:2">
      <c r="A721" s="112" t="s">
        <v>96</v>
      </c>
      <c r="B721" s="113" t="s">
        <v>631</v>
      </c>
    </row>
    <row r="722" spans="1:2">
      <c r="A722" s="112" t="s">
        <v>217</v>
      </c>
      <c r="B722" s="113" t="s">
        <v>631</v>
      </c>
    </row>
    <row r="723" spans="1:2">
      <c r="A723" s="112" t="s">
        <v>245</v>
      </c>
      <c r="B723" s="113" t="s">
        <v>663</v>
      </c>
    </row>
    <row r="724" spans="1:2">
      <c r="A724" s="112" t="s">
        <v>121</v>
      </c>
      <c r="B724" s="113" t="s">
        <v>732</v>
      </c>
    </row>
    <row r="725" spans="1:2">
      <c r="A725" s="112" t="s">
        <v>739</v>
      </c>
      <c r="B725" s="113" t="s">
        <v>728</v>
      </c>
    </row>
    <row r="726" spans="1:2">
      <c r="A726" s="112" t="s">
        <v>83</v>
      </c>
      <c r="B726" s="113" t="s">
        <v>631</v>
      </c>
    </row>
    <row r="727" spans="1:2">
      <c r="A727" s="112" t="s">
        <v>265</v>
      </c>
      <c r="B727" s="113" t="s">
        <v>666</v>
      </c>
    </row>
    <row r="728" spans="1:2">
      <c r="A728" s="112" t="s">
        <v>778</v>
      </c>
      <c r="B728" s="113" t="s">
        <v>632</v>
      </c>
    </row>
    <row r="729" spans="1:2">
      <c r="A729" s="112" t="s">
        <v>178</v>
      </c>
      <c r="B729" s="113" t="s">
        <v>732</v>
      </c>
    </row>
    <row r="730" spans="1:2">
      <c r="A730" s="112" t="s">
        <v>91</v>
      </c>
      <c r="B730" s="113" t="s">
        <v>600</v>
      </c>
    </row>
    <row r="731" spans="1:2">
      <c r="A731" s="112" t="s">
        <v>185</v>
      </c>
      <c r="B731" s="113" t="s">
        <v>670</v>
      </c>
    </row>
    <row r="732" spans="1:2">
      <c r="A732" s="112" t="s">
        <v>247</v>
      </c>
      <c r="B732" s="113" t="s">
        <v>621</v>
      </c>
    </row>
    <row r="733" spans="1:2">
      <c r="A733" s="112" t="s">
        <v>256</v>
      </c>
      <c r="B733" s="113" t="s">
        <v>671</v>
      </c>
    </row>
    <row r="734" spans="1:2">
      <c r="A734" s="112" t="s">
        <v>289</v>
      </c>
      <c r="B734" s="113" t="s">
        <v>657</v>
      </c>
    </row>
    <row r="735" spans="1:2">
      <c r="A735" s="112" t="s">
        <v>188</v>
      </c>
      <c r="B735" s="113" t="s">
        <v>612</v>
      </c>
    </row>
    <row r="736" spans="1:2">
      <c r="A736" s="112" t="s">
        <v>246</v>
      </c>
      <c r="B736" s="113" t="s">
        <v>735</v>
      </c>
    </row>
    <row r="737" spans="1:2">
      <c r="A737" s="112" t="s">
        <v>221</v>
      </c>
      <c r="B737" s="113" t="s">
        <v>697</v>
      </c>
    </row>
    <row r="738" spans="1:2">
      <c r="A738" s="112" t="s">
        <v>231</v>
      </c>
      <c r="B738" s="113" t="s">
        <v>619</v>
      </c>
    </row>
    <row r="739" spans="1:2">
      <c r="A739" s="112" t="s">
        <v>161</v>
      </c>
      <c r="B739" s="113" t="s">
        <v>632</v>
      </c>
    </row>
    <row r="740" spans="1:2">
      <c r="A740" s="112" t="s">
        <v>755</v>
      </c>
      <c r="B740" s="113" t="s">
        <v>630</v>
      </c>
    </row>
    <row r="741" spans="1:2">
      <c r="A741" s="112" t="s">
        <v>66</v>
      </c>
      <c r="B741" s="113" t="s">
        <v>612</v>
      </c>
    </row>
    <row r="742" spans="1:2">
      <c r="A742" s="112" t="s">
        <v>292</v>
      </c>
      <c r="B742" s="113" t="s">
        <v>607</v>
      </c>
    </row>
    <row r="743" spans="1:2">
      <c r="A743" s="112" t="s">
        <v>221</v>
      </c>
      <c r="B743" s="113" t="s">
        <v>650</v>
      </c>
    </row>
    <row r="744" spans="1:2">
      <c r="A744" s="112" t="s">
        <v>292</v>
      </c>
      <c r="B744" s="113" t="s">
        <v>609</v>
      </c>
    </row>
    <row r="745" spans="1:2">
      <c r="A745" s="112" t="s">
        <v>84</v>
      </c>
      <c r="B745" s="113" t="s">
        <v>596</v>
      </c>
    </row>
    <row r="746" spans="1:2">
      <c r="A746" s="112" t="s">
        <v>104</v>
      </c>
      <c r="B746" s="113" t="s">
        <v>676</v>
      </c>
    </row>
    <row r="747" spans="1:2">
      <c r="A747" s="112" t="s">
        <v>108</v>
      </c>
      <c r="B747" s="113" t="s">
        <v>647</v>
      </c>
    </row>
    <row r="748" spans="1:2">
      <c r="A748" s="112" t="s">
        <v>246</v>
      </c>
      <c r="B748" s="113" t="s">
        <v>626</v>
      </c>
    </row>
    <row r="749" spans="1:2">
      <c r="A749" s="112" t="s">
        <v>107</v>
      </c>
      <c r="B749" s="113" t="s">
        <v>616</v>
      </c>
    </row>
    <row r="750" spans="1:2">
      <c r="A750" s="112" t="s">
        <v>247</v>
      </c>
      <c r="B750" s="113" t="s">
        <v>634</v>
      </c>
    </row>
    <row r="751" spans="1:2">
      <c r="A751" s="112" t="s">
        <v>301</v>
      </c>
      <c r="B751" s="113" t="s">
        <v>673</v>
      </c>
    </row>
    <row r="752" spans="1:2">
      <c r="A752" s="112" t="s">
        <v>104</v>
      </c>
      <c r="B752" s="113" t="s">
        <v>619</v>
      </c>
    </row>
    <row r="753" spans="1:2">
      <c r="A753" s="112" t="s">
        <v>160</v>
      </c>
      <c r="B753" s="113" t="s">
        <v>643</v>
      </c>
    </row>
    <row r="754" spans="1:2">
      <c r="A754" s="112" t="s">
        <v>261</v>
      </c>
      <c r="B754" s="113" t="s">
        <v>623</v>
      </c>
    </row>
    <row r="755" spans="1:2">
      <c r="A755" s="112" t="s">
        <v>74</v>
      </c>
      <c r="B755" s="113" t="s">
        <v>617</v>
      </c>
    </row>
    <row r="756" spans="1:2">
      <c r="A756" s="112" t="s">
        <v>104</v>
      </c>
      <c r="B756" s="113" t="s">
        <v>601</v>
      </c>
    </row>
    <row r="757" spans="1:2">
      <c r="A757" s="112" t="s">
        <v>114</v>
      </c>
      <c r="B757" s="113" t="s">
        <v>619</v>
      </c>
    </row>
    <row r="758" spans="1:2">
      <c r="A758" s="112" t="s">
        <v>113</v>
      </c>
      <c r="B758" s="113" t="s">
        <v>601</v>
      </c>
    </row>
    <row r="759" spans="1:2">
      <c r="A759" s="112" t="s">
        <v>114</v>
      </c>
      <c r="B759" s="113" t="s">
        <v>660</v>
      </c>
    </row>
    <row r="760" spans="1:2">
      <c r="A760" s="112" t="s">
        <v>125</v>
      </c>
      <c r="B760" s="113" t="s">
        <v>623</v>
      </c>
    </row>
    <row r="761" spans="1:2">
      <c r="A761" s="112" t="s">
        <v>65</v>
      </c>
      <c r="B761" s="113" t="s">
        <v>622</v>
      </c>
    </row>
    <row r="762" spans="1:2">
      <c r="A762" s="112" t="s">
        <v>221</v>
      </c>
      <c r="B762" s="113" t="s">
        <v>683</v>
      </c>
    </row>
    <row r="763" spans="1:2">
      <c r="A763" s="112" t="s">
        <v>230</v>
      </c>
      <c r="B763" s="113" t="s">
        <v>634</v>
      </c>
    </row>
    <row r="764" spans="1:2">
      <c r="A764" s="112" t="s">
        <v>233</v>
      </c>
      <c r="B764" s="113" t="s">
        <v>672</v>
      </c>
    </row>
    <row r="765" spans="1:2">
      <c r="A765" s="112" t="s">
        <v>722</v>
      </c>
      <c r="B765" s="113" t="s">
        <v>661</v>
      </c>
    </row>
    <row r="766" spans="1:2">
      <c r="A766" s="112" t="s">
        <v>248</v>
      </c>
      <c r="B766" s="113" t="s">
        <v>620</v>
      </c>
    </row>
    <row r="767" spans="1:2">
      <c r="A767" s="112" t="s">
        <v>95</v>
      </c>
      <c r="B767" s="113" t="s">
        <v>632</v>
      </c>
    </row>
    <row r="768" spans="1:2">
      <c r="A768" s="112" t="s">
        <v>749</v>
      </c>
      <c r="B768" s="113" t="s">
        <v>742</v>
      </c>
    </row>
    <row r="769" spans="1:2">
      <c r="A769" s="112" t="s">
        <v>722</v>
      </c>
      <c r="B769" s="113" t="s">
        <v>599</v>
      </c>
    </row>
    <row r="770" spans="1:2">
      <c r="A770" s="112" t="s">
        <v>265</v>
      </c>
      <c r="B770" s="113" t="s">
        <v>601</v>
      </c>
    </row>
    <row r="771" spans="1:2">
      <c r="A771" s="112" t="s">
        <v>267</v>
      </c>
      <c r="B771" s="113" t="s">
        <v>779</v>
      </c>
    </row>
    <row r="772" spans="1:2">
      <c r="A772" s="112" t="s">
        <v>53</v>
      </c>
      <c r="B772" s="113" t="s">
        <v>609</v>
      </c>
    </row>
    <row r="773" spans="1:2">
      <c r="A773" s="112" t="s">
        <v>266</v>
      </c>
      <c r="B773" s="113" t="s">
        <v>621</v>
      </c>
    </row>
    <row r="774" spans="1:2">
      <c r="A774" s="112" t="s">
        <v>197</v>
      </c>
      <c r="B774" s="113" t="s">
        <v>630</v>
      </c>
    </row>
    <row r="775" spans="1:2">
      <c r="A775" s="112" t="s">
        <v>198</v>
      </c>
      <c r="B775" s="113" t="s">
        <v>622</v>
      </c>
    </row>
    <row r="776" spans="1:2">
      <c r="A776" s="112" t="s">
        <v>69</v>
      </c>
      <c r="B776" s="113" t="s">
        <v>631</v>
      </c>
    </row>
    <row r="777" spans="1:2">
      <c r="A777" s="112" t="s">
        <v>210</v>
      </c>
      <c r="B777" s="113" t="s">
        <v>632</v>
      </c>
    </row>
    <row r="778" spans="1:2">
      <c r="A778" s="112" t="s">
        <v>780</v>
      </c>
      <c r="B778" s="113" t="s">
        <v>620</v>
      </c>
    </row>
    <row r="779" spans="1:2">
      <c r="A779" s="112" t="s">
        <v>722</v>
      </c>
      <c r="B779" s="113" t="s">
        <v>611</v>
      </c>
    </row>
    <row r="780" spans="1:2">
      <c r="A780" s="112" t="s">
        <v>120</v>
      </c>
      <c r="B780" s="113" t="s">
        <v>628</v>
      </c>
    </row>
    <row r="781" spans="1:2">
      <c r="A781" s="112" t="s">
        <v>276</v>
      </c>
      <c r="B781" s="113" t="s">
        <v>667</v>
      </c>
    </row>
    <row r="782" spans="1:2">
      <c r="A782" s="112" t="s">
        <v>781</v>
      </c>
      <c r="B782" s="113" t="s">
        <v>642</v>
      </c>
    </row>
    <row r="783" spans="1:2">
      <c r="A783" s="112" t="s">
        <v>142</v>
      </c>
      <c r="B783" s="113" t="s">
        <v>622</v>
      </c>
    </row>
    <row r="784" spans="1:2">
      <c r="A784" s="112" t="s">
        <v>217</v>
      </c>
      <c r="B784" s="113" t="s">
        <v>671</v>
      </c>
    </row>
    <row r="785" spans="1:2">
      <c r="A785" s="112" t="s">
        <v>104</v>
      </c>
      <c r="B785" s="113" t="s">
        <v>639</v>
      </c>
    </row>
    <row r="786" spans="1:2">
      <c r="A786" s="112" t="s">
        <v>104</v>
      </c>
      <c r="B786" s="113" t="s">
        <v>640</v>
      </c>
    </row>
    <row r="787" spans="1:2">
      <c r="A787" s="112" t="s">
        <v>292</v>
      </c>
      <c r="B787" s="113" t="s">
        <v>625</v>
      </c>
    </row>
    <row r="788" spans="1:2">
      <c r="A788" s="112" t="s">
        <v>221</v>
      </c>
      <c r="B788" s="113" t="s">
        <v>631</v>
      </c>
    </row>
    <row r="789" spans="1:2">
      <c r="A789" s="112" t="s">
        <v>292</v>
      </c>
      <c r="B789" s="113" t="s">
        <v>597</v>
      </c>
    </row>
    <row r="790" spans="1:2">
      <c r="A790" s="112" t="s">
        <v>69</v>
      </c>
      <c r="B790" s="113" t="s">
        <v>635</v>
      </c>
    </row>
    <row r="791" spans="1:2">
      <c r="A791" s="112" t="s">
        <v>119</v>
      </c>
      <c r="B791" s="113" t="s">
        <v>619</v>
      </c>
    </row>
    <row r="792" spans="1:2">
      <c r="A792" s="112" t="s">
        <v>99</v>
      </c>
      <c r="B792" s="113" t="s">
        <v>632</v>
      </c>
    </row>
    <row r="793" spans="1:2">
      <c r="A793" s="112" t="s">
        <v>238</v>
      </c>
      <c r="B793" s="113" t="s">
        <v>639</v>
      </c>
    </row>
    <row r="794" spans="1:2">
      <c r="A794" s="112" t="s">
        <v>195</v>
      </c>
      <c r="B794" s="113" t="s">
        <v>631</v>
      </c>
    </row>
    <row r="795" spans="1:2">
      <c r="A795" s="112" t="s">
        <v>119</v>
      </c>
      <c r="B795" s="113" t="s">
        <v>597</v>
      </c>
    </row>
    <row r="796" spans="1:2">
      <c r="A796" s="112" t="s">
        <v>271</v>
      </c>
      <c r="B796" s="113" t="s">
        <v>625</v>
      </c>
    </row>
    <row r="797" spans="1:2">
      <c r="A797" s="112" t="s">
        <v>178</v>
      </c>
      <c r="B797" s="113" t="s">
        <v>753</v>
      </c>
    </row>
    <row r="798" spans="1:2">
      <c r="A798" s="112" t="s">
        <v>224</v>
      </c>
      <c r="B798" s="113" t="s">
        <v>629</v>
      </c>
    </row>
    <row r="799" spans="1:2">
      <c r="A799" s="112" t="s">
        <v>235</v>
      </c>
      <c r="B799" s="113" t="s">
        <v>617</v>
      </c>
    </row>
    <row r="800" spans="1:2">
      <c r="A800" s="112" t="s">
        <v>97</v>
      </c>
      <c r="B800" s="113" t="s">
        <v>628</v>
      </c>
    </row>
    <row r="801" spans="1:2">
      <c r="A801" s="112" t="s">
        <v>187</v>
      </c>
      <c r="B801" s="113" t="s">
        <v>659</v>
      </c>
    </row>
    <row r="802" spans="1:2">
      <c r="A802" s="112" t="s">
        <v>103</v>
      </c>
      <c r="B802" s="113" t="s">
        <v>631</v>
      </c>
    </row>
    <row r="803" spans="1:2">
      <c r="A803" s="112" t="s">
        <v>63</v>
      </c>
      <c r="B803" s="113" t="s">
        <v>622</v>
      </c>
    </row>
    <row r="804" spans="1:2">
      <c r="A804" s="112" t="s">
        <v>121</v>
      </c>
      <c r="B804" s="113" t="s">
        <v>611</v>
      </c>
    </row>
    <row r="805" spans="1:2">
      <c r="A805" s="112" t="s">
        <v>138</v>
      </c>
      <c r="B805" s="113" t="s">
        <v>610</v>
      </c>
    </row>
    <row r="806" spans="1:2">
      <c r="A806" s="112" t="s">
        <v>97</v>
      </c>
      <c r="B806" s="113" t="s">
        <v>612</v>
      </c>
    </row>
    <row r="807" spans="1:2">
      <c r="A807" s="112" t="s">
        <v>84</v>
      </c>
      <c r="B807" s="113" t="s">
        <v>753</v>
      </c>
    </row>
    <row r="808" spans="1:2">
      <c r="A808" s="112" t="s">
        <v>185</v>
      </c>
      <c r="B808" s="113" t="s">
        <v>628</v>
      </c>
    </row>
    <row r="809" spans="1:2">
      <c r="A809" s="112" t="s">
        <v>201</v>
      </c>
      <c r="B809" s="113" t="s">
        <v>622</v>
      </c>
    </row>
    <row r="810" spans="1:2">
      <c r="A810" s="112" t="s">
        <v>84</v>
      </c>
      <c r="B810" s="113" t="s">
        <v>618</v>
      </c>
    </row>
    <row r="811" spans="1:2">
      <c r="A811" s="112" t="s">
        <v>69</v>
      </c>
      <c r="B811" s="113" t="s">
        <v>618</v>
      </c>
    </row>
    <row r="812" spans="1:2">
      <c r="A812" s="112" t="s">
        <v>92</v>
      </c>
      <c r="B812" s="113" t="s">
        <v>632</v>
      </c>
    </row>
    <row r="813" spans="1:2">
      <c r="A813" s="112" t="s">
        <v>81</v>
      </c>
      <c r="B813" s="113" t="s">
        <v>612</v>
      </c>
    </row>
    <row r="814" spans="1:2">
      <c r="A814" s="112" t="s">
        <v>178</v>
      </c>
      <c r="B814" s="113" t="s">
        <v>666</v>
      </c>
    </row>
    <row r="815" spans="1:2">
      <c r="A815" s="112" t="s">
        <v>79</v>
      </c>
      <c r="B815" s="113" t="s">
        <v>624</v>
      </c>
    </row>
    <row r="816" spans="1:2">
      <c r="A816" s="112" t="s">
        <v>69</v>
      </c>
      <c r="B816" s="113" t="s">
        <v>623</v>
      </c>
    </row>
    <row r="817" spans="1:2">
      <c r="A817" s="112" t="s">
        <v>113</v>
      </c>
      <c r="B817" s="113" t="s">
        <v>632</v>
      </c>
    </row>
    <row r="818" spans="1:2">
      <c r="A818" s="112" t="s">
        <v>135</v>
      </c>
      <c r="B818" s="113" t="s">
        <v>610</v>
      </c>
    </row>
    <row r="819" spans="1:2">
      <c r="A819" s="112" t="s">
        <v>63</v>
      </c>
      <c r="B819" s="113" t="s">
        <v>619</v>
      </c>
    </row>
    <row r="820" spans="1:2">
      <c r="A820" s="112" t="s">
        <v>101</v>
      </c>
      <c r="B820" s="113" t="s">
        <v>597</v>
      </c>
    </row>
    <row r="821" spans="1:2">
      <c r="A821" s="112" t="s">
        <v>105</v>
      </c>
      <c r="B821" s="113" t="s">
        <v>619</v>
      </c>
    </row>
    <row r="822" spans="1:2">
      <c r="A822" s="112" t="s">
        <v>782</v>
      </c>
      <c r="B822" s="113" t="s">
        <v>607</v>
      </c>
    </row>
    <row r="823" spans="1:2">
      <c r="A823" s="112" t="s">
        <v>94</v>
      </c>
      <c r="B823" s="113" t="s">
        <v>659</v>
      </c>
    </row>
    <row r="824" spans="1:2">
      <c r="A824" s="112" t="s">
        <v>92</v>
      </c>
      <c r="B824" s="113" t="s">
        <v>606</v>
      </c>
    </row>
    <row r="825" spans="1:2">
      <c r="A825" s="112" t="s">
        <v>95</v>
      </c>
      <c r="B825" s="113" t="s">
        <v>635</v>
      </c>
    </row>
    <row r="826" spans="1:2">
      <c r="A826" s="112" t="s">
        <v>66</v>
      </c>
      <c r="B826" s="113" t="s">
        <v>631</v>
      </c>
    </row>
    <row r="827" spans="1:2">
      <c r="A827" s="112" t="s">
        <v>181</v>
      </c>
      <c r="B827" s="113" t="s">
        <v>635</v>
      </c>
    </row>
    <row r="828" spans="1:2">
      <c r="A828" s="112" t="s">
        <v>113</v>
      </c>
      <c r="B828" s="113" t="s">
        <v>619</v>
      </c>
    </row>
    <row r="829" spans="1:2">
      <c r="A829" s="112" t="s">
        <v>1135</v>
      </c>
      <c r="B829" s="113" t="s">
        <v>604</v>
      </c>
    </row>
    <row r="830" spans="1:2">
      <c r="A830" s="112" t="s">
        <v>240</v>
      </c>
      <c r="B830" s="113" t="s">
        <v>605</v>
      </c>
    </row>
    <row r="831" spans="1:2">
      <c r="A831" s="112" t="s">
        <v>99</v>
      </c>
      <c r="B831" s="113" t="s">
        <v>631</v>
      </c>
    </row>
    <row r="832" spans="1:2">
      <c r="A832" s="112" t="s">
        <v>1136</v>
      </c>
      <c r="B832" s="113" t="s">
        <v>598</v>
      </c>
    </row>
    <row r="833" spans="1:2">
      <c r="A833" s="112" t="s">
        <v>187</v>
      </c>
      <c r="B833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A793"/>
  <sheetViews>
    <sheetView topLeftCell="BH1" zoomScale="70" zoomScaleNormal="70" workbookViewId="0">
      <pane ySplit="1" topLeftCell="A2" activePane="bottomLeft" state="frozen"/>
      <selection pane="bottomLeft" activeCell="BY6" sqref="BY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16384" width="12.42578125" style="29"/>
  </cols>
  <sheetData>
    <row r="1" spans="1:79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872</v>
      </c>
      <c r="CA1" s="28"/>
    </row>
    <row r="2" spans="1:79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</row>
    <row r="3" spans="1:79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873</v>
      </c>
    </row>
    <row r="4" spans="1:79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873</v>
      </c>
    </row>
    <row r="5" spans="1:79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</row>
    <row r="6" spans="1:79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</row>
    <row r="7" spans="1:79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</row>
    <row r="8" spans="1:79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</row>
    <row r="9" spans="1:79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</row>
    <row r="10" spans="1:79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</row>
    <row r="11" spans="1:79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</row>
    <row r="12" spans="1:79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</row>
    <row r="13" spans="1:79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</row>
    <row r="14" spans="1:79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</row>
    <row r="15" spans="1:79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</row>
    <row r="16" spans="1:79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</row>
    <row r="17" spans="2:78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</row>
    <row r="18" spans="2:78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</row>
    <row r="19" spans="2:78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</row>
    <row r="20" spans="2:78" s="29" customFormat="1" ht="105.75" customHeight="1" thickBot="1">
      <c r="B20" s="168" t="s">
        <v>556</v>
      </c>
      <c r="C20" s="169"/>
      <c r="D20" s="169"/>
      <c r="E20" s="169"/>
      <c r="F20" s="169"/>
      <c r="G20" s="169"/>
      <c r="H20" s="169"/>
      <c r="I20" s="169"/>
      <c r="J20" s="17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</row>
    <row r="21" spans="2:78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</row>
    <row r="22" spans="2:78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</row>
    <row r="23" spans="2:78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</row>
    <row r="24" spans="2:78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</row>
    <row r="25" spans="2:78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</row>
    <row r="26" spans="2:78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</row>
    <row r="27" spans="2:78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</row>
    <row r="28" spans="2:78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</row>
    <row r="29" spans="2:78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</row>
    <row r="30" spans="2:78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</row>
    <row r="31" spans="2:78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</row>
    <row r="32" spans="2:78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</row>
    <row r="33" spans="2:78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</row>
    <row r="34" spans="2:78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</row>
    <row r="35" spans="2:78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</row>
    <row r="36" spans="2:78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</row>
    <row r="37" spans="2:78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</row>
    <row r="38" spans="2:78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</row>
    <row r="39" spans="2:78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</row>
    <row r="40" spans="2:78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</row>
    <row r="41" spans="2:78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</row>
    <row r="42" spans="2:78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</row>
    <row r="43" spans="2:78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</row>
    <row r="44" spans="2:78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</row>
    <row r="45" spans="2:78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</row>
    <row r="46" spans="2:78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</row>
    <row r="47" spans="2:78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</row>
    <row r="48" spans="2:78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</row>
    <row r="49" spans="2:78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</row>
    <row r="50" spans="2:78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</row>
    <row r="51" spans="2:78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</row>
    <row r="52" spans="2:78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</row>
    <row r="53" spans="2:78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</row>
    <row r="54" spans="2:78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</row>
    <row r="55" spans="2:78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</row>
    <row r="56" spans="2:78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</row>
    <row r="57" spans="2:78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</row>
    <row r="58" spans="2:78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</row>
    <row r="59" spans="2:78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</row>
    <row r="60" spans="2:78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</row>
    <row r="61" spans="2:78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</row>
    <row r="62" spans="2:78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</row>
    <row r="63" spans="2:78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</row>
    <row r="64" spans="2:78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</row>
    <row r="65" spans="2:78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</row>
    <row r="66" spans="2:78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</row>
    <row r="67" spans="2:78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</row>
    <row r="68" spans="2:78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</row>
    <row r="69" spans="2:78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</row>
    <row r="70" spans="2:78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</row>
    <row r="71" spans="2:78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</row>
    <row r="72" spans="2:78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</row>
    <row r="73" spans="2:78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</row>
    <row r="74" spans="2:78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</row>
    <row r="75" spans="2:78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</row>
    <row r="76" spans="2:78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</row>
    <row r="77" spans="2:78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</row>
    <row r="78" spans="2:78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</row>
    <row r="79" spans="2:78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</row>
    <row r="80" spans="2:78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</row>
    <row r="81" spans="2:78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</row>
    <row r="82" spans="2:78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</row>
    <row r="83" spans="2:78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</row>
    <row r="84" spans="2:78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</row>
    <row r="85" spans="2:78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</row>
    <row r="86" spans="2:78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</row>
    <row r="87" spans="2:78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</row>
    <row r="88" spans="2:78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</row>
    <row r="89" spans="2:78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</row>
    <row r="90" spans="2:78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</row>
    <row r="91" spans="2:78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</row>
    <row r="92" spans="2:78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</row>
    <row r="93" spans="2:78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</row>
    <row r="94" spans="2:78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</row>
    <row r="95" spans="2:78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</row>
    <row r="96" spans="2:78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</row>
    <row r="97" spans="2:78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</row>
    <row r="98" spans="2:78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</row>
    <row r="99" spans="2:78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</row>
    <row r="100" spans="2:78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</row>
    <row r="101" spans="2:78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</row>
    <row r="102" spans="2:78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</row>
    <row r="103" spans="2:78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</row>
    <row r="104" spans="2:78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</row>
    <row r="105" spans="2:78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</row>
    <row r="106" spans="2:78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</row>
    <row r="107" spans="2:78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</row>
    <row r="108" spans="2:78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</row>
    <row r="109" spans="2:78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</row>
    <row r="110" spans="2:78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</row>
    <row r="111" spans="2:78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</row>
    <row r="112" spans="2:78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</row>
    <row r="113" spans="2:78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</row>
    <row r="114" spans="2:78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</row>
    <row r="115" spans="2:78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</row>
    <row r="116" spans="2:78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</row>
    <row r="117" spans="2:78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</row>
    <row r="118" spans="2:78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</row>
    <row r="119" spans="2:78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</row>
    <row r="120" spans="2:78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</row>
    <row r="121" spans="2:78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</row>
    <row r="122" spans="2:78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</row>
    <row r="123" spans="2:78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</row>
    <row r="124" spans="2:78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</row>
    <row r="125" spans="2:78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</row>
    <row r="126" spans="2:78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</row>
    <row r="127" spans="2:78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</row>
    <row r="128" spans="2:78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</row>
    <row r="129" spans="2:78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</row>
    <row r="130" spans="2:78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</row>
    <row r="131" spans="2:78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</row>
    <row r="132" spans="2:78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</row>
    <row r="133" spans="2:78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</row>
    <row r="134" spans="2:78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</row>
    <row r="135" spans="2:78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</row>
    <row r="136" spans="2:78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</row>
    <row r="137" spans="2:78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</row>
    <row r="138" spans="2:78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</row>
    <row r="139" spans="2:78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</row>
    <row r="140" spans="2:78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</row>
    <row r="141" spans="2:78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</row>
    <row r="142" spans="2:78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</row>
    <row r="143" spans="2:78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</row>
    <row r="144" spans="2:78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</row>
    <row r="145" spans="2:78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</row>
    <row r="146" spans="2:78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</row>
    <row r="147" spans="2:78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</row>
    <row r="148" spans="2:78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</row>
    <row r="149" spans="2:78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</row>
    <row r="150" spans="2:78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</row>
    <row r="151" spans="2:78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</row>
    <row r="152" spans="2:78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</row>
    <row r="153" spans="2:78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</row>
    <row r="154" spans="2:78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</row>
    <row r="155" spans="2:78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</row>
    <row r="156" spans="2:78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</row>
    <row r="157" spans="2:78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</row>
    <row r="158" spans="2:78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</row>
    <row r="159" spans="2:78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</row>
    <row r="160" spans="2:78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</row>
    <row r="161" spans="2:78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</row>
    <row r="162" spans="2:78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</row>
    <row r="163" spans="2:78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</row>
    <row r="164" spans="2:78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</row>
    <row r="165" spans="2:78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</row>
    <row r="166" spans="2:78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</row>
    <row r="167" spans="2:78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</row>
    <row r="168" spans="2:78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</row>
    <row r="169" spans="2:78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</row>
    <row r="170" spans="2:78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</row>
    <row r="171" spans="2:78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</row>
    <row r="172" spans="2:78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</row>
    <row r="173" spans="2:78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</row>
    <row r="174" spans="2:78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</row>
    <row r="175" spans="2:78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</row>
    <row r="176" spans="2:78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</row>
    <row r="177" spans="2:78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</row>
    <row r="178" spans="2:78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</row>
    <row r="179" spans="2:78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</row>
    <row r="180" spans="2:78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</row>
    <row r="181" spans="2:78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</row>
    <row r="182" spans="2:78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</row>
    <row r="183" spans="2:78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</row>
    <row r="184" spans="2:78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</row>
    <row r="185" spans="2:78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</row>
    <row r="186" spans="2:78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</row>
    <row r="187" spans="2:78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</row>
    <row r="188" spans="2:78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</row>
    <row r="189" spans="2:78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</row>
    <row r="190" spans="2:78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</row>
    <row r="191" spans="2:78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</row>
    <row r="192" spans="2:78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</row>
    <row r="193" spans="2:78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</row>
    <row r="194" spans="2:78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</row>
    <row r="195" spans="2:78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</row>
    <row r="196" spans="2:78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</row>
    <row r="197" spans="2:78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</row>
    <row r="198" spans="2:78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</row>
    <row r="199" spans="2:78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</row>
    <row r="200" spans="2:78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</row>
    <row r="201" spans="2:78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</row>
    <row r="202" spans="2:78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</row>
    <row r="203" spans="2:78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</row>
    <row r="204" spans="2:78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</row>
    <row r="205" spans="2:78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</row>
    <row r="206" spans="2:78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</row>
    <row r="207" spans="2:78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</row>
    <row r="208" spans="2:78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</row>
    <row r="209" spans="2:78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</row>
    <row r="210" spans="2:78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</row>
    <row r="211" spans="2:78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</row>
    <row r="212" spans="2:78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</row>
    <row r="213" spans="2:78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</row>
    <row r="214" spans="2:78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</row>
    <row r="215" spans="2:78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</row>
    <row r="216" spans="2:78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</row>
    <row r="217" spans="2:78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</row>
    <row r="218" spans="2:78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</row>
    <row r="219" spans="2:78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</row>
    <row r="220" spans="2:78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</row>
    <row r="221" spans="2:78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</row>
    <row r="222" spans="2:78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</row>
    <row r="223" spans="2:78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</row>
    <row r="224" spans="2:78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</row>
    <row r="225" spans="2:78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</row>
    <row r="226" spans="2:78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</row>
    <row r="227" spans="2:78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</row>
    <row r="228" spans="2:78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</row>
    <row r="229" spans="2:78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</row>
    <row r="230" spans="2:78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</row>
    <row r="231" spans="2:78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</row>
    <row r="232" spans="2:78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</row>
    <row r="233" spans="2:78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</row>
    <row r="234" spans="2:78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</row>
    <row r="235" spans="2:78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</row>
    <row r="236" spans="2:78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</row>
    <row r="237" spans="2:78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</row>
    <row r="238" spans="2:78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</row>
    <row r="239" spans="2:78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</row>
    <row r="240" spans="2:78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</row>
    <row r="241" spans="2:78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</row>
    <row r="242" spans="2:78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</row>
    <row r="243" spans="2:78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</row>
    <row r="244" spans="2:78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</row>
    <row r="245" spans="2:78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</row>
    <row r="246" spans="2:78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</row>
    <row r="247" spans="2:78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</row>
    <row r="248" spans="2:78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</row>
    <row r="249" spans="2:78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</row>
    <row r="250" spans="2:78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</row>
    <row r="251" spans="2:78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</row>
    <row r="252" spans="2:78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</row>
    <row r="253" spans="2:78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</row>
    <row r="254" spans="2:78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</row>
    <row r="255" spans="2:78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</row>
    <row r="256" spans="2:78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</row>
    <row r="257" spans="2:78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</row>
    <row r="258" spans="2:78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</row>
    <row r="259" spans="2:78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</row>
    <row r="260" spans="2:78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</row>
    <row r="261" spans="2:78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</row>
    <row r="262" spans="2:78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</row>
    <row r="263" spans="2:78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</row>
    <row r="264" spans="2:78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</row>
    <row r="265" spans="2:78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</row>
    <row r="266" spans="2:78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</row>
    <row r="267" spans="2:78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</row>
    <row r="268" spans="2:78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</row>
    <row r="269" spans="2:78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</row>
    <row r="270" spans="2:78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</row>
    <row r="271" spans="2:78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</row>
    <row r="272" spans="2:78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</row>
    <row r="273" spans="2:78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</row>
    <row r="274" spans="2:78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</row>
    <row r="275" spans="2:78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</row>
    <row r="276" spans="2:78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</row>
    <row r="277" spans="2:78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</row>
    <row r="278" spans="2:78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</row>
    <row r="279" spans="2:78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</row>
    <row r="280" spans="2:78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</row>
    <row r="281" spans="2:78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</row>
    <row r="282" spans="2:78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</row>
    <row r="283" spans="2:78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</row>
    <row r="284" spans="2:78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</row>
    <row r="285" spans="2:78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</row>
    <row r="286" spans="2:78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</row>
    <row r="287" spans="2:78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</row>
    <row r="288" spans="2:78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</row>
    <row r="289" spans="2:78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</row>
    <row r="290" spans="2:78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</row>
    <row r="291" spans="2:78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</row>
    <row r="292" spans="2:78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</row>
    <row r="293" spans="2:78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</row>
    <row r="294" spans="2:78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</row>
    <row r="295" spans="2:78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</row>
    <row r="296" spans="2:78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</row>
    <row r="297" spans="2:78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</row>
    <row r="298" spans="2:78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</row>
    <row r="299" spans="2:78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</row>
    <row r="300" spans="2:78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</row>
    <row r="301" spans="2:78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</row>
    <row r="302" spans="2:78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</row>
    <row r="303" spans="2:78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</row>
    <row r="304" spans="2:78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</row>
    <row r="305" spans="2:78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</row>
    <row r="306" spans="2:78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</row>
    <row r="307" spans="2:78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</row>
    <row r="308" spans="2:78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</row>
    <row r="309" spans="2:78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</row>
    <row r="310" spans="2:78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</row>
    <row r="311" spans="2:78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</row>
    <row r="312" spans="2:78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</row>
    <row r="313" spans="2:78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</row>
    <row r="314" spans="2:78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</row>
    <row r="315" spans="2:78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</row>
    <row r="316" spans="2:78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</row>
    <row r="317" spans="2:78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</row>
    <row r="318" spans="2:78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</row>
    <row r="319" spans="2:78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</row>
    <row r="320" spans="2:78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</row>
    <row r="321" spans="2:78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</row>
    <row r="322" spans="2:78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</row>
    <row r="323" spans="2:78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</row>
    <row r="324" spans="2:78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</row>
    <row r="325" spans="2:78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</row>
    <row r="326" spans="2:78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</row>
    <row r="327" spans="2:78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</row>
    <row r="328" spans="2:78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</row>
    <row r="329" spans="2:78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</row>
    <row r="330" spans="2:78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</row>
    <row r="331" spans="2:78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</row>
    <row r="332" spans="2:78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</row>
    <row r="333" spans="2:78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</row>
    <row r="334" spans="2:78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</row>
    <row r="335" spans="2:78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</row>
    <row r="336" spans="2:78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</row>
    <row r="337" spans="2:78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</row>
    <row r="338" spans="2:78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</row>
    <row r="339" spans="2:78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</row>
    <row r="340" spans="2:78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</row>
    <row r="341" spans="2:78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</row>
    <row r="342" spans="2:78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</row>
    <row r="343" spans="2:78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</row>
    <row r="344" spans="2:78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</row>
    <row r="345" spans="2:78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</row>
    <row r="346" spans="2:78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</row>
    <row r="347" spans="2:78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</row>
    <row r="348" spans="2:78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</row>
    <row r="349" spans="2:78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</row>
    <row r="350" spans="2:78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</row>
    <row r="351" spans="2:78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</row>
    <row r="352" spans="2:78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</row>
    <row r="353" spans="2:78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</row>
    <row r="354" spans="2:78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</row>
    <row r="355" spans="2:78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</row>
    <row r="356" spans="2:78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</row>
    <row r="357" spans="2:78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</row>
    <row r="358" spans="2:78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</row>
    <row r="359" spans="2:78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</row>
    <row r="360" spans="2:78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</row>
    <row r="361" spans="2:78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</row>
    <row r="362" spans="2:78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</row>
    <row r="363" spans="2:78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</row>
    <row r="364" spans="2:78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</row>
    <row r="365" spans="2:78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</row>
    <row r="366" spans="2:78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</row>
    <row r="367" spans="2:78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</row>
    <row r="368" spans="2:78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</row>
    <row r="369" spans="2:78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</row>
    <row r="370" spans="2:78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</row>
    <row r="371" spans="2:78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</row>
    <row r="372" spans="2:78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</row>
    <row r="373" spans="2:78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</row>
    <row r="374" spans="2:78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</row>
    <row r="375" spans="2:78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</row>
    <row r="376" spans="2:78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</row>
    <row r="377" spans="2:78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</row>
    <row r="378" spans="2:78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</row>
    <row r="379" spans="2:78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</row>
    <row r="380" spans="2:78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</row>
    <row r="381" spans="2:78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</row>
    <row r="382" spans="2:78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</row>
    <row r="383" spans="2:78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</row>
    <row r="384" spans="2:78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</row>
    <row r="385" spans="2:78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</row>
    <row r="386" spans="2:78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</row>
    <row r="387" spans="2:78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</row>
    <row r="388" spans="2:78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</row>
    <row r="389" spans="2:78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</row>
    <row r="390" spans="2:78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</row>
    <row r="391" spans="2:78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</row>
    <row r="392" spans="2:78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</row>
    <row r="393" spans="2:78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</row>
    <row r="394" spans="2:78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</row>
    <row r="395" spans="2:78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</row>
    <row r="396" spans="2:78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</row>
    <row r="397" spans="2:78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</row>
    <row r="398" spans="2:78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</row>
    <row r="399" spans="2:78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</row>
    <row r="400" spans="2:78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</row>
    <row r="401" spans="2:78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</row>
    <row r="402" spans="2:78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</row>
    <row r="403" spans="2:78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</row>
    <row r="404" spans="2:78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</row>
    <row r="405" spans="2:78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</row>
    <row r="406" spans="2:78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</row>
    <row r="407" spans="2:78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</row>
    <row r="408" spans="2:78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</row>
    <row r="409" spans="2:78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</row>
    <row r="410" spans="2:78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</row>
    <row r="411" spans="2:78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</row>
    <row r="412" spans="2:78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</row>
    <row r="413" spans="2:78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</row>
    <row r="414" spans="2:78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</row>
    <row r="415" spans="2:78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</row>
    <row r="416" spans="2:78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</row>
    <row r="417" spans="2:78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</row>
    <row r="418" spans="2:78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</row>
    <row r="419" spans="2:78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</row>
    <row r="420" spans="2:78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</row>
    <row r="421" spans="2:78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</row>
    <row r="422" spans="2:78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</row>
    <row r="423" spans="2:78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</row>
    <row r="424" spans="2:78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</row>
    <row r="425" spans="2:78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</row>
    <row r="426" spans="2:78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</row>
    <row r="427" spans="2:78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</row>
    <row r="428" spans="2:78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</row>
    <row r="429" spans="2:78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</row>
    <row r="430" spans="2:78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</row>
    <row r="431" spans="2:78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</row>
    <row r="432" spans="2:78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</row>
    <row r="433" spans="2:78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</row>
    <row r="434" spans="2:78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</row>
    <row r="435" spans="2:78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</row>
    <row r="436" spans="2:78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</row>
    <row r="437" spans="2:78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</row>
    <row r="438" spans="2:78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</row>
    <row r="439" spans="2:78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</row>
    <row r="440" spans="2:78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</row>
    <row r="441" spans="2:78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</row>
    <row r="442" spans="2:78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</row>
    <row r="443" spans="2:78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</row>
    <row r="444" spans="2:78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</row>
    <row r="445" spans="2:78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</row>
    <row r="446" spans="2:78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</row>
    <row r="447" spans="2:78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</row>
    <row r="448" spans="2:78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</row>
    <row r="449" spans="2:78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</row>
    <row r="450" spans="2:78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</row>
    <row r="451" spans="2:78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</row>
    <row r="452" spans="2:78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</row>
    <row r="453" spans="2:78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</row>
    <row r="454" spans="2:78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</row>
    <row r="455" spans="2:78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</row>
    <row r="456" spans="2:78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</row>
    <row r="457" spans="2:78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</row>
    <row r="458" spans="2:78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</row>
    <row r="459" spans="2:78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</row>
    <row r="460" spans="2:78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</row>
    <row r="461" spans="2:78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</row>
    <row r="462" spans="2:78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</row>
    <row r="463" spans="2:78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</row>
    <row r="464" spans="2:78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</row>
    <row r="465" spans="2:78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</row>
    <row r="466" spans="2:78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</row>
    <row r="467" spans="2:78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</row>
    <row r="468" spans="2:78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</row>
    <row r="469" spans="2:78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</row>
    <row r="470" spans="2:78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</row>
    <row r="471" spans="2:78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</row>
    <row r="472" spans="2:78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</row>
    <row r="473" spans="2:78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</row>
    <row r="474" spans="2:78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</row>
    <row r="475" spans="2:78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</row>
    <row r="476" spans="2:78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</row>
    <row r="477" spans="2:78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</row>
    <row r="478" spans="2:78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</row>
    <row r="479" spans="2:78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</row>
    <row r="480" spans="2:78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</row>
    <row r="481" spans="2:78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</row>
    <row r="482" spans="2:78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</row>
    <row r="483" spans="2:78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</row>
    <row r="484" spans="2:78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</row>
    <row r="485" spans="2:78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</row>
    <row r="486" spans="2:78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</row>
    <row r="487" spans="2:78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</row>
    <row r="488" spans="2:78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</row>
    <row r="489" spans="2:78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</row>
    <row r="490" spans="2:78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</row>
    <row r="491" spans="2:78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</row>
    <row r="492" spans="2:78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</row>
    <row r="493" spans="2:78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</row>
    <row r="494" spans="2:78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</row>
    <row r="495" spans="2:78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</row>
    <row r="496" spans="2:78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</row>
    <row r="497" spans="2:78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</row>
    <row r="498" spans="2:78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</row>
    <row r="499" spans="2:78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</row>
    <row r="500" spans="2:78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</row>
    <row r="501" spans="2:78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</row>
    <row r="502" spans="2:78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</row>
    <row r="503" spans="2:78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</row>
    <row r="504" spans="2:78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</row>
    <row r="505" spans="2:78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</row>
    <row r="506" spans="2:78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</row>
    <row r="507" spans="2:78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</row>
    <row r="508" spans="2:78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</row>
    <row r="509" spans="2:78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</row>
    <row r="510" spans="2:78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</row>
    <row r="511" spans="2:78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</row>
    <row r="512" spans="2:78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</row>
    <row r="513" spans="2:78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</row>
    <row r="514" spans="2:78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</row>
    <row r="515" spans="2:78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</row>
    <row r="516" spans="2:78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</row>
    <row r="517" spans="2:78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</row>
    <row r="518" spans="2:78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</row>
    <row r="519" spans="2:78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</row>
    <row r="520" spans="2:78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</row>
    <row r="521" spans="2:78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</row>
    <row r="522" spans="2:78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</row>
    <row r="523" spans="2:78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</row>
    <row r="524" spans="2:78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</row>
    <row r="525" spans="2:78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</row>
    <row r="526" spans="2:78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</row>
    <row r="527" spans="2:78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</row>
    <row r="528" spans="2:78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</row>
    <row r="529" spans="2:78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</row>
    <row r="530" spans="2:78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</row>
    <row r="531" spans="2:78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</row>
    <row r="532" spans="2:78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</row>
    <row r="533" spans="2:78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</row>
    <row r="534" spans="2:78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</row>
    <row r="535" spans="2:78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</row>
    <row r="536" spans="2:78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</row>
    <row r="537" spans="2:78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</row>
    <row r="538" spans="2:78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</row>
    <row r="539" spans="2:78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</row>
    <row r="540" spans="2:78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</row>
    <row r="541" spans="2:78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</row>
    <row r="542" spans="2:78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</row>
    <row r="543" spans="2:78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</row>
    <row r="544" spans="2:78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</row>
    <row r="545" spans="2:78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</row>
    <row r="546" spans="2:78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</row>
    <row r="547" spans="2:78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</row>
    <row r="548" spans="2:78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</row>
    <row r="549" spans="2:78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</row>
    <row r="550" spans="2:78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</row>
    <row r="551" spans="2:78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</row>
    <row r="552" spans="2:78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</row>
    <row r="553" spans="2:78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</row>
    <row r="554" spans="2:78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</row>
    <row r="555" spans="2:78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</row>
    <row r="556" spans="2:78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</row>
    <row r="557" spans="2:78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</row>
    <row r="558" spans="2:78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</row>
    <row r="559" spans="2:78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</row>
    <row r="560" spans="2:78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</row>
    <row r="561" spans="2:78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</row>
    <row r="562" spans="2:78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</row>
    <row r="563" spans="2:78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</row>
    <row r="564" spans="2:78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</row>
    <row r="565" spans="2:78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</row>
    <row r="566" spans="2:78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</row>
    <row r="567" spans="2:78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</row>
    <row r="568" spans="2:78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</row>
    <row r="569" spans="2:78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</row>
    <row r="570" spans="2:78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</row>
    <row r="571" spans="2:78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</row>
    <row r="572" spans="2:78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</row>
    <row r="573" spans="2:78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</row>
    <row r="574" spans="2:78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</row>
    <row r="575" spans="2:78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</row>
    <row r="576" spans="2:78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</row>
    <row r="577" spans="2:78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</row>
    <row r="578" spans="2:78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</row>
    <row r="579" spans="2:78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</row>
    <row r="580" spans="2:78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</row>
    <row r="581" spans="2:78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</row>
    <row r="582" spans="2:78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</row>
    <row r="583" spans="2:78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</row>
    <row r="584" spans="2:78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</row>
    <row r="585" spans="2:78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</row>
    <row r="586" spans="2:78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</row>
    <row r="587" spans="2:78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</row>
    <row r="588" spans="2:78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</row>
    <row r="589" spans="2:78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</row>
    <row r="590" spans="2:78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</row>
    <row r="591" spans="2:78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</row>
    <row r="592" spans="2:78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</row>
    <row r="593" spans="2:78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</row>
    <row r="594" spans="2:78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</row>
    <row r="595" spans="2:78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</row>
    <row r="596" spans="2:78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</row>
    <row r="597" spans="2:78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</row>
    <row r="598" spans="2:78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</row>
    <row r="599" spans="2:78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</row>
    <row r="600" spans="2:78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</row>
    <row r="601" spans="2:78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</row>
    <row r="602" spans="2:78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</row>
    <row r="603" spans="2:78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</row>
    <row r="604" spans="2:78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</row>
    <row r="605" spans="2:78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</row>
    <row r="606" spans="2:78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</row>
    <row r="607" spans="2:78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</row>
    <row r="608" spans="2:78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</row>
    <row r="609" spans="2:78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</row>
    <row r="610" spans="2:78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</row>
    <row r="611" spans="2:78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</row>
    <row r="612" spans="2:78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</row>
    <row r="613" spans="2:78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</row>
    <row r="614" spans="2:78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</row>
    <row r="615" spans="2:78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</row>
    <row r="616" spans="2:78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</row>
    <row r="617" spans="2:78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</row>
    <row r="618" spans="2:78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</row>
    <row r="619" spans="2:78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</row>
    <row r="620" spans="2:78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</row>
    <row r="621" spans="2:78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</row>
    <row r="622" spans="2:78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</row>
    <row r="623" spans="2:78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</row>
    <row r="624" spans="2:78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</row>
    <row r="625" spans="2:78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</row>
    <row r="626" spans="2:78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</row>
    <row r="627" spans="2:78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</row>
    <row r="628" spans="2:78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</row>
    <row r="629" spans="2:78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</row>
    <row r="630" spans="2:78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</row>
    <row r="631" spans="2:78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</row>
    <row r="632" spans="2:78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</row>
    <row r="633" spans="2:78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</row>
    <row r="634" spans="2:78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</row>
    <row r="635" spans="2:78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</row>
    <row r="636" spans="2:78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</row>
    <row r="637" spans="2:78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</row>
    <row r="638" spans="2:78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</row>
    <row r="639" spans="2:78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</row>
    <row r="640" spans="2:78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</row>
    <row r="641" spans="2:78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</row>
    <row r="642" spans="2:78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</row>
    <row r="643" spans="2:78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</row>
    <row r="644" spans="2:78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</row>
    <row r="645" spans="2:78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</row>
    <row r="646" spans="2:78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</row>
    <row r="647" spans="2:78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</row>
    <row r="648" spans="2:78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</row>
    <row r="649" spans="2:78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</row>
    <row r="650" spans="2:78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</row>
    <row r="651" spans="2:78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</row>
    <row r="652" spans="2:78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</row>
    <row r="653" spans="2:78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</row>
    <row r="654" spans="2:78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</row>
    <row r="655" spans="2:78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</row>
    <row r="656" spans="2:78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</row>
    <row r="657" spans="2:78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</row>
    <row r="658" spans="2:78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</row>
    <row r="659" spans="2:78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</row>
    <row r="660" spans="2:78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</row>
    <row r="661" spans="2:78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</row>
    <row r="662" spans="2:78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</row>
    <row r="663" spans="2:78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</row>
    <row r="664" spans="2:78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</row>
    <row r="665" spans="2:78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</row>
    <row r="666" spans="2:78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</row>
    <row r="667" spans="2:78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</row>
    <row r="668" spans="2:78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</row>
    <row r="669" spans="2:78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</row>
    <row r="670" spans="2:78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</row>
    <row r="671" spans="2:78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</row>
    <row r="672" spans="2:78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</row>
    <row r="673" spans="2:78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</row>
    <row r="674" spans="2:78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</row>
    <row r="675" spans="2:78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</row>
    <row r="676" spans="2:78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</row>
    <row r="677" spans="2:78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</row>
    <row r="678" spans="2:78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</row>
    <row r="679" spans="2:78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</row>
    <row r="680" spans="2:78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</row>
    <row r="681" spans="2:78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</row>
    <row r="682" spans="2:78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</row>
    <row r="683" spans="2:78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</row>
    <row r="684" spans="2:78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</row>
    <row r="685" spans="2:78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</row>
    <row r="686" spans="2:78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</row>
    <row r="687" spans="2:78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</row>
    <row r="688" spans="2:78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</row>
    <row r="689" spans="2:78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</row>
    <row r="690" spans="2:78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</row>
    <row r="691" spans="2:78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</row>
    <row r="692" spans="2:78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</row>
    <row r="693" spans="2:78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</row>
    <row r="694" spans="2:78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</row>
    <row r="695" spans="2:78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</row>
    <row r="696" spans="2:78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</row>
    <row r="697" spans="2:78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</row>
    <row r="698" spans="2:78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</row>
    <row r="699" spans="2:78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</row>
    <row r="700" spans="2:78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</row>
    <row r="701" spans="2:78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</row>
    <row r="702" spans="2:78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</row>
    <row r="703" spans="2:78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</row>
    <row r="704" spans="2:78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</row>
    <row r="705" spans="2:78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</row>
    <row r="706" spans="2:78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</row>
    <row r="707" spans="2:78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</row>
    <row r="708" spans="2:78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</row>
    <row r="709" spans="2:78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</row>
    <row r="710" spans="2:78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</row>
    <row r="711" spans="2:78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</row>
    <row r="712" spans="2:78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</row>
    <row r="713" spans="2:78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</row>
    <row r="714" spans="2:78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</row>
    <row r="715" spans="2:78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</row>
    <row r="716" spans="2:78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</row>
    <row r="717" spans="2:78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</row>
    <row r="718" spans="2:78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</row>
    <row r="719" spans="2:78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</row>
    <row r="720" spans="2:78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</row>
    <row r="721" spans="2:78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</row>
    <row r="722" spans="2:78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</row>
    <row r="723" spans="2:78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</row>
    <row r="724" spans="2:78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</row>
    <row r="725" spans="2:78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</row>
    <row r="726" spans="2:78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</row>
    <row r="727" spans="2:78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</row>
    <row r="728" spans="2:78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</row>
    <row r="729" spans="2:78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</row>
    <row r="730" spans="2:78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</row>
    <row r="731" spans="2:78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</row>
    <row r="732" spans="2:78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</row>
    <row r="733" spans="2:78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</row>
    <row r="734" spans="2:78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</row>
    <row r="735" spans="2:78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</row>
    <row r="736" spans="2:78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</row>
    <row r="737" spans="2:78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</row>
    <row r="738" spans="2:78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</row>
    <row r="739" spans="2:78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</row>
    <row r="740" spans="2:78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</row>
    <row r="741" spans="2:78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</row>
    <row r="742" spans="2:78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</row>
    <row r="743" spans="2:78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</row>
    <row r="744" spans="2:78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</row>
    <row r="745" spans="2:78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</row>
    <row r="746" spans="2:78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</row>
    <row r="747" spans="2:78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</row>
    <row r="748" spans="2:78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</row>
    <row r="749" spans="2:78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</row>
    <row r="750" spans="2:78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</row>
    <row r="751" spans="2:78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</row>
    <row r="752" spans="2:78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</row>
    <row r="753" spans="2:78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</row>
    <row r="754" spans="2:78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</row>
    <row r="755" spans="2:78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</row>
    <row r="756" spans="2:78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</row>
    <row r="757" spans="2:78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</row>
    <row r="758" spans="2:78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</row>
    <row r="759" spans="2:78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</row>
    <row r="760" spans="2:78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</row>
    <row r="761" spans="2:78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</row>
    <row r="762" spans="2:78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</row>
    <row r="763" spans="2:78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</row>
    <row r="764" spans="2:78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</row>
    <row r="765" spans="2:78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</row>
    <row r="766" spans="2:78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</row>
    <row r="767" spans="2:78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</row>
    <row r="768" spans="2:78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</row>
    <row r="769" spans="2:78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</row>
    <row r="770" spans="2:78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</row>
    <row r="771" spans="2:78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</row>
    <row r="772" spans="2:78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</row>
    <row r="773" spans="2:78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</row>
    <row r="774" spans="2:78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</row>
    <row r="775" spans="2:78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</row>
    <row r="776" spans="2:78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</row>
    <row r="777" spans="2:78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</row>
    <row r="778" spans="2:78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</row>
    <row r="779" spans="2:78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</row>
    <row r="780" spans="2:78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</row>
    <row r="781" spans="2:78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</row>
    <row r="782" spans="2:78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</row>
    <row r="783" spans="2:78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</row>
    <row r="784" spans="2:78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</row>
    <row r="785" spans="2:78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</row>
    <row r="786" spans="2:78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</row>
    <row r="787" spans="2:78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</row>
    <row r="788" spans="2:78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</row>
    <row r="789" spans="2:78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</row>
    <row r="790" spans="2:78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</row>
    <row r="791" spans="2:78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</row>
    <row r="792" spans="2:78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</row>
    <row r="793" spans="2:78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56" activePane="bottomLeft" state="frozen"/>
      <selection pane="bottomLeft" activeCell="D82" sqref="D8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1114</v>
      </c>
      <c r="AB1" s="77" t="s">
        <v>557</v>
      </c>
      <c r="AC1" s="75">
        <f>MAX(AC2:AC10000)</f>
        <v>94</v>
      </c>
      <c r="AD1" s="75"/>
      <c r="AE1" s="75" t="str">
        <f>RIGHT(TEXT(MAX(AE2:AE10000),"###"),3)</f>
        <v>023</v>
      </c>
      <c r="AF1" s="76" t="str">
        <f>RIGHT("000"&amp;AC1,2)&amp;"-"&amp;RIGHT("000"&amp;AE1,3)</f>
        <v>94-023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94-024-</v>
      </c>
      <c r="AI1" s="78" t="s">
        <v>582</v>
      </c>
      <c r="AJ1" s="142" t="s">
        <v>872</v>
      </c>
      <c r="AK1" s="78" t="s">
        <v>852</v>
      </c>
      <c r="AL1" s="143">
        <v>0</v>
      </c>
    </row>
    <row r="2" spans="1:38">
      <c r="A2" s="81" t="str">
        <f>IF(G2&amp;Q2&lt;&gt;"",W2&amp;Q2,"")</f>
        <v>1501Pred</v>
      </c>
      <c r="B2" s="81" t="str">
        <f>IF(C2&lt;&gt;"",LEFT(C2,9),"")</f>
        <v>94-018-18</v>
      </c>
      <c r="C2" s="103" t="s">
        <v>895</v>
      </c>
      <c r="D2" s="103" t="s">
        <v>985</v>
      </c>
      <c r="E2" s="103" t="s">
        <v>986</v>
      </c>
      <c r="F2" s="104" t="s">
        <v>632</v>
      </c>
      <c r="G2" s="104" t="s">
        <v>870</v>
      </c>
      <c r="H2" s="103" t="s">
        <v>78</v>
      </c>
      <c r="I2" s="103" t="s">
        <v>882</v>
      </c>
      <c r="J2" s="103" t="s">
        <v>342</v>
      </c>
      <c r="K2" s="103" t="s">
        <v>382</v>
      </c>
      <c r="L2" s="103" t="s">
        <v>1076</v>
      </c>
      <c r="M2" s="103" t="s">
        <v>388</v>
      </c>
      <c r="N2" s="103" t="s">
        <v>46</v>
      </c>
      <c r="O2" s="103" t="s">
        <v>542</v>
      </c>
      <c r="P2" s="103" t="s">
        <v>1077</v>
      </c>
      <c r="Q2" s="103" t="s">
        <v>1078</v>
      </c>
      <c r="R2" s="103" t="s">
        <v>78</v>
      </c>
      <c r="V2" s="81" t="str">
        <f>W2&amp;H2</f>
        <v>1501Pкрасный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1501P</v>
      </c>
      <c r="X2" s="81" t="str">
        <f>IF(A2&lt;&gt;"",IFERROR(IF(FIND(" ",G2)&gt;=1,MID(G2,FIND(" ",G2)+1,LEN(G2)),""),""),"")</f>
        <v/>
      </c>
      <c r="AC2" s="60">
        <f>IFERROR(VALUE(MID($C2,1,2)),0)</f>
        <v>94</v>
      </c>
      <c r="AD2" s="49">
        <f t="shared" ref="AD2:AD66" si="1">IFERROR(VALUE(MID($C2,4,3)),0)</f>
        <v>18</v>
      </c>
      <c r="AE2" s="60">
        <f>VALUE(RIGHT("00"&amp;AC2,2)&amp;RIGHT("000"&amp;AD2,3))</f>
        <v>94018</v>
      </c>
    </row>
    <row r="3" spans="1:38">
      <c r="A3" s="81" t="str">
        <f t="shared" ref="A3:A66" si="2">IF(G3&amp;Q3&lt;&gt;"",W3&amp;Q3,"")</f>
        <v>1501Pnavy</v>
      </c>
      <c r="B3" s="81" t="str">
        <f t="shared" ref="B3:B66" si="3">IF(C3&lt;&gt;"",LEFT(C3,9),"")</f>
        <v>94-018-16</v>
      </c>
      <c r="C3" s="103" t="s">
        <v>896</v>
      </c>
      <c r="D3" s="103" t="s">
        <v>987</v>
      </c>
      <c r="E3" s="103" t="s">
        <v>986</v>
      </c>
      <c r="F3" s="104" t="s">
        <v>632</v>
      </c>
      <c r="G3" s="104" t="s">
        <v>870</v>
      </c>
      <c r="H3" s="103" t="s">
        <v>55</v>
      </c>
      <c r="I3" s="103" t="s">
        <v>882</v>
      </c>
      <c r="J3" s="103" t="s">
        <v>342</v>
      </c>
      <c r="K3" s="103" t="s">
        <v>382</v>
      </c>
      <c r="L3" s="103" t="s">
        <v>1076</v>
      </c>
      <c r="M3" s="103" t="s">
        <v>388</v>
      </c>
      <c r="N3" s="103" t="s">
        <v>46</v>
      </c>
      <c r="O3" s="103" t="s">
        <v>542</v>
      </c>
      <c r="P3" s="103" t="s">
        <v>1077</v>
      </c>
      <c r="Q3" s="103" t="s">
        <v>1079</v>
      </c>
      <c r="R3" s="103" t="s">
        <v>71</v>
      </c>
      <c r="V3" s="81" t="str">
        <f t="shared" ref="V3:V66" si="4">W3&amp;H3</f>
        <v>1501Pтемно-синий</v>
      </c>
      <c r="W3" s="81" t="str">
        <f t="shared" si="0"/>
        <v>1501P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94</v>
      </c>
      <c r="AD3" s="49">
        <f t="shared" si="1"/>
        <v>18</v>
      </c>
      <c r="AE3" s="60">
        <f t="shared" ref="AE3:AE66" si="7">VALUE(RIGHT("00"&amp;AC3,2)&amp;RIGHT("000"&amp;AD3,3))</f>
        <v>94018</v>
      </c>
    </row>
    <row r="4" spans="1:38">
      <c r="A4" s="81" t="str">
        <f t="shared" si="2"/>
        <v>1501Pblack</v>
      </c>
      <c r="B4" s="81" t="str">
        <f t="shared" si="3"/>
        <v>94-018-09</v>
      </c>
      <c r="C4" s="103" t="s">
        <v>897</v>
      </c>
      <c r="D4" s="103" t="s">
        <v>988</v>
      </c>
      <c r="E4" s="103" t="s">
        <v>986</v>
      </c>
      <c r="F4" s="104" t="s">
        <v>632</v>
      </c>
      <c r="G4" s="104" t="s">
        <v>870</v>
      </c>
      <c r="H4" s="103" t="s">
        <v>53</v>
      </c>
      <c r="I4" s="103" t="s">
        <v>882</v>
      </c>
      <c r="J4" s="103" t="s">
        <v>342</v>
      </c>
      <c r="K4" s="103" t="s">
        <v>382</v>
      </c>
      <c r="L4" s="103" t="s">
        <v>1076</v>
      </c>
      <c r="M4" s="103" t="s">
        <v>388</v>
      </c>
      <c r="N4" s="103" t="s">
        <v>46</v>
      </c>
      <c r="O4" s="103" t="s">
        <v>542</v>
      </c>
      <c r="P4" s="103" t="s">
        <v>1077</v>
      </c>
      <c r="Q4" s="103" t="s">
        <v>1080</v>
      </c>
      <c r="R4" s="103" t="s">
        <v>53</v>
      </c>
      <c r="V4" s="81" t="str">
        <f t="shared" si="4"/>
        <v>1501Pчерный</v>
      </c>
      <c r="W4" s="81" t="str">
        <f t="shared" si="0"/>
        <v>1501P</v>
      </c>
      <c r="X4" s="81" t="str">
        <f t="shared" si="5"/>
        <v/>
      </c>
      <c r="AC4" s="60">
        <f t="shared" si="6"/>
        <v>94</v>
      </c>
      <c r="AD4" s="49">
        <f t="shared" si="1"/>
        <v>18</v>
      </c>
      <c r="AE4" s="60">
        <f t="shared" si="7"/>
        <v>94018</v>
      </c>
    </row>
    <row r="5" spans="1:38">
      <c r="A5" s="81" t="str">
        <f t="shared" si="2"/>
        <v>1501Proyal</v>
      </c>
      <c r="B5" s="81" t="str">
        <f t="shared" si="3"/>
        <v>94-018-06</v>
      </c>
      <c r="C5" s="103" t="s">
        <v>898</v>
      </c>
      <c r="D5" s="103" t="s">
        <v>989</v>
      </c>
      <c r="E5" s="103" t="s">
        <v>986</v>
      </c>
      <c r="F5" s="104" t="s">
        <v>632</v>
      </c>
      <c r="G5" s="104" t="s">
        <v>870</v>
      </c>
      <c r="H5" s="103" t="s">
        <v>71</v>
      </c>
      <c r="I5" s="103" t="s">
        <v>882</v>
      </c>
      <c r="J5" s="103" t="s">
        <v>342</v>
      </c>
      <c r="K5" s="103" t="s">
        <v>382</v>
      </c>
      <c r="L5" s="103" t="s">
        <v>1076</v>
      </c>
      <c r="M5" s="103" t="s">
        <v>388</v>
      </c>
      <c r="N5" s="103" t="s">
        <v>46</v>
      </c>
      <c r="O5" s="103" t="s">
        <v>542</v>
      </c>
      <c r="P5" s="103" t="s">
        <v>1077</v>
      </c>
      <c r="Q5" s="103" t="s">
        <v>1081</v>
      </c>
      <c r="R5" s="103" t="s">
        <v>71</v>
      </c>
      <c r="V5" s="81" t="str">
        <f t="shared" si="4"/>
        <v>1501Pсиний</v>
      </c>
      <c r="W5" s="81" t="str">
        <f t="shared" si="0"/>
        <v>1501P</v>
      </c>
      <c r="X5" s="81" t="str">
        <f t="shared" si="5"/>
        <v/>
      </c>
      <c r="AC5" s="60">
        <f t="shared" si="6"/>
        <v>94</v>
      </c>
      <c r="AD5" s="49">
        <f t="shared" si="1"/>
        <v>18</v>
      </c>
      <c r="AE5" s="60">
        <f t="shared" si="7"/>
        <v>94018</v>
      </c>
    </row>
    <row r="6" spans="1:38">
      <c r="A6" s="81" t="str">
        <f t="shared" si="2"/>
        <v>1501Pdark grey</v>
      </c>
      <c r="B6" s="81" t="str">
        <f t="shared" si="3"/>
        <v>94-018-05</v>
      </c>
      <c r="C6" s="103" t="s">
        <v>899</v>
      </c>
      <c r="D6" s="103" t="s">
        <v>990</v>
      </c>
      <c r="E6" s="103" t="s">
        <v>986</v>
      </c>
      <c r="F6" s="104" t="s">
        <v>632</v>
      </c>
      <c r="G6" s="104" t="s">
        <v>870</v>
      </c>
      <c r="H6" s="103" t="s">
        <v>277</v>
      </c>
      <c r="I6" s="103" t="s">
        <v>882</v>
      </c>
      <c r="J6" s="103" t="s">
        <v>342</v>
      </c>
      <c r="K6" s="103" t="s">
        <v>382</v>
      </c>
      <c r="L6" s="103" t="s">
        <v>1076</v>
      </c>
      <c r="M6" s="103" t="s">
        <v>388</v>
      </c>
      <c r="N6" s="103" t="s">
        <v>46</v>
      </c>
      <c r="O6" s="103" t="s">
        <v>542</v>
      </c>
      <c r="P6" s="103" t="s">
        <v>1077</v>
      </c>
      <c r="Q6" s="103" t="s">
        <v>1082</v>
      </c>
      <c r="R6" s="103" t="s">
        <v>83</v>
      </c>
      <c r="V6" s="81" t="str">
        <f t="shared" si="4"/>
        <v>1501Pтемно-серый</v>
      </c>
      <c r="W6" s="81" t="str">
        <f t="shared" si="0"/>
        <v>1501P</v>
      </c>
      <c r="X6" s="81" t="str">
        <f t="shared" si="5"/>
        <v/>
      </c>
      <c r="AC6" s="60">
        <f t="shared" si="6"/>
        <v>94</v>
      </c>
      <c r="AD6" s="49">
        <f t="shared" si="1"/>
        <v>18</v>
      </c>
      <c r="AE6" s="60">
        <f t="shared" si="7"/>
        <v>94018</v>
      </c>
    </row>
    <row r="7" spans="1:38">
      <c r="A7" s="81" t="str">
        <f t="shared" si="2"/>
        <v>1501Pheather grey</v>
      </c>
      <c r="B7" s="81" t="str">
        <f t="shared" si="3"/>
        <v>94-018-01</v>
      </c>
      <c r="C7" s="103" t="s">
        <v>900</v>
      </c>
      <c r="D7" s="103" t="s">
        <v>991</v>
      </c>
      <c r="E7" s="103" t="s">
        <v>986</v>
      </c>
      <c r="F7" s="104" t="s">
        <v>632</v>
      </c>
      <c r="G7" s="104" t="s">
        <v>870</v>
      </c>
      <c r="H7" s="103" t="s">
        <v>231</v>
      </c>
      <c r="I7" s="103" t="s">
        <v>882</v>
      </c>
      <c r="J7" s="103" t="s">
        <v>342</v>
      </c>
      <c r="K7" s="103" t="s">
        <v>382</v>
      </c>
      <c r="L7" s="103" t="s">
        <v>1076</v>
      </c>
      <c r="M7" s="103" t="s">
        <v>388</v>
      </c>
      <c r="N7" s="103" t="s">
        <v>46</v>
      </c>
      <c r="O7" s="103" t="s">
        <v>542</v>
      </c>
      <c r="P7" s="103" t="s">
        <v>1077</v>
      </c>
      <c r="Q7" s="103" t="s">
        <v>1083</v>
      </c>
      <c r="R7" s="103" t="s">
        <v>83</v>
      </c>
      <c r="V7" s="81" t="str">
        <f t="shared" si="4"/>
        <v>1501Pсветло-серый</v>
      </c>
      <c r="W7" s="81" t="str">
        <f t="shared" si="0"/>
        <v>1501P</v>
      </c>
      <c r="X7" s="81" t="str">
        <f t="shared" si="5"/>
        <v/>
      </c>
      <c r="AC7" s="60">
        <f t="shared" si="6"/>
        <v>94</v>
      </c>
      <c r="AD7" s="49">
        <f t="shared" si="1"/>
        <v>18</v>
      </c>
      <c r="AE7" s="60">
        <f t="shared" si="7"/>
        <v>94018</v>
      </c>
    </row>
    <row r="8" spans="1:38">
      <c r="A8" s="81" t="str">
        <f t="shared" si="2"/>
        <v>1501KCcarolina blue</v>
      </c>
      <c r="B8" s="81" t="str">
        <f t="shared" si="3"/>
        <v>94-017-19</v>
      </c>
      <c r="C8" s="103" t="s">
        <v>901</v>
      </c>
      <c r="D8" s="103" t="s">
        <v>992</v>
      </c>
      <c r="E8" s="103" t="s">
        <v>986</v>
      </c>
      <c r="F8" s="104" t="s">
        <v>632</v>
      </c>
      <c r="G8" s="104" t="s">
        <v>869</v>
      </c>
      <c r="H8" s="103" t="s">
        <v>91</v>
      </c>
      <c r="I8" s="103" t="s">
        <v>882</v>
      </c>
      <c r="J8" s="103" t="s">
        <v>340</v>
      </c>
      <c r="K8" s="103" t="s">
        <v>382</v>
      </c>
      <c r="L8" s="103" t="s">
        <v>1076</v>
      </c>
      <c r="M8" s="103" t="s">
        <v>388</v>
      </c>
      <c r="N8" s="103" t="s">
        <v>46</v>
      </c>
      <c r="O8" s="103" t="s">
        <v>542</v>
      </c>
      <c r="P8" s="103" t="s">
        <v>1077</v>
      </c>
      <c r="Q8" s="103" t="s">
        <v>1084</v>
      </c>
      <c r="R8" s="103" t="s">
        <v>91</v>
      </c>
      <c r="V8" s="81" t="str">
        <f t="shared" si="4"/>
        <v>1501KCголубой</v>
      </c>
      <c r="W8" s="81" t="str">
        <f t="shared" si="0"/>
        <v>1501KC</v>
      </c>
      <c r="X8" s="81" t="str">
        <f t="shared" si="5"/>
        <v/>
      </c>
      <c r="AC8" s="60">
        <f t="shared" si="6"/>
        <v>94</v>
      </c>
      <c r="AD8" s="49">
        <f t="shared" si="1"/>
        <v>17</v>
      </c>
      <c r="AE8" s="60">
        <f t="shared" si="7"/>
        <v>94017</v>
      </c>
    </row>
    <row r="9" spans="1:38">
      <c r="A9" s="81" t="str">
        <f t="shared" si="2"/>
        <v>1501KCred</v>
      </c>
      <c r="B9" s="81" t="str">
        <f t="shared" si="3"/>
        <v>94-017-18</v>
      </c>
      <c r="C9" s="103" t="s">
        <v>902</v>
      </c>
      <c r="D9" s="103" t="s">
        <v>993</v>
      </c>
      <c r="E9" s="103" t="s">
        <v>986</v>
      </c>
      <c r="F9" s="104" t="s">
        <v>632</v>
      </c>
      <c r="G9" s="104" t="s">
        <v>869</v>
      </c>
      <c r="H9" s="103" t="s">
        <v>78</v>
      </c>
      <c r="I9" s="103" t="s">
        <v>882</v>
      </c>
      <c r="J9" s="103" t="s">
        <v>340</v>
      </c>
      <c r="K9" s="103" t="s">
        <v>382</v>
      </c>
      <c r="L9" s="103" t="s">
        <v>1076</v>
      </c>
      <c r="M9" s="103" t="s">
        <v>388</v>
      </c>
      <c r="N9" s="103" t="s">
        <v>46</v>
      </c>
      <c r="O9" s="103" t="s">
        <v>542</v>
      </c>
      <c r="P9" s="103" t="s">
        <v>1077</v>
      </c>
      <c r="Q9" s="103" t="s">
        <v>1078</v>
      </c>
      <c r="R9" s="103" t="s">
        <v>78</v>
      </c>
      <c r="V9" s="81" t="str">
        <f t="shared" si="4"/>
        <v>1501KCкрасный</v>
      </c>
      <c r="W9" s="81" t="str">
        <f t="shared" si="0"/>
        <v>1501KC</v>
      </c>
      <c r="X9" s="81" t="str">
        <f t="shared" si="5"/>
        <v/>
      </c>
      <c r="AC9" s="60">
        <f t="shared" si="6"/>
        <v>94</v>
      </c>
      <c r="AD9" s="49">
        <f t="shared" si="1"/>
        <v>17</v>
      </c>
      <c r="AE9" s="60">
        <f t="shared" si="7"/>
        <v>94017</v>
      </c>
    </row>
    <row r="10" spans="1:38">
      <c r="A10" s="81" t="str">
        <f t="shared" si="2"/>
        <v>1501KCnavy</v>
      </c>
      <c r="B10" s="81" t="str">
        <f t="shared" si="3"/>
        <v>94-017-16</v>
      </c>
      <c r="C10" s="103" t="s">
        <v>903</v>
      </c>
      <c r="D10" s="103" t="s">
        <v>994</v>
      </c>
      <c r="E10" s="103" t="s">
        <v>986</v>
      </c>
      <c r="F10" s="104" t="s">
        <v>632</v>
      </c>
      <c r="G10" s="104" t="s">
        <v>869</v>
      </c>
      <c r="H10" s="103" t="s">
        <v>55</v>
      </c>
      <c r="I10" s="103" t="s">
        <v>882</v>
      </c>
      <c r="J10" s="103" t="s">
        <v>340</v>
      </c>
      <c r="K10" s="103" t="s">
        <v>382</v>
      </c>
      <c r="L10" s="103" t="s">
        <v>1076</v>
      </c>
      <c r="M10" s="103" t="s">
        <v>388</v>
      </c>
      <c r="N10" s="103" t="s">
        <v>46</v>
      </c>
      <c r="O10" s="103" t="s">
        <v>542</v>
      </c>
      <c r="P10" s="103" t="s">
        <v>1077</v>
      </c>
      <c r="Q10" s="103" t="s">
        <v>1079</v>
      </c>
      <c r="R10" s="103" t="s">
        <v>71</v>
      </c>
      <c r="V10" s="81" t="str">
        <f t="shared" si="4"/>
        <v>1501KCтемно-синий</v>
      </c>
      <c r="W10" s="81" t="str">
        <f t="shared" si="0"/>
        <v>1501KC</v>
      </c>
      <c r="X10" s="81" t="str">
        <f t="shared" si="5"/>
        <v/>
      </c>
      <c r="AC10" s="60">
        <f t="shared" si="6"/>
        <v>94</v>
      </c>
      <c r="AD10" s="49">
        <f t="shared" si="1"/>
        <v>17</v>
      </c>
      <c r="AE10" s="60">
        <f t="shared" si="7"/>
        <v>94017</v>
      </c>
    </row>
    <row r="11" spans="1:38">
      <c r="A11" s="81" t="str">
        <f t="shared" si="2"/>
        <v>1501KCcaramel</v>
      </c>
      <c r="B11" s="81" t="str">
        <f t="shared" si="3"/>
        <v>94-017-15</v>
      </c>
      <c r="C11" s="103" t="s">
        <v>904</v>
      </c>
      <c r="D11" s="103" t="s">
        <v>995</v>
      </c>
      <c r="E11" s="103" t="s">
        <v>986</v>
      </c>
      <c r="F11" s="104" t="s">
        <v>632</v>
      </c>
      <c r="G11" s="104" t="s">
        <v>869</v>
      </c>
      <c r="H11" s="103" t="s">
        <v>226</v>
      </c>
      <c r="I11" s="103" t="s">
        <v>882</v>
      </c>
      <c r="J11" s="103" t="s">
        <v>340</v>
      </c>
      <c r="K11" s="103" t="s">
        <v>382</v>
      </c>
      <c r="L11" s="103" t="s">
        <v>1076</v>
      </c>
      <c r="M11" s="103" t="s">
        <v>388</v>
      </c>
      <c r="N11" s="103" t="s">
        <v>46</v>
      </c>
      <c r="O11" s="103" t="s">
        <v>542</v>
      </c>
      <c r="P11" s="103" t="s">
        <v>1077</v>
      </c>
      <c r="Q11" s="103" t="s">
        <v>1085</v>
      </c>
      <c r="R11" s="103" t="s">
        <v>86</v>
      </c>
      <c r="V11" s="81" t="str">
        <f t="shared" si="4"/>
        <v>1501KCсветло-коричневый</v>
      </c>
      <c r="W11" s="81" t="str">
        <f t="shared" si="0"/>
        <v>1501KC</v>
      </c>
      <c r="X11" s="81" t="str">
        <f t="shared" si="5"/>
        <v/>
      </c>
      <c r="AC11" s="60">
        <f t="shared" si="6"/>
        <v>94</v>
      </c>
      <c r="AD11" s="49">
        <f t="shared" si="1"/>
        <v>17</v>
      </c>
      <c r="AE11" s="60">
        <f t="shared" si="7"/>
        <v>94017</v>
      </c>
    </row>
    <row r="12" spans="1:38">
      <c r="A12" s="81" t="str">
        <f t="shared" si="2"/>
        <v>1501KCbrown</v>
      </c>
      <c r="B12" s="81" t="str">
        <f t="shared" si="3"/>
        <v>94-017-14</v>
      </c>
      <c r="C12" s="103" t="s">
        <v>905</v>
      </c>
      <c r="D12" s="103" t="s">
        <v>996</v>
      </c>
      <c r="E12" s="103" t="s">
        <v>986</v>
      </c>
      <c r="F12" s="104" t="s">
        <v>632</v>
      </c>
      <c r="G12" s="104" t="s">
        <v>869</v>
      </c>
      <c r="H12" s="103" t="s">
        <v>86</v>
      </c>
      <c r="I12" s="103" t="s">
        <v>882</v>
      </c>
      <c r="J12" s="103" t="s">
        <v>340</v>
      </c>
      <c r="K12" s="103" t="s">
        <v>382</v>
      </c>
      <c r="L12" s="103" t="s">
        <v>1076</v>
      </c>
      <c r="M12" s="103" t="s">
        <v>388</v>
      </c>
      <c r="N12" s="103" t="s">
        <v>46</v>
      </c>
      <c r="O12" s="103" t="s">
        <v>542</v>
      </c>
      <c r="P12" s="103" t="s">
        <v>1077</v>
      </c>
      <c r="Q12" s="103" t="s">
        <v>1086</v>
      </c>
      <c r="R12" s="103" t="s">
        <v>86</v>
      </c>
      <c r="V12" s="81" t="str">
        <f t="shared" si="4"/>
        <v>1501KCкоричневый</v>
      </c>
      <c r="W12" s="81" t="str">
        <f t="shared" si="0"/>
        <v>1501KC</v>
      </c>
      <c r="X12" s="81" t="str">
        <f t="shared" si="5"/>
        <v/>
      </c>
      <c r="AC12" s="60">
        <f t="shared" si="6"/>
        <v>94</v>
      </c>
      <c r="AD12" s="49">
        <f t="shared" si="1"/>
        <v>17</v>
      </c>
      <c r="AE12" s="60">
        <f t="shared" si="7"/>
        <v>94017</v>
      </c>
    </row>
    <row r="13" spans="1:38">
      <c r="A13" s="81" t="str">
        <f t="shared" si="2"/>
        <v>1501KCblaze orange</v>
      </c>
      <c r="B13" s="81" t="str">
        <f t="shared" si="3"/>
        <v>94-017-13</v>
      </c>
      <c r="C13" s="103" t="s">
        <v>906</v>
      </c>
      <c r="D13" s="103" t="s">
        <v>997</v>
      </c>
      <c r="E13" s="103" t="s">
        <v>986</v>
      </c>
      <c r="F13" s="104" t="s">
        <v>632</v>
      </c>
      <c r="G13" s="104" t="s">
        <v>869</v>
      </c>
      <c r="H13" s="103" t="s">
        <v>199</v>
      </c>
      <c r="I13" s="103" t="s">
        <v>882</v>
      </c>
      <c r="J13" s="103" t="s">
        <v>340</v>
      </c>
      <c r="K13" s="103" t="s">
        <v>382</v>
      </c>
      <c r="L13" s="103" t="s">
        <v>1076</v>
      </c>
      <c r="M13" s="103" t="s">
        <v>388</v>
      </c>
      <c r="N13" s="103" t="s">
        <v>46</v>
      </c>
      <c r="O13" s="103" t="s">
        <v>542</v>
      </c>
      <c r="P13" s="103" t="s">
        <v>1077</v>
      </c>
      <c r="Q13" s="103" t="s">
        <v>1087</v>
      </c>
      <c r="R13" s="103" t="s">
        <v>199</v>
      </c>
      <c r="V13" s="81" t="str">
        <f t="shared" si="4"/>
        <v>1501KCоранжевый</v>
      </c>
      <c r="W13" s="81" t="str">
        <f t="shared" si="0"/>
        <v>1501KC</v>
      </c>
      <c r="X13" s="81" t="str">
        <f t="shared" si="5"/>
        <v/>
      </c>
      <c r="AC13" s="60">
        <f t="shared" si="6"/>
        <v>94</v>
      </c>
      <c r="AD13" s="49">
        <f t="shared" si="1"/>
        <v>17</v>
      </c>
      <c r="AE13" s="60">
        <f t="shared" si="7"/>
        <v>94017</v>
      </c>
    </row>
    <row r="14" spans="1:38">
      <c r="A14" s="81" t="str">
        <f t="shared" si="2"/>
        <v>1501KCmaroon</v>
      </c>
      <c r="B14" s="81" t="str">
        <f t="shared" si="3"/>
        <v>94-017-12</v>
      </c>
      <c r="C14" s="103" t="s">
        <v>907</v>
      </c>
      <c r="D14" s="103" t="s">
        <v>998</v>
      </c>
      <c r="E14" s="103" t="s">
        <v>986</v>
      </c>
      <c r="F14" s="104" t="s">
        <v>632</v>
      </c>
      <c r="G14" s="104" t="s">
        <v>869</v>
      </c>
      <c r="H14" s="103" t="s">
        <v>121</v>
      </c>
      <c r="I14" s="103" t="s">
        <v>882</v>
      </c>
      <c r="J14" s="103" t="s">
        <v>340</v>
      </c>
      <c r="K14" s="103" t="s">
        <v>382</v>
      </c>
      <c r="L14" s="103" t="s">
        <v>1076</v>
      </c>
      <c r="M14" s="103" t="s">
        <v>388</v>
      </c>
      <c r="N14" s="103" t="s">
        <v>46</v>
      </c>
      <c r="O14" s="103" t="s">
        <v>542</v>
      </c>
      <c r="P14" s="103" t="s">
        <v>1077</v>
      </c>
      <c r="Q14" s="103" t="s">
        <v>1088</v>
      </c>
      <c r="R14" s="103" t="s">
        <v>121</v>
      </c>
      <c r="V14" s="81" t="str">
        <f t="shared" si="4"/>
        <v>1501KCбордовый</v>
      </c>
      <c r="W14" s="81" t="str">
        <f t="shared" si="0"/>
        <v>1501KC</v>
      </c>
      <c r="X14" s="81" t="str">
        <f t="shared" si="5"/>
        <v/>
      </c>
      <c r="AC14" s="60">
        <f t="shared" si="6"/>
        <v>94</v>
      </c>
      <c r="AD14" s="49">
        <f t="shared" si="1"/>
        <v>17</v>
      </c>
      <c r="AE14" s="60">
        <f t="shared" si="7"/>
        <v>94017</v>
      </c>
    </row>
    <row r="15" spans="1:38">
      <c r="A15" s="81" t="str">
        <f t="shared" si="2"/>
        <v>1501KCspruce</v>
      </c>
      <c r="B15" s="81" t="str">
        <f t="shared" si="3"/>
        <v>94-017-11</v>
      </c>
      <c r="C15" s="103" t="s">
        <v>908</v>
      </c>
      <c r="D15" s="103" t="s">
        <v>999</v>
      </c>
      <c r="E15" s="103" t="s">
        <v>986</v>
      </c>
      <c r="F15" s="104" t="s">
        <v>632</v>
      </c>
      <c r="G15" s="104" t="s">
        <v>869</v>
      </c>
      <c r="H15" s="103" t="s">
        <v>60</v>
      </c>
      <c r="I15" s="103" t="s">
        <v>882</v>
      </c>
      <c r="J15" s="103" t="s">
        <v>340</v>
      </c>
      <c r="K15" s="103" t="s">
        <v>382</v>
      </c>
      <c r="L15" s="103" t="s">
        <v>1076</v>
      </c>
      <c r="M15" s="103" t="s">
        <v>388</v>
      </c>
      <c r="N15" s="103" t="s">
        <v>46</v>
      </c>
      <c r="O15" s="103" t="s">
        <v>542</v>
      </c>
      <c r="P15" s="103" t="s">
        <v>1077</v>
      </c>
      <c r="Q15" s="103" t="s">
        <v>1089</v>
      </c>
      <c r="R15" s="103" t="s">
        <v>60</v>
      </c>
      <c r="V15" s="81" t="str">
        <f t="shared" si="4"/>
        <v>1501KCзеленый</v>
      </c>
      <c r="W15" s="81" t="str">
        <f t="shared" si="0"/>
        <v>1501KC</v>
      </c>
      <c r="X15" s="81" t="str">
        <f t="shared" si="5"/>
        <v/>
      </c>
      <c r="AC15" s="60">
        <f t="shared" si="6"/>
        <v>94</v>
      </c>
      <c r="AD15" s="49">
        <f t="shared" si="1"/>
        <v>17</v>
      </c>
      <c r="AE15" s="60">
        <f t="shared" si="7"/>
        <v>94017</v>
      </c>
    </row>
    <row r="16" spans="1:38">
      <c r="A16" s="81" t="str">
        <f t="shared" si="2"/>
        <v>1501KCroyal</v>
      </c>
      <c r="B16" s="81" t="str">
        <f t="shared" si="3"/>
        <v>94-017-06</v>
      </c>
      <c r="C16" s="103" t="s">
        <v>909</v>
      </c>
      <c r="D16" s="103" t="s">
        <v>1000</v>
      </c>
      <c r="E16" s="103" t="s">
        <v>986</v>
      </c>
      <c r="F16" s="104" t="s">
        <v>632</v>
      </c>
      <c r="G16" s="104" t="s">
        <v>869</v>
      </c>
      <c r="H16" s="103" t="s">
        <v>71</v>
      </c>
      <c r="I16" s="103" t="s">
        <v>882</v>
      </c>
      <c r="J16" s="103" t="s">
        <v>340</v>
      </c>
      <c r="K16" s="103" t="s">
        <v>382</v>
      </c>
      <c r="L16" s="103" t="s">
        <v>1076</v>
      </c>
      <c r="M16" s="103" t="s">
        <v>388</v>
      </c>
      <c r="N16" s="103" t="s">
        <v>46</v>
      </c>
      <c r="O16" s="103" t="s">
        <v>542</v>
      </c>
      <c r="P16" s="103" t="s">
        <v>1077</v>
      </c>
      <c r="Q16" s="103" t="s">
        <v>1081</v>
      </c>
      <c r="R16" s="103" t="s">
        <v>71</v>
      </c>
      <c r="V16" s="81" t="str">
        <f t="shared" si="4"/>
        <v>1501KCсиний</v>
      </c>
      <c r="W16" s="81" t="str">
        <f t="shared" si="0"/>
        <v>1501KC</v>
      </c>
      <c r="X16" s="81" t="str">
        <f t="shared" si="5"/>
        <v/>
      </c>
      <c r="AC16" s="60">
        <f t="shared" si="6"/>
        <v>94</v>
      </c>
      <c r="AD16" s="49">
        <f t="shared" si="1"/>
        <v>17</v>
      </c>
      <c r="AE16" s="60">
        <f t="shared" si="7"/>
        <v>94017</v>
      </c>
    </row>
    <row r="17" spans="1:31">
      <c r="A17" s="81" t="str">
        <f t="shared" si="2"/>
        <v>1501KCdark grey</v>
      </c>
      <c r="B17" s="81" t="str">
        <f t="shared" si="3"/>
        <v>94-017-05</v>
      </c>
      <c r="C17" s="103" t="s">
        <v>910</v>
      </c>
      <c r="D17" s="103" t="s">
        <v>1001</v>
      </c>
      <c r="E17" s="103" t="s">
        <v>986</v>
      </c>
      <c r="F17" s="104" t="s">
        <v>632</v>
      </c>
      <c r="G17" s="104" t="s">
        <v>869</v>
      </c>
      <c r="H17" s="103" t="s">
        <v>277</v>
      </c>
      <c r="I17" s="103" t="s">
        <v>882</v>
      </c>
      <c r="J17" s="103" t="s">
        <v>340</v>
      </c>
      <c r="K17" s="103" t="s">
        <v>382</v>
      </c>
      <c r="L17" s="103" t="s">
        <v>1076</v>
      </c>
      <c r="M17" s="103" t="s">
        <v>388</v>
      </c>
      <c r="N17" s="103" t="s">
        <v>46</v>
      </c>
      <c r="O17" s="103" t="s">
        <v>542</v>
      </c>
      <c r="P17" s="103" t="s">
        <v>1077</v>
      </c>
      <c r="Q17" s="103" t="s">
        <v>1082</v>
      </c>
      <c r="R17" s="103" t="s">
        <v>83</v>
      </c>
      <c r="V17" s="81" t="str">
        <f t="shared" si="4"/>
        <v>1501KCтемно-серый</v>
      </c>
      <c r="W17" s="81" t="str">
        <f t="shared" si="0"/>
        <v>1501KC</v>
      </c>
      <c r="X17" s="81" t="str">
        <f t="shared" si="5"/>
        <v/>
      </c>
      <c r="AC17" s="60">
        <f t="shared" si="6"/>
        <v>94</v>
      </c>
      <c r="AD17" s="49">
        <f t="shared" si="1"/>
        <v>17</v>
      </c>
      <c r="AE17" s="60">
        <f t="shared" si="7"/>
        <v>94017</v>
      </c>
    </row>
    <row r="18" spans="1:31">
      <c r="A18" s="81" t="str">
        <f t="shared" si="2"/>
        <v>1501KColive</v>
      </c>
      <c r="B18" s="81" t="str">
        <f t="shared" si="3"/>
        <v>94-017-03</v>
      </c>
      <c r="C18" s="103" t="s">
        <v>911</v>
      </c>
      <c r="D18" s="103" t="s">
        <v>1002</v>
      </c>
      <c r="E18" s="103" t="s">
        <v>986</v>
      </c>
      <c r="F18" s="104" t="s">
        <v>632</v>
      </c>
      <c r="G18" s="104" t="s">
        <v>869</v>
      </c>
      <c r="H18" s="103" t="s">
        <v>195</v>
      </c>
      <c r="I18" s="103" t="s">
        <v>882</v>
      </c>
      <c r="J18" s="103" t="s">
        <v>340</v>
      </c>
      <c r="K18" s="103" t="s">
        <v>382</v>
      </c>
      <c r="L18" s="103" t="s">
        <v>1076</v>
      </c>
      <c r="M18" s="103" t="s">
        <v>388</v>
      </c>
      <c r="N18" s="103" t="s">
        <v>46</v>
      </c>
      <c r="O18" s="103" t="s">
        <v>542</v>
      </c>
      <c r="P18" s="103" t="s">
        <v>1077</v>
      </c>
      <c r="Q18" s="103" t="s">
        <v>1090</v>
      </c>
      <c r="R18" s="103" t="s">
        <v>195</v>
      </c>
      <c r="V18" s="81" t="str">
        <f t="shared" si="4"/>
        <v>1501KCоливковый</v>
      </c>
      <c r="W18" s="81" t="str">
        <f t="shared" si="0"/>
        <v>1501KC</v>
      </c>
      <c r="X18" s="81" t="str">
        <f t="shared" si="5"/>
        <v/>
      </c>
      <c r="AC18" s="60">
        <f t="shared" si="6"/>
        <v>94</v>
      </c>
      <c r="AD18" s="49">
        <f t="shared" si="1"/>
        <v>17</v>
      </c>
      <c r="AE18" s="60">
        <f t="shared" si="7"/>
        <v>94017</v>
      </c>
    </row>
    <row r="19" spans="1:31">
      <c r="A19" s="81" t="str">
        <f t="shared" si="2"/>
        <v>1501KCsand</v>
      </c>
      <c r="B19" s="81" t="str">
        <f t="shared" si="3"/>
        <v>94-017-02</v>
      </c>
      <c r="C19" s="103" t="s">
        <v>912</v>
      </c>
      <c r="D19" s="103" t="s">
        <v>1003</v>
      </c>
      <c r="E19" s="103" t="s">
        <v>986</v>
      </c>
      <c r="F19" s="104" t="s">
        <v>632</v>
      </c>
      <c r="G19" s="104" t="s">
        <v>869</v>
      </c>
      <c r="H19" s="103" t="s">
        <v>205</v>
      </c>
      <c r="I19" s="103" t="s">
        <v>882</v>
      </c>
      <c r="J19" s="103" t="s">
        <v>340</v>
      </c>
      <c r="K19" s="103" t="s">
        <v>382</v>
      </c>
      <c r="L19" s="103" t="s">
        <v>1076</v>
      </c>
      <c r="M19" s="103" t="s">
        <v>388</v>
      </c>
      <c r="N19" s="103" t="s">
        <v>46</v>
      </c>
      <c r="O19" s="103" t="s">
        <v>542</v>
      </c>
      <c r="P19" s="103" t="s">
        <v>1077</v>
      </c>
      <c r="Q19" s="103" t="s">
        <v>1091</v>
      </c>
      <c r="R19" s="103" t="s">
        <v>63</v>
      </c>
      <c r="V19" s="81" t="str">
        <f t="shared" si="4"/>
        <v>1501KCпесочный</v>
      </c>
      <c r="W19" s="81" t="str">
        <f t="shared" si="0"/>
        <v>1501KC</v>
      </c>
      <c r="X19" s="81" t="str">
        <f t="shared" si="5"/>
        <v/>
      </c>
      <c r="AC19" s="60">
        <f t="shared" si="6"/>
        <v>94</v>
      </c>
      <c r="AD19" s="49">
        <f t="shared" si="1"/>
        <v>17</v>
      </c>
      <c r="AE19" s="60">
        <f t="shared" si="7"/>
        <v>94017</v>
      </c>
    </row>
    <row r="20" spans="1:31">
      <c r="A20" s="81" t="str">
        <f t="shared" si="2"/>
        <v>1501KCheather grey</v>
      </c>
      <c r="B20" s="81" t="str">
        <f t="shared" si="3"/>
        <v>94-017-01</v>
      </c>
      <c r="C20" s="103" t="s">
        <v>913</v>
      </c>
      <c r="D20" s="103" t="s">
        <v>1004</v>
      </c>
      <c r="E20" s="103" t="s">
        <v>986</v>
      </c>
      <c r="F20" s="104" t="s">
        <v>632</v>
      </c>
      <c r="G20" s="104" t="s">
        <v>869</v>
      </c>
      <c r="H20" s="103" t="s">
        <v>231</v>
      </c>
      <c r="I20" s="103" t="s">
        <v>882</v>
      </c>
      <c r="J20" s="103" t="s">
        <v>340</v>
      </c>
      <c r="K20" s="103" t="s">
        <v>382</v>
      </c>
      <c r="L20" s="103" t="s">
        <v>1076</v>
      </c>
      <c r="M20" s="103" t="s">
        <v>388</v>
      </c>
      <c r="N20" s="103" t="s">
        <v>46</v>
      </c>
      <c r="O20" s="103" t="s">
        <v>542</v>
      </c>
      <c r="P20" s="103" t="s">
        <v>1077</v>
      </c>
      <c r="Q20" s="103" t="s">
        <v>1083</v>
      </c>
      <c r="R20" s="103" t="s">
        <v>83</v>
      </c>
      <c r="V20" s="81" t="str">
        <f t="shared" si="4"/>
        <v>1501KCсветло-серый</v>
      </c>
      <c r="W20" s="81" t="str">
        <f t="shared" si="0"/>
        <v>1501KC</v>
      </c>
      <c r="X20" s="81" t="str">
        <f t="shared" si="5"/>
        <v/>
      </c>
      <c r="AC20" s="60">
        <f t="shared" si="6"/>
        <v>94</v>
      </c>
      <c r="AD20" s="49">
        <f t="shared" si="1"/>
        <v>17</v>
      </c>
      <c r="AE20" s="60">
        <f t="shared" si="7"/>
        <v>94017</v>
      </c>
    </row>
    <row r="21" spans="1:31">
      <c r="A21" s="81" t="str">
        <f t="shared" si="2"/>
        <v>1501KCgold</v>
      </c>
      <c r="B21" s="81" t="str">
        <f t="shared" si="3"/>
        <v>94-017-00</v>
      </c>
      <c r="C21" s="103" t="s">
        <v>914</v>
      </c>
      <c r="D21" s="103" t="s">
        <v>1005</v>
      </c>
      <c r="E21" s="103" t="s">
        <v>986</v>
      </c>
      <c r="F21" s="104" t="s">
        <v>632</v>
      </c>
      <c r="G21" s="104" t="s">
        <v>869</v>
      </c>
      <c r="H21" s="103" t="s">
        <v>157</v>
      </c>
      <c r="I21" s="103" t="s">
        <v>882</v>
      </c>
      <c r="J21" s="103" t="s">
        <v>340</v>
      </c>
      <c r="K21" s="103" t="s">
        <v>382</v>
      </c>
      <c r="L21" s="103" t="s">
        <v>1076</v>
      </c>
      <c r="M21" s="103" t="s">
        <v>388</v>
      </c>
      <c r="N21" s="103" t="s">
        <v>46</v>
      </c>
      <c r="O21" s="103" t="s">
        <v>542</v>
      </c>
      <c r="P21" s="103" t="s">
        <v>1077</v>
      </c>
      <c r="Q21" s="103" t="s">
        <v>1092</v>
      </c>
      <c r="R21" s="103" t="s">
        <v>65</v>
      </c>
      <c r="V21" s="81" t="str">
        <f t="shared" si="4"/>
        <v>1501KCзолотой</v>
      </c>
      <c r="W21" s="81" t="str">
        <f t="shared" si="0"/>
        <v>1501KC</v>
      </c>
      <c r="X21" s="81" t="str">
        <f t="shared" si="5"/>
        <v/>
      </c>
      <c r="AC21" s="60">
        <f t="shared" si="6"/>
        <v>94</v>
      </c>
      <c r="AD21" s="49">
        <f t="shared" si="1"/>
        <v>17</v>
      </c>
      <c r="AE21" s="60">
        <f t="shared" si="7"/>
        <v>94017</v>
      </c>
    </row>
    <row r="22" spans="1:31">
      <c r="A22" s="81" t="str">
        <f t="shared" si="2"/>
        <v>1500KCbaby pink</v>
      </c>
      <c r="B22" s="81" t="str">
        <f t="shared" si="3"/>
        <v>94-016-34</v>
      </c>
      <c r="C22" s="103" t="s">
        <v>915</v>
      </c>
      <c r="D22" s="103" t="s">
        <v>1006</v>
      </c>
      <c r="E22" s="103" t="s">
        <v>986</v>
      </c>
      <c r="F22" s="104" t="s">
        <v>632</v>
      </c>
      <c r="G22" s="104" t="s">
        <v>868</v>
      </c>
      <c r="H22" s="103" t="s">
        <v>68</v>
      </c>
      <c r="I22" s="103" t="s">
        <v>882</v>
      </c>
      <c r="J22" s="103" t="s">
        <v>340</v>
      </c>
      <c r="K22" s="103" t="s">
        <v>387</v>
      </c>
      <c r="L22" s="103" t="s">
        <v>1076</v>
      </c>
      <c r="M22" s="103" t="s">
        <v>388</v>
      </c>
      <c r="N22" s="103" t="s">
        <v>46</v>
      </c>
      <c r="O22" s="103" t="s">
        <v>542</v>
      </c>
      <c r="P22" s="103" t="s">
        <v>1077</v>
      </c>
      <c r="Q22" s="103" t="s">
        <v>1093</v>
      </c>
      <c r="R22" s="103" t="s">
        <v>68</v>
      </c>
      <c r="V22" s="81" t="str">
        <f t="shared" si="4"/>
        <v>1500KCрозовый</v>
      </c>
      <c r="W22" s="81" t="str">
        <f t="shared" si="0"/>
        <v>1500KC</v>
      </c>
      <c r="X22" s="81" t="str">
        <f t="shared" si="5"/>
        <v/>
      </c>
      <c r="AC22" s="60">
        <f t="shared" si="6"/>
        <v>94</v>
      </c>
      <c r="AD22" s="49">
        <f t="shared" si="1"/>
        <v>16</v>
      </c>
      <c r="AE22" s="60">
        <f t="shared" si="7"/>
        <v>94016</v>
      </c>
    </row>
    <row r="23" spans="1:31">
      <c r="A23" s="81" t="str">
        <f t="shared" si="2"/>
        <v>1500KCred</v>
      </c>
      <c r="B23" s="81" t="str">
        <f t="shared" si="3"/>
        <v>94-016-18</v>
      </c>
      <c r="C23" s="103" t="s">
        <v>916</v>
      </c>
      <c r="D23" s="103" t="s">
        <v>1007</v>
      </c>
      <c r="E23" s="103" t="s">
        <v>986</v>
      </c>
      <c r="F23" s="104" t="s">
        <v>632</v>
      </c>
      <c r="G23" s="104" t="s">
        <v>868</v>
      </c>
      <c r="H23" s="103" t="s">
        <v>78</v>
      </c>
      <c r="I23" s="103" t="s">
        <v>882</v>
      </c>
      <c r="J23" s="103" t="s">
        <v>340</v>
      </c>
      <c r="K23" s="103" t="s">
        <v>382</v>
      </c>
      <c r="L23" s="103" t="s">
        <v>1076</v>
      </c>
      <c r="M23" s="103" t="s">
        <v>388</v>
      </c>
      <c r="N23" s="103" t="s">
        <v>46</v>
      </c>
      <c r="O23" s="103" t="s">
        <v>542</v>
      </c>
      <c r="P23" s="103" t="s">
        <v>1077</v>
      </c>
      <c r="Q23" s="103" t="s">
        <v>1078</v>
      </c>
      <c r="R23" s="103" t="s">
        <v>78</v>
      </c>
      <c r="V23" s="81" t="str">
        <f t="shared" si="4"/>
        <v>1500KCкрасный</v>
      </c>
      <c r="W23" s="81" t="str">
        <f t="shared" si="0"/>
        <v>1500KC</v>
      </c>
      <c r="X23" s="81" t="str">
        <f t="shared" si="5"/>
        <v/>
      </c>
      <c r="AC23" s="60">
        <f t="shared" si="6"/>
        <v>94</v>
      </c>
      <c r="AD23" s="49">
        <f t="shared" si="1"/>
        <v>16</v>
      </c>
      <c r="AE23" s="60">
        <f t="shared" si="7"/>
        <v>94016</v>
      </c>
    </row>
    <row r="24" spans="1:31">
      <c r="A24" s="81" t="str">
        <f t="shared" si="2"/>
        <v>1500KCwhite</v>
      </c>
      <c r="B24" s="81" t="str">
        <f t="shared" si="3"/>
        <v>94-016-17</v>
      </c>
      <c r="C24" s="103" t="s">
        <v>917</v>
      </c>
      <c r="D24" s="103" t="s">
        <v>1008</v>
      </c>
      <c r="E24" s="103" t="s">
        <v>986</v>
      </c>
      <c r="F24" s="104" t="s">
        <v>632</v>
      </c>
      <c r="G24" s="104" t="s">
        <v>868</v>
      </c>
      <c r="H24" s="103" t="s">
        <v>57</v>
      </c>
      <c r="I24" s="103" t="s">
        <v>882</v>
      </c>
      <c r="J24" s="103" t="s">
        <v>340</v>
      </c>
      <c r="K24" s="103" t="s">
        <v>382</v>
      </c>
      <c r="L24" s="103" t="s">
        <v>1076</v>
      </c>
      <c r="M24" s="103" t="s">
        <v>388</v>
      </c>
      <c r="N24" s="103" t="s">
        <v>46</v>
      </c>
      <c r="O24" s="103" t="s">
        <v>542</v>
      </c>
      <c r="P24" s="103" t="s">
        <v>1077</v>
      </c>
      <c r="Q24" s="103" t="s">
        <v>1094</v>
      </c>
      <c r="R24" s="103" t="s">
        <v>57</v>
      </c>
      <c r="V24" s="81" t="str">
        <f t="shared" si="4"/>
        <v>1500KCбелый</v>
      </c>
      <c r="W24" s="81" t="str">
        <f t="shared" si="0"/>
        <v>1500KC</v>
      </c>
      <c r="X24" s="81" t="str">
        <f t="shared" si="5"/>
        <v/>
      </c>
      <c r="AC24" s="60">
        <f t="shared" si="6"/>
        <v>94</v>
      </c>
      <c r="AD24" s="49">
        <f t="shared" si="1"/>
        <v>16</v>
      </c>
      <c r="AE24" s="60">
        <f t="shared" si="7"/>
        <v>94016</v>
      </c>
    </row>
    <row r="25" spans="1:31">
      <c r="A25" s="81" t="str">
        <f t="shared" si="2"/>
        <v>1500KCnavy</v>
      </c>
      <c r="B25" s="81" t="str">
        <f t="shared" si="3"/>
        <v>94-016-16</v>
      </c>
      <c r="C25" s="103" t="s">
        <v>918</v>
      </c>
      <c r="D25" s="103" t="s">
        <v>1009</v>
      </c>
      <c r="E25" s="103" t="s">
        <v>986</v>
      </c>
      <c r="F25" s="104" t="s">
        <v>632</v>
      </c>
      <c r="G25" s="104" t="s">
        <v>868</v>
      </c>
      <c r="H25" s="103" t="s">
        <v>55</v>
      </c>
      <c r="I25" s="103" t="s">
        <v>882</v>
      </c>
      <c r="J25" s="103" t="s">
        <v>340</v>
      </c>
      <c r="K25" s="103" t="s">
        <v>382</v>
      </c>
      <c r="L25" s="103" t="s">
        <v>1076</v>
      </c>
      <c r="M25" s="103" t="s">
        <v>388</v>
      </c>
      <c r="N25" s="103" t="s">
        <v>46</v>
      </c>
      <c r="O25" s="103" t="s">
        <v>542</v>
      </c>
      <c r="P25" s="103" t="s">
        <v>1077</v>
      </c>
      <c r="Q25" s="103" t="s">
        <v>1079</v>
      </c>
      <c r="R25" s="103" t="s">
        <v>71</v>
      </c>
      <c r="V25" s="81" t="str">
        <f t="shared" si="4"/>
        <v>1500KCтемно-синий</v>
      </c>
      <c r="W25" s="81" t="str">
        <f t="shared" si="0"/>
        <v>1500KC</v>
      </c>
      <c r="X25" s="81" t="str">
        <f t="shared" si="5"/>
        <v/>
      </c>
      <c r="AC25" s="60">
        <f t="shared" si="6"/>
        <v>94</v>
      </c>
      <c r="AD25" s="49">
        <f t="shared" si="1"/>
        <v>16</v>
      </c>
      <c r="AE25" s="60">
        <f t="shared" si="7"/>
        <v>94016</v>
      </c>
    </row>
    <row r="26" spans="1:31">
      <c r="A26" s="81" t="str">
        <f t="shared" si="2"/>
        <v>1500KCbrown</v>
      </c>
      <c r="B26" s="81" t="str">
        <f t="shared" si="3"/>
        <v>94-016-14</v>
      </c>
      <c r="C26" s="103" t="s">
        <v>919</v>
      </c>
      <c r="D26" s="103" t="s">
        <v>1010</v>
      </c>
      <c r="E26" s="103" t="s">
        <v>986</v>
      </c>
      <c r="F26" s="104" t="s">
        <v>632</v>
      </c>
      <c r="G26" s="104" t="s">
        <v>868</v>
      </c>
      <c r="H26" s="103" t="s">
        <v>86</v>
      </c>
      <c r="I26" s="103" t="s">
        <v>882</v>
      </c>
      <c r="J26" s="103" t="s">
        <v>340</v>
      </c>
      <c r="K26" s="103" t="s">
        <v>382</v>
      </c>
      <c r="L26" s="103" t="s">
        <v>1076</v>
      </c>
      <c r="M26" s="103" t="s">
        <v>388</v>
      </c>
      <c r="N26" s="103" t="s">
        <v>46</v>
      </c>
      <c r="O26" s="103" t="s">
        <v>542</v>
      </c>
      <c r="P26" s="103" t="s">
        <v>1077</v>
      </c>
      <c r="Q26" s="103" t="s">
        <v>1086</v>
      </c>
      <c r="R26" s="103" t="s">
        <v>86</v>
      </c>
      <c r="V26" s="81" t="str">
        <f t="shared" si="4"/>
        <v>1500KCкоричневый</v>
      </c>
      <c r="W26" s="81" t="str">
        <f t="shared" si="0"/>
        <v>1500KC</v>
      </c>
      <c r="X26" s="81" t="str">
        <f t="shared" si="5"/>
        <v/>
      </c>
      <c r="AC26" s="60">
        <f t="shared" si="6"/>
        <v>94</v>
      </c>
      <c r="AD26" s="49">
        <f t="shared" si="1"/>
        <v>16</v>
      </c>
      <c r="AE26" s="60">
        <f t="shared" si="7"/>
        <v>94016</v>
      </c>
    </row>
    <row r="27" spans="1:31">
      <c r="A27" s="81" t="str">
        <f t="shared" si="2"/>
        <v>1500KCmaroon</v>
      </c>
      <c r="B27" s="81" t="str">
        <f t="shared" si="3"/>
        <v>94-016-12</v>
      </c>
      <c r="C27" s="103" t="s">
        <v>920</v>
      </c>
      <c r="D27" s="103" t="s">
        <v>1011</v>
      </c>
      <c r="E27" s="103" t="s">
        <v>986</v>
      </c>
      <c r="F27" s="104" t="s">
        <v>632</v>
      </c>
      <c r="G27" s="104" t="s">
        <v>868</v>
      </c>
      <c r="H27" s="103" t="s">
        <v>121</v>
      </c>
      <c r="I27" s="103" t="s">
        <v>882</v>
      </c>
      <c r="J27" s="103" t="s">
        <v>340</v>
      </c>
      <c r="K27" s="103" t="s">
        <v>382</v>
      </c>
      <c r="L27" s="103" t="s">
        <v>1076</v>
      </c>
      <c r="M27" s="103" t="s">
        <v>388</v>
      </c>
      <c r="N27" s="103" t="s">
        <v>46</v>
      </c>
      <c r="O27" s="103" t="s">
        <v>542</v>
      </c>
      <c r="P27" s="103" t="s">
        <v>1077</v>
      </c>
      <c r="Q27" s="103" t="s">
        <v>1088</v>
      </c>
      <c r="R27" s="103" t="s">
        <v>121</v>
      </c>
      <c r="V27" s="81" t="str">
        <f t="shared" si="4"/>
        <v>1500KCбордовый</v>
      </c>
      <c r="W27" s="81" t="str">
        <f t="shared" si="0"/>
        <v>1500KC</v>
      </c>
      <c r="X27" s="81" t="str">
        <f t="shared" si="5"/>
        <v/>
      </c>
      <c r="AC27" s="60">
        <f t="shared" si="6"/>
        <v>94</v>
      </c>
      <c r="AD27" s="49">
        <f t="shared" si="1"/>
        <v>16</v>
      </c>
      <c r="AE27" s="60">
        <f t="shared" si="7"/>
        <v>94016</v>
      </c>
    </row>
    <row r="28" spans="1:31">
      <c r="A28" s="81" t="str">
        <f t="shared" si="2"/>
        <v>1500KCblack</v>
      </c>
      <c r="B28" s="81" t="str">
        <f t="shared" si="3"/>
        <v>94-016-09</v>
      </c>
      <c r="C28" s="103" t="s">
        <v>921</v>
      </c>
      <c r="D28" s="103" t="s">
        <v>1012</v>
      </c>
      <c r="E28" s="103" t="s">
        <v>986</v>
      </c>
      <c r="F28" s="104" t="s">
        <v>632</v>
      </c>
      <c r="G28" s="104" t="s">
        <v>868</v>
      </c>
      <c r="H28" s="103" t="s">
        <v>53</v>
      </c>
      <c r="I28" s="103" t="s">
        <v>882</v>
      </c>
      <c r="J28" s="103" t="s">
        <v>340</v>
      </c>
      <c r="K28" s="103" t="s">
        <v>382</v>
      </c>
      <c r="L28" s="103" t="s">
        <v>1076</v>
      </c>
      <c r="M28" s="103" t="s">
        <v>388</v>
      </c>
      <c r="N28" s="103" t="s">
        <v>46</v>
      </c>
      <c r="O28" s="103" t="s">
        <v>542</v>
      </c>
      <c r="P28" s="103" t="s">
        <v>1077</v>
      </c>
      <c r="Q28" s="103" t="s">
        <v>1080</v>
      </c>
      <c r="R28" s="103" t="s">
        <v>53</v>
      </c>
      <c r="V28" s="81" t="str">
        <f t="shared" si="4"/>
        <v>1500KCчерный</v>
      </c>
      <c r="W28" s="81" t="str">
        <f t="shared" si="0"/>
        <v>1500KC</v>
      </c>
      <c r="X28" s="81" t="str">
        <f t="shared" si="5"/>
        <v/>
      </c>
      <c r="AC28" s="60">
        <f t="shared" si="6"/>
        <v>94</v>
      </c>
      <c r="AD28" s="49">
        <f t="shared" si="1"/>
        <v>16</v>
      </c>
      <c r="AE28" s="60">
        <f t="shared" si="7"/>
        <v>94016</v>
      </c>
    </row>
    <row r="29" spans="1:31">
      <c r="A29" s="81" t="str">
        <f t="shared" si="2"/>
        <v>1500KCroyal</v>
      </c>
      <c r="B29" s="81" t="str">
        <f t="shared" si="3"/>
        <v>94-016-06</v>
      </c>
      <c r="C29" s="103" t="s">
        <v>922</v>
      </c>
      <c r="D29" s="103" t="s">
        <v>1013</v>
      </c>
      <c r="E29" s="103" t="s">
        <v>986</v>
      </c>
      <c r="F29" s="104" t="s">
        <v>632</v>
      </c>
      <c r="G29" s="104" t="s">
        <v>868</v>
      </c>
      <c r="H29" s="103" t="s">
        <v>71</v>
      </c>
      <c r="I29" s="103" t="s">
        <v>882</v>
      </c>
      <c r="J29" s="103" t="s">
        <v>340</v>
      </c>
      <c r="K29" s="103" t="s">
        <v>382</v>
      </c>
      <c r="L29" s="103" t="s">
        <v>1076</v>
      </c>
      <c r="M29" s="103" t="s">
        <v>388</v>
      </c>
      <c r="N29" s="103" t="s">
        <v>46</v>
      </c>
      <c r="O29" s="103" t="s">
        <v>542</v>
      </c>
      <c r="P29" s="103" t="s">
        <v>1077</v>
      </c>
      <c r="Q29" s="103" t="s">
        <v>1081</v>
      </c>
      <c r="R29" s="103" t="s">
        <v>71</v>
      </c>
      <c r="V29" s="81" t="str">
        <f t="shared" si="4"/>
        <v>1500KCсиний</v>
      </c>
      <c r="W29" s="81" t="str">
        <f t="shared" si="0"/>
        <v>1500KC</v>
      </c>
      <c r="X29" s="81" t="str">
        <f t="shared" si="5"/>
        <v/>
      </c>
      <c r="AC29" s="60">
        <f t="shared" si="6"/>
        <v>94</v>
      </c>
      <c r="AD29" s="49">
        <f t="shared" si="1"/>
        <v>16</v>
      </c>
      <c r="AE29" s="60">
        <f t="shared" si="7"/>
        <v>94016</v>
      </c>
    </row>
    <row r="30" spans="1:31">
      <c r="A30" s="81" t="str">
        <f t="shared" si="2"/>
        <v>1500KCdark grey</v>
      </c>
      <c r="B30" s="81" t="str">
        <f t="shared" si="3"/>
        <v>94-016-05</v>
      </c>
      <c r="C30" s="103" t="s">
        <v>923</v>
      </c>
      <c r="D30" s="103" t="s">
        <v>1014</v>
      </c>
      <c r="E30" s="103" t="s">
        <v>986</v>
      </c>
      <c r="F30" s="104" t="s">
        <v>632</v>
      </c>
      <c r="G30" s="104" t="s">
        <v>868</v>
      </c>
      <c r="H30" s="103" t="s">
        <v>277</v>
      </c>
      <c r="I30" s="103" t="s">
        <v>882</v>
      </c>
      <c r="J30" s="103" t="s">
        <v>340</v>
      </c>
      <c r="K30" s="103" t="s">
        <v>382</v>
      </c>
      <c r="L30" s="103" t="s">
        <v>1076</v>
      </c>
      <c r="M30" s="103" t="s">
        <v>388</v>
      </c>
      <c r="N30" s="103" t="s">
        <v>46</v>
      </c>
      <c r="O30" s="103" t="s">
        <v>542</v>
      </c>
      <c r="P30" s="103" t="s">
        <v>1077</v>
      </c>
      <c r="Q30" s="103" t="s">
        <v>1082</v>
      </c>
      <c r="R30" s="103" t="s">
        <v>83</v>
      </c>
      <c r="V30" s="81" t="str">
        <f t="shared" si="4"/>
        <v>1500KCтемно-серый</v>
      </c>
      <c r="W30" s="81" t="str">
        <f t="shared" si="0"/>
        <v>1500KC</v>
      </c>
      <c r="X30" s="81" t="str">
        <f t="shared" si="5"/>
        <v/>
      </c>
      <c r="AC30" s="60">
        <f t="shared" si="6"/>
        <v>94</v>
      </c>
      <c r="AD30" s="49">
        <f t="shared" si="1"/>
        <v>16</v>
      </c>
      <c r="AE30" s="60">
        <f t="shared" si="7"/>
        <v>94016</v>
      </c>
    </row>
    <row r="31" spans="1:31">
      <c r="A31" s="81" t="str">
        <f t="shared" si="2"/>
        <v>1500KColive</v>
      </c>
      <c r="B31" s="81" t="str">
        <f t="shared" si="3"/>
        <v>94-016-03</v>
      </c>
      <c r="C31" s="103" t="s">
        <v>924</v>
      </c>
      <c r="D31" s="103" t="s">
        <v>1015</v>
      </c>
      <c r="E31" s="103" t="s">
        <v>986</v>
      </c>
      <c r="F31" s="104" t="s">
        <v>632</v>
      </c>
      <c r="G31" s="104" t="s">
        <v>868</v>
      </c>
      <c r="H31" s="103" t="s">
        <v>195</v>
      </c>
      <c r="I31" s="103" t="s">
        <v>882</v>
      </c>
      <c r="J31" s="103" t="s">
        <v>340</v>
      </c>
      <c r="K31" s="103" t="s">
        <v>382</v>
      </c>
      <c r="L31" s="103" t="s">
        <v>1076</v>
      </c>
      <c r="M31" s="103" t="s">
        <v>388</v>
      </c>
      <c r="N31" s="103" t="s">
        <v>46</v>
      </c>
      <c r="O31" s="103" t="s">
        <v>542</v>
      </c>
      <c r="P31" s="103" t="s">
        <v>1077</v>
      </c>
      <c r="Q31" s="103" t="s">
        <v>1090</v>
      </c>
      <c r="R31" s="103" t="s">
        <v>195</v>
      </c>
      <c r="V31" s="81" t="str">
        <f t="shared" si="4"/>
        <v>1500KCоливковый</v>
      </c>
      <c r="W31" s="81" t="str">
        <f t="shared" si="0"/>
        <v>1500KC</v>
      </c>
      <c r="X31" s="81" t="str">
        <f t="shared" si="5"/>
        <v/>
      </c>
      <c r="AC31" s="60">
        <f t="shared" si="6"/>
        <v>94</v>
      </c>
      <c r="AD31" s="49">
        <f t="shared" si="1"/>
        <v>16</v>
      </c>
      <c r="AE31" s="60">
        <f t="shared" si="7"/>
        <v>94016</v>
      </c>
    </row>
    <row r="32" spans="1:31">
      <c r="A32" s="81" t="str">
        <f t="shared" si="2"/>
        <v>1500KCheather grey</v>
      </c>
      <c r="B32" s="81" t="str">
        <f t="shared" si="3"/>
        <v>94-016-01</v>
      </c>
      <c r="C32" s="103" t="s">
        <v>925</v>
      </c>
      <c r="D32" s="103" t="s">
        <v>1016</v>
      </c>
      <c r="E32" s="103" t="s">
        <v>986</v>
      </c>
      <c r="F32" s="104" t="s">
        <v>632</v>
      </c>
      <c r="G32" s="104" t="s">
        <v>868</v>
      </c>
      <c r="H32" s="103" t="s">
        <v>231</v>
      </c>
      <c r="I32" s="103" t="s">
        <v>882</v>
      </c>
      <c r="J32" s="103" t="s">
        <v>340</v>
      </c>
      <c r="K32" s="103" t="s">
        <v>382</v>
      </c>
      <c r="L32" s="103" t="s">
        <v>1076</v>
      </c>
      <c r="M32" s="103" t="s">
        <v>388</v>
      </c>
      <c r="N32" s="103" t="s">
        <v>46</v>
      </c>
      <c r="O32" s="103" t="s">
        <v>542</v>
      </c>
      <c r="P32" s="103" t="s">
        <v>1077</v>
      </c>
      <c r="Q32" s="103" t="s">
        <v>1083</v>
      </c>
      <c r="R32" s="103" t="s">
        <v>83</v>
      </c>
      <c r="V32" s="81" t="str">
        <f t="shared" si="4"/>
        <v>1500KCсветло-серый</v>
      </c>
      <c r="W32" s="81" t="str">
        <f t="shared" si="0"/>
        <v>1500KC</v>
      </c>
      <c r="X32" s="81" t="str">
        <f t="shared" si="5"/>
        <v/>
      </c>
      <c r="AC32" s="60">
        <f t="shared" si="6"/>
        <v>94</v>
      </c>
      <c r="AD32" s="49">
        <f t="shared" si="1"/>
        <v>16</v>
      </c>
      <c r="AE32" s="60">
        <f t="shared" si="7"/>
        <v>94016</v>
      </c>
    </row>
    <row r="33" spans="1:31">
      <c r="A33" s="81" t="str">
        <f t="shared" si="2"/>
        <v>1500KCgold</v>
      </c>
      <c r="B33" s="81" t="str">
        <f t="shared" si="3"/>
        <v>94-016-00</v>
      </c>
      <c r="C33" s="103" t="s">
        <v>926</v>
      </c>
      <c r="D33" s="103" t="s">
        <v>1017</v>
      </c>
      <c r="E33" s="103" t="s">
        <v>986</v>
      </c>
      <c r="F33" s="104" t="s">
        <v>632</v>
      </c>
      <c r="G33" s="104" t="s">
        <v>868</v>
      </c>
      <c r="H33" s="103" t="s">
        <v>157</v>
      </c>
      <c r="I33" s="103" t="s">
        <v>882</v>
      </c>
      <c r="J33" s="103" t="s">
        <v>340</v>
      </c>
      <c r="K33" s="103" t="s">
        <v>382</v>
      </c>
      <c r="L33" s="103" t="s">
        <v>1076</v>
      </c>
      <c r="M33" s="103" t="s">
        <v>388</v>
      </c>
      <c r="N33" s="103" t="s">
        <v>46</v>
      </c>
      <c r="O33" s="103" t="s">
        <v>542</v>
      </c>
      <c r="P33" s="103" t="s">
        <v>1077</v>
      </c>
      <c r="Q33" s="103" t="s">
        <v>1092</v>
      </c>
      <c r="R33" s="103" t="s">
        <v>65</v>
      </c>
      <c r="V33" s="81" t="str">
        <f t="shared" si="4"/>
        <v>1500KCзолотой</v>
      </c>
      <c r="W33" s="81" t="str">
        <f t="shared" si="0"/>
        <v>1500KC</v>
      </c>
      <c r="X33" s="81" t="str">
        <f t="shared" si="5"/>
        <v/>
      </c>
      <c r="AC33" s="60">
        <f t="shared" si="6"/>
        <v>94</v>
      </c>
      <c r="AD33" s="49">
        <f t="shared" si="1"/>
        <v>16</v>
      </c>
      <c r="AE33" s="60">
        <f t="shared" si="7"/>
        <v>94016</v>
      </c>
    </row>
    <row r="34" spans="1:31">
      <c r="A34" s="81" t="str">
        <f t="shared" si="2"/>
        <v>6606evergreen</v>
      </c>
      <c r="B34" s="81" t="str">
        <f t="shared" si="3"/>
        <v>94-015-11</v>
      </c>
      <c r="C34" s="103" t="s">
        <v>927</v>
      </c>
      <c r="D34" s="103" t="s">
        <v>1018</v>
      </c>
      <c r="E34" s="103" t="s">
        <v>986</v>
      </c>
      <c r="F34" s="104" t="s">
        <v>632</v>
      </c>
      <c r="G34" s="104" t="s">
        <v>867</v>
      </c>
      <c r="H34" s="103" t="s">
        <v>60</v>
      </c>
      <c r="I34" s="103" t="s">
        <v>876</v>
      </c>
      <c r="J34" s="103" t="s">
        <v>356</v>
      </c>
      <c r="K34" s="103" t="s">
        <v>382</v>
      </c>
      <c r="L34" s="103" t="s">
        <v>1076</v>
      </c>
      <c r="M34" s="103" t="s">
        <v>388</v>
      </c>
      <c r="O34" s="103" t="s">
        <v>541</v>
      </c>
      <c r="P34" s="103" t="s">
        <v>1077</v>
      </c>
      <c r="Q34" s="103" t="s">
        <v>1095</v>
      </c>
      <c r="R34" s="103" t="s">
        <v>65</v>
      </c>
      <c r="V34" s="81" t="str">
        <f t="shared" si="4"/>
        <v>6606зеленый</v>
      </c>
      <c r="W34" s="81" t="str">
        <f t="shared" si="0"/>
        <v>6606</v>
      </c>
      <c r="X34" s="81" t="str">
        <f t="shared" si="5"/>
        <v/>
      </c>
      <c r="AC34" s="60">
        <f t="shared" si="6"/>
        <v>94</v>
      </c>
      <c r="AD34" s="49">
        <f t="shared" si="1"/>
        <v>15</v>
      </c>
      <c r="AE34" s="60">
        <f t="shared" si="7"/>
        <v>94015</v>
      </c>
    </row>
    <row r="35" spans="1:31">
      <c r="A35" s="81" t="str">
        <f t="shared" si="2"/>
        <v>6606black</v>
      </c>
      <c r="B35" s="81" t="str">
        <f t="shared" si="3"/>
        <v>94-015-09</v>
      </c>
      <c r="C35" s="103" t="s">
        <v>928</v>
      </c>
      <c r="D35" s="103" t="s">
        <v>1019</v>
      </c>
      <c r="E35" s="103" t="s">
        <v>986</v>
      </c>
      <c r="F35" s="104" t="s">
        <v>632</v>
      </c>
      <c r="G35" s="104" t="s">
        <v>867</v>
      </c>
      <c r="H35" s="103" t="s">
        <v>53</v>
      </c>
      <c r="I35" s="103" t="s">
        <v>876</v>
      </c>
      <c r="J35" s="103" t="s">
        <v>356</v>
      </c>
      <c r="K35" s="103" t="s">
        <v>382</v>
      </c>
      <c r="L35" s="103" t="s">
        <v>1076</v>
      </c>
      <c r="M35" s="103" t="s">
        <v>388</v>
      </c>
      <c r="O35" s="103" t="s">
        <v>541</v>
      </c>
      <c r="P35" s="103" t="s">
        <v>1077</v>
      </c>
      <c r="Q35" s="103" t="s">
        <v>1080</v>
      </c>
      <c r="R35" s="103" t="s">
        <v>65</v>
      </c>
      <c r="V35" s="81" t="str">
        <f t="shared" si="4"/>
        <v>6606черный</v>
      </c>
      <c r="W35" s="81" t="str">
        <f t="shared" si="0"/>
        <v>6606</v>
      </c>
      <c r="X35" s="81" t="str">
        <f t="shared" si="5"/>
        <v/>
      </c>
      <c r="AC35" s="60">
        <f t="shared" si="6"/>
        <v>94</v>
      </c>
      <c r="AD35" s="49">
        <f t="shared" si="1"/>
        <v>15</v>
      </c>
      <c r="AE35" s="60">
        <f t="shared" si="7"/>
        <v>94015</v>
      </c>
    </row>
    <row r="36" spans="1:31">
      <c r="A36" s="81" t="str">
        <f t="shared" si="2"/>
        <v>6533purple</v>
      </c>
      <c r="B36" s="81" t="str">
        <f t="shared" si="3"/>
        <v>94-014-41</v>
      </c>
      <c r="C36" s="103" t="s">
        <v>929</v>
      </c>
      <c r="D36" s="103" t="s">
        <v>1020</v>
      </c>
      <c r="E36" s="103" t="s">
        <v>1021</v>
      </c>
      <c r="F36" s="104" t="s">
        <v>604</v>
      </c>
      <c r="G36" s="104" t="s">
        <v>866</v>
      </c>
      <c r="H36" s="103" t="s">
        <v>286</v>
      </c>
      <c r="I36" s="103" t="s">
        <v>881</v>
      </c>
      <c r="J36" s="103" t="s">
        <v>356</v>
      </c>
      <c r="K36" s="103" t="s">
        <v>382</v>
      </c>
      <c r="L36" s="103" t="s">
        <v>1076</v>
      </c>
      <c r="M36" s="103" t="s">
        <v>388</v>
      </c>
      <c r="O36" s="103" t="s">
        <v>541</v>
      </c>
      <c r="P36" s="103" t="s">
        <v>1077</v>
      </c>
      <c r="Q36" s="103" t="s">
        <v>1096</v>
      </c>
      <c r="R36" s="103" t="s">
        <v>65</v>
      </c>
      <c r="V36" s="81" t="str">
        <f t="shared" si="4"/>
        <v>6533фиолетовый</v>
      </c>
      <c r="W36" s="81" t="str">
        <f t="shared" si="0"/>
        <v>6533</v>
      </c>
      <c r="X36" s="81" t="str">
        <f t="shared" si="5"/>
        <v/>
      </c>
      <c r="AC36" s="60">
        <f t="shared" si="6"/>
        <v>94</v>
      </c>
      <c r="AD36" s="49">
        <f t="shared" si="1"/>
        <v>14</v>
      </c>
      <c r="AE36" s="60">
        <f t="shared" si="7"/>
        <v>94014</v>
      </c>
    </row>
    <row r="37" spans="1:31">
      <c r="A37" s="81" t="str">
        <f t="shared" si="2"/>
        <v>6533maroon</v>
      </c>
      <c r="B37" s="81" t="str">
        <f t="shared" si="3"/>
        <v>94-014-12</v>
      </c>
      <c r="C37" s="103" t="s">
        <v>930</v>
      </c>
      <c r="D37" s="103" t="s">
        <v>1022</v>
      </c>
      <c r="E37" s="103" t="s">
        <v>1023</v>
      </c>
      <c r="F37" s="104" t="s">
        <v>600</v>
      </c>
      <c r="G37" s="104" t="s">
        <v>866</v>
      </c>
      <c r="H37" s="103" t="s">
        <v>121</v>
      </c>
      <c r="I37" s="103" t="s">
        <v>881</v>
      </c>
      <c r="J37" s="103" t="s">
        <v>356</v>
      </c>
      <c r="K37" s="103" t="s">
        <v>382</v>
      </c>
      <c r="L37" s="103" t="s">
        <v>1076</v>
      </c>
      <c r="M37" s="103" t="s">
        <v>388</v>
      </c>
      <c r="O37" s="103" t="s">
        <v>541</v>
      </c>
      <c r="P37" s="103" t="s">
        <v>1077</v>
      </c>
      <c r="Q37" s="103" t="s">
        <v>1088</v>
      </c>
      <c r="R37" s="103" t="s">
        <v>65</v>
      </c>
      <c r="V37" s="81" t="str">
        <f t="shared" si="4"/>
        <v>6533бордовый</v>
      </c>
      <c r="W37" s="81" t="str">
        <f t="shared" si="0"/>
        <v>6533</v>
      </c>
      <c r="X37" s="81" t="str">
        <f t="shared" si="5"/>
        <v/>
      </c>
      <c r="AC37" s="60">
        <f t="shared" si="6"/>
        <v>94</v>
      </c>
      <c r="AD37" s="49">
        <f t="shared" si="1"/>
        <v>14</v>
      </c>
      <c r="AE37" s="60">
        <f t="shared" si="7"/>
        <v>94014</v>
      </c>
    </row>
    <row r="38" spans="1:31">
      <c r="A38" s="81" t="str">
        <f t="shared" si="2"/>
        <v>6533maroon</v>
      </c>
      <c r="B38" s="81" t="str">
        <f t="shared" si="3"/>
        <v>94-014-12</v>
      </c>
      <c r="C38" s="103" t="s">
        <v>931</v>
      </c>
      <c r="D38" s="103" t="s">
        <v>1022</v>
      </c>
      <c r="E38" s="103" t="s">
        <v>1021</v>
      </c>
      <c r="F38" s="104" t="s">
        <v>604</v>
      </c>
      <c r="G38" s="104" t="s">
        <v>866</v>
      </c>
      <c r="H38" s="103" t="s">
        <v>121</v>
      </c>
      <c r="I38" s="103" t="s">
        <v>881</v>
      </c>
      <c r="J38" s="103" t="s">
        <v>356</v>
      </c>
      <c r="K38" s="103" t="s">
        <v>382</v>
      </c>
      <c r="L38" s="103" t="s">
        <v>1076</v>
      </c>
      <c r="M38" s="103" t="s">
        <v>388</v>
      </c>
      <c r="O38" s="103" t="s">
        <v>541</v>
      </c>
      <c r="P38" s="103" t="s">
        <v>1077</v>
      </c>
      <c r="Q38" s="103" t="s">
        <v>1088</v>
      </c>
      <c r="R38" s="103" t="s">
        <v>65</v>
      </c>
      <c r="V38" s="81" t="str">
        <f t="shared" si="4"/>
        <v>6533бордовый</v>
      </c>
      <c r="W38" s="81" t="str">
        <f t="shared" si="0"/>
        <v>6533</v>
      </c>
      <c r="X38" s="81" t="str">
        <f t="shared" si="5"/>
        <v/>
      </c>
      <c r="AC38" s="60">
        <f t="shared" si="6"/>
        <v>94</v>
      </c>
      <c r="AD38" s="49">
        <f t="shared" si="1"/>
        <v>14</v>
      </c>
      <c r="AE38" s="60">
        <f t="shared" si="7"/>
        <v>94014</v>
      </c>
    </row>
    <row r="39" spans="1:31">
      <c r="A39" s="81" t="str">
        <f t="shared" si="2"/>
        <v>6533dark grey</v>
      </c>
      <c r="B39" s="81" t="str">
        <f t="shared" si="3"/>
        <v>94-014-05</v>
      </c>
      <c r="C39" s="103" t="s">
        <v>932</v>
      </c>
      <c r="D39" s="103" t="s">
        <v>1024</v>
      </c>
      <c r="E39" s="103" t="s">
        <v>1023</v>
      </c>
      <c r="F39" s="104" t="s">
        <v>600</v>
      </c>
      <c r="G39" s="104" t="s">
        <v>866</v>
      </c>
      <c r="H39" s="103" t="s">
        <v>277</v>
      </c>
      <c r="I39" s="103" t="s">
        <v>881</v>
      </c>
      <c r="J39" s="103" t="s">
        <v>356</v>
      </c>
      <c r="K39" s="103" t="s">
        <v>382</v>
      </c>
      <c r="L39" s="103" t="s">
        <v>1076</v>
      </c>
      <c r="M39" s="103" t="s">
        <v>388</v>
      </c>
      <c r="O39" s="103" t="s">
        <v>541</v>
      </c>
      <c r="P39" s="103" t="s">
        <v>1077</v>
      </c>
      <c r="Q39" s="103" t="s">
        <v>1082</v>
      </c>
      <c r="R39" s="103" t="s">
        <v>65</v>
      </c>
      <c r="V39" s="81" t="str">
        <f t="shared" si="4"/>
        <v>6533темно-серый</v>
      </c>
      <c r="W39" s="81" t="str">
        <f t="shared" si="0"/>
        <v>6533</v>
      </c>
      <c r="X39" s="81" t="str">
        <f t="shared" si="5"/>
        <v/>
      </c>
      <c r="AC39" s="60">
        <f t="shared" si="6"/>
        <v>94</v>
      </c>
      <c r="AD39" s="49">
        <f t="shared" si="1"/>
        <v>14</v>
      </c>
      <c r="AE39" s="60">
        <f t="shared" si="7"/>
        <v>94014</v>
      </c>
    </row>
    <row r="40" spans="1:31">
      <c r="A40" s="81" t="str">
        <f t="shared" si="2"/>
        <v>6533dark grey</v>
      </c>
      <c r="B40" s="81" t="str">
        <f t="shared" si="3"/>
        <v>94-014-05</v>
      </c>
      <c r="C40" s="103" t="s">
        <v>933</v>
      </c>
      <c r="D40" s="103" t="s">
        <v>1024</v>
      </c>
      <c r="E40" s="103" t="s">
        <v>1021</v>
      </c>
      <c r="F40" s="104" t="s">
        <v>604</v>
      </c>
      <c r="G40" s="104" t="s">
        <v>866</v>
      </c>
      <c r="H40" s="103" t="s">
        <v>277</v>
      </c>
      <c r="I40" s="103" t="s">
        <v>881</v>
      </c>
      <c r="J40" s="103" t="s">
        <v>356</v>
      </c>
      <c r="K40" s="103" t="s">
        <v>382</v>
      </c>
      <c r="L40" s="103" t="s">
        <v>1076</v>
      </c>
      <c r="M40" s="103" t="s">
        <v>388</v>
      </c>
      <c r="O40" s="103" t="s">
        <v>541</v>
      </c>
      <c r="P40" s="103" t="s">
        <v>1077</v>
      </c>
      <c r="Q40" s="103" t="s">
        <v>1082</v>
      </c>
      <c r="R40" s="103" t="s">
        <v>65</v>
      </c>
      <c r="V40" s="81" t="str">
        <f t="shared" si="4"/>
        <v>6533темно-серый</v>
      </c>
      <c r="W40" s="81" t="str">
        <f t="shared" si="0"/>
        <v>6533</v>
      </c>
      <c r="X40" s="81" t="str">
        <f t="shared" si="5"/>
        <v/>
      </c>
      <c r="AC40" s="60">
        <f t="shared" si="6"/>
        <v>94</v>
      </c>
      <c r="AD40" s="49">
        <f t="shared" si="1"/>
        <v>14</v>
      </c>
      <c r="AE40" s="60">
        <f t="shared" si="7"/>
        <v>94014</v>
      </c>
    </row>
    <row r="41" spans="1:31">
      <c r="A41" s="81" t="str">
        <f t="shared" si="2"/>
        <v>6511brown</v>
      </c>
      <c r="B41" s="81" t="str">
        <f t="shared" si="3"/>
        <v>94-013-14</v>
      </c>
      <c r="C41" s="103" t="s">
        <v>934</v>
      </c>
      <c r="D41" s="103" t="s">
        <v>1025</v>
      </c>
      <c r="E41" s="103" t="s">
        <v>1021</v>
      </c>
      <c r="F41" s="104" t="s">
        <v>604</v>
      </c>
      <c r="G41" s="104" t="s">
        <v>865</v>
      </c>
      <c r="H41" s="103" t="s">
        <v>86</v>
      </c>
      <c r="I41" s="103" t="s">
        <v>880</v>
      </c>
      <c r="J41" s="103" t="s">
        <v>356</v>
      </c>
      <c r="K41" s="103" t="s">
        <v>382</v>
      </c>
      <c r="L41" s="103" t="s">
        <v>1076</v>
      </c>
      <c r="M41" s="103" t="s">
        <v>388</v>
      </c>
      <c r="O41" s="103" t="s">
        <v>541</v>
      </c>
      <c r="P41" s="103" t="s">
        <v>1077</v>
      </c>
      <c r="Q41" s="103" t="s">
        <v>1086</v>
      </c>
      <c r="R41" s="103" t="s">
        <v>65</v>
      </c>
      <c r="V41" s="81" t="str">
        <f t="shared" si="4"/>
        <v>6511коричневый</v>
      </c>
      <c r="W41" s="81" t="str">
        <f t="shared" si="0"/>
        <v>6511</v>
      </c>
      <c r="X41" s="81" t="str">
        <f t="shared" si="5"/>
        <v/>
      </c>
      <c r="AC41" s="60">
        <f t="shared" si="6"/>
        <v>94</v>
      </c>
      <c r="AD41" s="49">
        <f t="shared" si="1"/>
        <v>13</v>
      </c>
      <c r="AE41" s="60">
        <f t="shared" si="7"/>
        <v>94013</v>
      </c>
    </row>
    <row r="42" spans="1:31">
      <c r="A42" s="81" t="str">
        <f t="shared" si="2"/>
        <v>6320red</v>
      </c>
      <c r="B42" s="81" t="str">
        <f t="shared" si="3"/>
        <v>94-012-18</v>
      </c>
      <c r="C42" s="103" t="s">
        <v>935</v>
      </c>
      <c r="D42" s="103" t="s">
        <v>1026</v>
      </c>
      <c r="E42" s="103" t="s">
        <v>986</v>
      </c>
      <c r="F42" s="104" t="s">
        <v>632</v>
      </c>
      <c r="G42" s="104" t="s">
        <v>864</v>
      </c>
      <c r="H42" s="103" t="s">
        <v>78</v>
      </c>
      <c r="I42" s="103" t="s">
        <v>879</v>
      </c>
      <c r="J42" s="103" t="s">
        <v>356</v>
      </c>
      <c r="K42" s="103" t="s">
        <v>382</v>
      </c>
      <c r="L42" s="103" t="s">
        <v>1076</v>
      </c>
      <c r="M42" s="103" t="s">
        <v>388</v>
      </c>
      <c r="O42" s="103" t="s">
        <v>541</v>
      </c>
      <c r="P42" s="103" t="s">
        <v>1077</v>
      </c>
      <c r="Q42" s="103" t="s">
        <v>1078</v>
      </c>
      <c r="R42" s="103" t="s">
        <v>65</v>
      </c>
      <c r="V42" s="81" t="str">
        <f t="shared" si="4"/>
        <v>6320красный</v>
      </c>
      <c r="W42" s="81" t="str">
        <f t="shared" si="0"/>
        <v>6320</v>
      </c>
      <c r="X42" s="81" t="str">
        <f t="shared" si="5"/>
        <v/>
      </c>
      <c r="AC42" s="60">
        <f t="shared" si="6"/>
        <v>94</v>
      </c>
      <c r="AD42" s="49">
        <f t="shared" si="1"/>
        <v>12</v>
      </c>
      <c r="AE42" s="60">
        <f t="shared" si="7"/>
        <v>94012</v>
      </c>
    </row>
    <row r="43" spans="1:31">
      <c r="A43" s="81" t="str">
        <f t="shared" si="2"/>
        <v>6320royal</v>
      </c>
      <c r="B43" s="81" t="str">
        <f t="shared" si="3"/>
        <v>94-012-06</v>
      </c>
      <c r="C43" s="103" t="s">
        <v>936</v>
      </c>
      <c r="D43" s="103" t="s">
        <v>1027</v>
      </c>
      <c r="E43" s="103" t="s">
        <v>986</v>
      </c>
      <c r="F43" s="104" t="s">
        <v>632</v>
      </c>
      <c r="G43" s="104" t="s">
        <v>864</v>
      </c>
      <c r="H43" s="103" t="s">
        <v>71</v>
      </c>
      <c r="I43" s="103" t="s">
        <v>879</v>
      </c>
      <c r="J43" s="103" t="s">
        <v>356</v>
      </c>
      <c r="K43" s="103" t="s">
        <v>382</v>
      </c>
      <c r="L43" s="103" t="s">
        <v>1076</v>
      </c>
      <c r="M43" s="103" t="s">
        <v>388</v>
      </c>
      <c r="O43" s="103" t="s">
        <v>541</v>
      </c>
      <c r="P43" s="103" t="s">
        <v>1077</v>
      </c>
      <c r="Q43" s="103" t="s">
        <v>1081</v>
      </c>
      <c r="R43" s="103" t="s">
        <v>65</v>
      </c>
      <c r="V43" s="81" t="str">
        <f t="shared" si="4"/>
        <v>6320синий</v>
      </c>
      <c r="W43" s="81" t="str">
        <f t="shared" si="0"/>
        <v>6320</v>
      </c>
      <c r="X43" s="81" t="str">
        <f t="shared" si="5"/>
        <v/>
      </c>
      <c r="AC43" s="60">
        <f t="shared" si="6"/>
        <v>94</v>
      </c>
      <c r="AD43" s="49">
        <f t="shared" si="1"/>
        <v>12</v>
      </c>
      <c r="AE43" s="60">
        <f t="shared" si="7"/>
        <v>94012</v>
      </c>
    </row>
    <row r="44" spans="1:31">
      <c r="A44" s="81" t="str">
        <f t="shared" si="2"/>
        <v>6277brown</v>
      </c>
      <c r="B44" s="81" t="str">
        <f t="shared" si="3"/>
        <v>94-011-14</v>
      </c>
      <c r="C44" s="103" t="s">
        <v>937</v>
      </c>
      <c r="D44" s="103" t="s">
        <v>1028</v>
      </c>
      <c r="E44" s="103" t="s">
        <v>1023</v>
      </c>
      <c r="F44" s="104" t="s">
        <v>600</v>
      </c>
      <c r="G44" s="104" t="s">
        <v>863</v>
      </c>
      <c r="H44" s="103" t="s">
        <v>86</v>
      </c>
      <c r="I44" s="103" t="s">
        <v>878</v>
      </c>
      <c r="J44" s="103" t="s">
        <v>327</v>
      </c>
      <c r="K44" s="103" t="s">
        <v>382</v>
      </c>
      <c r="L44" s="103" t="s">
        <v>1076</v>
      </c>
      <c r="M44" s="103" t="s">
        <v>388</v>
      </c>
      <c r="O44" s="103" t="s">
        <v>541</v>
      </c>
      <c r="P44" s="103" t="s">
        <v>1077</v>
      </c>
      <c r="Q44" s="103" t="s">
        <v>1086</v>
      </c>
      <c r="R44" s="103" t="s">
        <v>65</v>
      </c>
      <c r="V44" s="81" t="str">
        <f t="shared" si="4"/>
        <v>6277коричневый</v>
      </c>
      <c r="W44" s="81" t="str">
        <f t="shared" si="0"/>
        <v>6277</v>
      </c>
      <c r="X44" s="81" t="str">
        <f t="shared" si="5"/>
        <v/>
      </c>
      <c r="AC44" s="60">
        <f t="shared" si="6"/>
        <v>94</v>
      </c>
      <c r="AD44" s="49">
        <f t="shared" si="1"/>
        <v>11</v>
      </c>
      <c r="AE44" s="60">
        <f t="shared" si="7"/>
        <v>94011</v>
      </c>
    </row>
    <row r="45" spans="1:31">
      <c r="A45" s="81" t="str">
        <f t="shared" si="2"/>
        <v>6277brown</v>
      </c>
      <c r="B45" s="81" t="str">
        <f t="shared" si="3"/>
        <v>94-011-14</v>
      </c>
      <c r="C45" s="103" t="s">
        <v>938</v>
      </c>
      <c r="D45" s="103" t="s">
        <v>1028</v>
      </c>
      <c r="E45" s="103" t="s">
        <v>1021</v>
      </c>
      <c r="F45" s="104" t="s">
        <v>604</v>
      </c>
      <c r="G45" s="104" t="s">
        <v>863</v>
      </c>
      <c r="H45" s="103" t="s">
        <v>86</v>
      </c>
      <c r="I45" s="103" t="s">
        <v>878</v>
      </c>
      <c r="J45" s="103" t="s">
        <v>327</v>
      </c>
      <c r="K45" s="103" t="s">
        <v>382</v>
      </c>
      <c r="L45" s="103" t="s">
        <v>1076</v>
      </c>
      <c r="M45" s="103" t="s">
        <v>388</v>
      </c>
      <c r="O45" s="103" t="s">
        <v>541</v>
      </c>
      <c r="P45" s="103" t="s">
        <v>1077</v>
      </c>
      <c r="Q45" s="103" t="s">
        <v>1086</v>
      </c>
      <c r="R45" s="103" t="s">
        <v>65</v>
      </c>
      <c r="V45" s="81" t="str">
        <f t="shared" si="4"/>
        <v>6277коричневый</v>
      </c>
      <c r="W45" s="81" t="str">
        <f t="shared" si="0"/>
        <v>6277</v>
      </c>
      <c r="X45" s="81" t="str">
        <f t="shared" si="5"/>
        <v/>
      </c>
      <c r="AC45" s="60">
        <f t="shared" si="6"/>
        <v>94</v>
      </c>
      <c r="AD45" s="49">
        <f t="shared" si="1"/>
        <v>11</v>
      </c>
      <c r="AE45" s="60">
        <f t="shared" si="7"/>
        <v>94011</v>
      </c>
    </row>
    <row r="46" spans="1:31">
      <c r="A46" s="81" t="str">
        <f t="shared" si="2"/>
        <v>6277gold</v>
      </c>
      <c r="B46" s="81" t="str">
        <f t="shared" si="3"/>
        <v>94-011-00</v>
      </c>
      <c r="C46" s="103" t="s">
        <v>939</v>
      </c>
      <c r="D46" s="103" t="s">
        <v>1029</v>
      </c>
      <c r="E46" s="103" t="s">
        <v>1023</v>
      </c>
      <c r="F46" s="104" t="s">
        <v>600</v>
      </c>
      <c r="G46" s="104" t="s">
        <v>863</v>
      </c>
      <c r="H46" s="103" t="s">
        <v>157</v>
      </c>
      <c r="I46" s="103" t="s">
        <v>878</v>
      </c>
      <c r="J46" s="103" t="s">
        <v>327</v>
      </c>
      <c r="K46" s="103" t="s">
        <v>382</v>
      </c>
      <c r="L46" s="103" t="s">
        <v>1076</v>
      </c>
      <c r="M46" s="103" t="s">
        <v>388</v>
      </c>
      <c r="O46" s="103" t="s">
        <v>541</v>
      </c>
      <c r="P46" s="103" t="s">
        <v>1077</v>
      </c>
      <c r="Q46" s="103" t="s">
        <v>1092</v>
      </c>
      <c r="R46" s="103" t="s">
        <v>65</v>
      </c>
      <c r="V46" s="81" t="str">
        <f t="shared" si="4"/>
        <v>6277золотой</v>
      </c>
      <c r="W46" s="81" t="str">
        <f t="shared" si="0"/>
        <v>6277</v>
      </c>
      <c r="X46" s="81" t="str">
        <f t="shared" si="5"/>
        <v/>
      </c>
      <c r="AC46" s="60">
        <f t="shared" si="6"/>
        <v>94</v>
      </c>
      <c r="AD46" s="49">
        <f t="shared" si="1"/>
        <v>11</v>
      </c>
      <c r="AE46" s="60">
        <f t="shared" si="7"/>
        <v>94011</v>
      </c>
    </row>
    <row r="47" spans="1:31">
      <c r="A47" s="81" t="str">
        <f t="shared" si="2"/>
        <v>6277gold</v>
      </c>
      <c r="B47" s="81" t="str">
        <f t="shared" si="3"/>
        <v>94-011-00</v>
      </c>
      <c r="C47" s="103" t="s">
        <v>940</v>
      </c>
      <c r="D47" s="103" t="s">
        <v>1029</v>
      </c>
      <c r="E47" s="103" t="s">
        <v>1021</v>
      </c>
      <c r="F47" s="104" t="s">
        <v>604</v>
      </c>
      <c r="G47" s="104" t="s">
        <v>863</v>
      </c>
      <c r="H47" s="103" t="s">
        <v>157</v>
      </c>
      <c r="I47" s="103" t="s">
        <v>878</v>
      </c>
      <c r="J47" s="103" t="s">
        <v>327</v>
      </c>
      <c r="K47" s="103" t="s">
        <v>382</v>
      </c>
      <c r="L47" s="103" t="s">
        <v>1076</v>
      </c>
      <c r="M47" s="103" t="s">
        <v>388</v>
      </c>
      <c r="O47" s="103" t="s">
        <v>541</v>
      </c>
      <c r="P47" s="103" t="s">
        <v>1077</v>
      </c>
      <c r="Q47" s="103" t="s">
        <v>1092</v>
      </c>
      <c r="R47" s="103" t="s">
        <v>65</v>
      </c>
      <c r="V47" s="81" t="str">
        <f t="shared" si="4"/>
        <v>6277золотой</v>
      </c>
      <c r="W47" s="81" t="str">
        <f t="shared" si="0"/>
        <v>6277</v>
      </c>
      <c r="X47" s="81" t="str">
        <f t="shared" si="5"/>
        <v/>
      </c>
      <c r="AC47" s="60">
        <f t="shared" si="6"/>
        <v>94</v>
      </c>
      <c r="AD47" s="49">
        <f t="shared" si="1"/>
        <v>11</v>
      </c>
      <c r="AE47" s="60">
        <f t="shared" si="7"/>
        <v>94011</v>
      </c>
    </row>
    <row r="48" spans="1:31">
      <c r="A48" s="81" t="str">
        <f t="shared" si="2"/>
        <v>6089TCcamo/black</v>
      </c>
      <c r="B48" s="81" t="str">
        <f t="shared" si="3"/>
        <v>94-010-00</v>
      </c>
      <c r="C48" s="103" t="s">
        <v>941</v>
      </c>
      <c r="D48" s="103" t="s">
        <v>1030</v>
      </c>
      <c r="E48" s="103" t="s">
        <v>986</v>
      </c>
      <c r="F48" s="104" t="s">
        <v>632</v>
      </c>
      <c r="G48" s="104" t="s">
        <v>862</v>
      </c>
      <c r="H48" s="103" t="s">
        <v>845</v>
      </c>
      <c r="I48" s="103" t="s">
        <v>874</v>
      </c>
      <c r="J48" s="103" t="s">
        <v>783</v>
      </c>
      <c r="K48" s="103" t="s">
        <v>382</v>
      </c>
      <c r="L48" s="103" t="s">
        <v>1076</v>
      </c>
      <c r="M48" s="103" t="s">
        <v>388</v>
      </c>
      <c r="N48" s="103" t="s">
        <v>46</v>
      </c>
      <c r="O48" s="103" t="s">
        <v>541</v>
      </c>
      <c r="P48" s="103" t="s">
        <v>1077</v>
      </c>
      <c r="Q48" s="103" t="s">
        <v>1097</v>
      </c>
      <c r="R48" s="103" t="s">
        <v>60</v>
      </c>
      <c r="V48" s="81" t="str">
        <f t="shared" si="4"/>
        <v>6089TCкамуфляж / черный</v>
      </c>
      <c r="W48" s="81" t="str">
        <f t="shared" si="0"/>
        <v>6089TC</v>
      </c>
      <c r="X48" s="81" t="str">
        <f t="shared" si="5"/>
        <v/>
      </c>
      <c r="AC48" s="60">
        <f t="shared" si="6"/>
        <v>94</v>
      </c>
      <c r="AD48" s="49">
        <f t="shared" si="1"/>
        <v>10</v>
      </c>
      <c r="AE48" s="60">
        <f t="shared" si="7"/>
        <v>94010</v>
      </c>
    </row>
    <row r="49" spans="1:31">
      <c r="A49" s="81" t="str">
        <f t="shared" si="2"/>
        <v>6089MTblack/red</v>
      </c>
      <c r="B49" s="81" t="str">
        <f t="shared" si="3"/>
        <v>94-009-72</v>
      </c>
      <c r="C49" s="103" t="s">
        <v>942</v>
      </c>
      <c r="D49" s="103" t="s">
        <v>1031</v>
      </c>
      <c r="E49" s="103" t="s">
        <v>986</v>
      </c>
      <c r="F49" s="104" t="s">
        <v>632</v>
      </c>
      <c r="G49" s="104" t="s">
        <v>861</v>
      </c>
      <c r="H49" s="103" t="s">
        <v>302</v>
      </c>
      <c r="I49" s="103" t="s">
        <v>874</v>
      </c>
      <c r="J49" s="103" t="s">
        <v>783</v>
      </c>
      <c r="K49" s="103" t="s">
        <v>382</v>
      </c>
      <c r="L49" s="103" t="s">
        <v>1076</v>
      </c>
      <c r="M49" s="103" t="s">
        <v>388</v>
      </c>
      <c r="N49" s="103" t="s">
        <v>46</v>
      </c>
      <c r="O49" s="103" t="s">
        <v>541</v>
      </c>
      <c r="P49" s="103" t="s">
        <v>1077</v>
      </c>
      <c r="Q49" s="103" t="s">
        <v>1098</v>
      </c>
      <c r="R49" s="103" t="s">
        <v>53</v>
      </c>
      <c r="V49" s="81" t="str">
        <f t="shared" si="4"/>
        <v>6089MTчерный / красный</v>
      </c>
      <c r="W49" s="81" t="str">
        <f t="shared" si="0"/>
        <v>6089MT</v>
      </c>
      <c r="X49" s="81" t="str">
        <f t="shared" si="5"/>
        <v/>
      </c>
      <c r="AC49" s="60">
        <f t="shared" si="6"/>
        <v>94</v>
      </c>
      <c r="AD49" s="49">
        <f t="shared" si="1"/>
        <v>9</v>
      </c>
      <c r="AE49" s="60">
        <f t="shared" si="7"/>
        <v>94009</v>
      </c>
    </row>
    <row r="50" spans="1:31">
      <c r="A50" s="81" t="str">
        <f t="shared" si="2"/>
        <v>6089MTnavy/red</v>
      </c>
      <c r="B50" s="81" t="str">
        <f t="shared" si="3"/>
        <v>94-009-71</v>
      </c>
      <c r="C50" s="103" t="s">
        <v>943</v>
      </c>
      <c r="D50" s="103" t="s">
        <v>1032</v>
      </c>
      <c r="E50" s="103" t="s">
        <v>986</v>
      </c>
      <c r="F50" s="104" t="s">
        <v>632</v>
      </c>
      <c r="G50" s="104" t="s">
        <v>861</v>
      </c>
      <c r="H50" s="103" t="s">
        <v>592</v>
      </c>
      <c r="I50" s="103" t="s">
        <v>874</v>
      </c>
      <c r="J50" s="103" t="s">
        <v>783</v>
      </c>
      <c r="K50" s="103" t="s">
        <v>382</v>
      </c>
      <c r="L50" s="103" t="s">
        <v>1076</v>
      </c>
      <c r="M50" s="103" t="s">
        <v>388</v>
      </c>
      <c r="N50" s="103" t="s">
        <v>46</v>
      </c>
      <c r="O50" s="103" t="s">
        <v>541</v>
      </c>
      <c r="P50" s="103" t="s">
        <v>1077</v>
      </c>
      <c r="Q50" s="103" t="s">
        <v>1099</v>
      </c>
      <c r="R50" s="103" t="s">
        <v>71</v>
      </c>
      <c r="V50" s="81" t="str">
        <f t="shared" si="4"/>
        <v>6089MTтемно-синий / красный</v>
      </c>
      <c r="W50" s="81" t="str">
        <f t="shared" si="0"/>
        <v>6089MT</v>
      </c>
      <c r="X50" s="81" t="str">
        <f t="shared" si="5"/>
        <v/>
      </c>
      <c r="AC50" s="60">
        <f t="shared" si="6"/>
        <v>94</v>
      </c>
      <c r="AD50" s="49">
        <f t="shared" si="1"/>
        <v>9</v>
      </c>
      <c r="AE50" s="60">
        <f t="shared" si="7"/>
        <v>94009</v>
      </c>
    </row>
    <row r="51" spans="1:31">
      <c r="A51" s="81" t="str">
        <f t="shared" si="2"/>
        <v>6089MTroyal/orange</v>
      </c>
      <c r="B51" s="81" t="str">
        <f t="shared" si="3"/>
        <v>94-009-45</v>
      </c>
      <c r="C51" s="103" t="s">
        <v>944</v>
      </c>
      <c r="D51" s="103" t="s">
        <v>1033</v>
      </c>
      <c r="E51" s="103" t="s">
        <v>986</v>
      </c>
      <c r="F51" s="104" t="s">
        <v>632</v>
      </c>
      <c r="G51" s="104" t="s">
        <v>861</v>
      </c>
      <c r="H51" s="103" t="s">
        <v>254</v>
      </c>
      <c r="I51" s="103" t="s">
        <v>874</v>
      </c>
      <c r="J51" s="103" t="s">
        <v>783</v>
      </c>
      <c r="K51" s="103" t="s">
        <v>382</v>
      </c>
      <c r="L51" s="103" t="s">
        <v>1076</v>
      </c>
      <c r="M51" s="103" t="s">
        <v>388</v>
      </c>
      <c r="N51" s="103" t="s">
        <v>46</v>
      </c>
      <c r="O51" s="103" t="s">
        <v>541</v>
      </c>
      <c r="P51" s="103" t="s">
        <v>1077</v>
      </c>
      <c r="Q51" s="103" t="s">
        <v>1100</v>
      </c>
      <c r="R51" s="103" t="s">
        <v>71</v>
      </c>
      <c r="V51" s="81" t="str">
        <f t="shared" si="4"/>
        <v>6089MTсиний / оранжевый</v>
      </c>
      <c r="W51" s="81" t="str">
        <f t="shared" si="0"/>
        <v>6089MT</v>
      </c>
      <c r="X51" s="81" t="str">
        <f t="shared" si="5"/>
        <v/>
      </c>
      <c r="AC51" s="60">
        <f t="shared" si="6"/>
        <v>94</v>
      </c>
      <c r="AD51" s="49">
        <f t="shared" si="1"/>
        <v>9</v>
      </c>
      <c r="AE51" s="60">
        <f t="shared" si="7"/>
        <v>94009</v>
      </c>
    </row>
    <row r="52" spans="1:31">
      <c r="A52" s="81" t="str">
        <f t="shared" si="2"/>
        <v>6089MTheather/black</v>
      </c>
      <c r="B52" s="81" t="str">
        <f t="shared" si="3"/>
        <v>94-009-11</v>
      </c>
      <c r="C52" s="103" t="s">
        <v>945</v>
      </c>
      <c r="D52" s="103" t="s">
        <v>1034</v>
      </c>
      <c r="E52" s="103" t="s">
        <v>986</v>
      </c>
      <c r="F52" s="104" t="s">
        <v>632</v>
      </c>
      <c r="G52" s="104" t="s">
        <v>861</v>
      </c>
      <c r="H52" s="103" t="s">
        <v>871</v>
      </c>
      <c r="I52" s="103" t="s">
        <v>874</v>
      </c>
      <c r="J52" s="103" t="s">
        <v>783</v>
      </c>
      <c r="K52" s="103" t="s">
        <v>382</v>
      </c>
      <c r="L52" s="103" t="s">
        <v>1076</v>
      </c>
      <c r="M52" s="103" t="s">
        <v>388</v>
      </c>
      <c r="N52" s="103" t="s">
        <v>46</v>
      </c>
      <c r="O52" s="103" t="s">
        <v>541</v>
      </c>
      <c r="P52" s="103" t="s">
        <v>1077</v>
      </c>
      <c r="Q52" s="103" t="s">
        <v>1101</v>
      </c>
      <c r="R52" s="103" t="s">
        <v>83</v>
      </c>
      <c r="V52" s="81" t="str">
        <f t="shared" si="4"/>
        <v>6089MTсветло-серый / черный</v>
      </c>
      <c r="W52" s="81" t="str">
        <f t="shared" si="0"/>
        <v>6089MT</v>
      </c>
      <c r="X52" s="81" t="str">
        <f t="shared" si="5"/>
        <v/>
      </c>
      <c r="AC52" s="60">
        <f t="shared" si="6"/>
        <v>94</v>
      </c>
      <c r="AD52" s="49">
        <f t="shared" si="1"/>
        <v>9</v>
      </c>
      <c r="AE52" s="60">
        <f t="shared" si="7"/>
        <v>94009</v>
      </c>
    </row>
    <row r="53" spans="1:31">
      <c r="A53" s="81" t="str">
        <f t="shared" si="2"/>
        <v>6089MTblack/silver</v>
      </c>
      <c r="B53" s="81" t="str">
        <f t="shared" si="3"/>
        <v>94-009-10</v>
      </c>
      <c r="C53" s="103" t="s">
        <v>946</v>
      </c>
      <c r="D53" s="103" t="s">
        <v>1035</v>
      </c>
      <c r="E53" s="103" t="s">
        <v>986</v>
      </c>
      <c r="F53" s="104" t="s">
        <v>632</v>
      </c>
      <c r="G53" s="104" t="s">
        <v>861</v>
      </c>
      <c r="H53" s="103" t="s">
        <v>308</v>
      </c>
      <c r="I53" s="103" t="s">
        <v>874</v>
      </c>
      <c r="J53" s="103" t="s">
        <v>783</v>
      </c>
      <c r="K53" s="103" t="s">
        <v>382</v>
      </c>
      <c r="L53" s="103" t="s">
        <v>1076</v>
      </c>
      <c r="M53" s="103" t="s">
        <v>388</v>
      </c>
      <c r="N53" s="103" t="s">
        <v>46</v>
      </c>
      <c r="O53" s="103" t="s">
        <v>541</v>
      </c>
      <c r="P53" s="103" t="s">
        <v>1077</v>
      </c>
      <c r="Q53" s="103" t="s">
        <v>1102</v>
      </c>
      <c r="R53" s="103" t="s">
        <v>53</v>
      </c>
      <c r="V53" s="81" t="str">
        <f t="shared" si="4"/>
        <v>6089MTчерный / серый</v>
      </c>
      <c r="W53" s="81" t="str">
        <f t="shared" si="0"/>
        <v>6089MT</v>
      </c>
      <c r="X53" s="81" t="str">
        <f t="shared" si="5"/>
        <v/>
      </c>
      <c r="AC53" s="60">
        <f t="shared" si="6"/>
        <v>94</v>
      </c>
      <c r="AD53" s="49">
        <f t="shared" si="1"/>
        <v>9</v>
      </c>
      <c r="AE53" s="60">
        <f t="shared" si="7"/>
        <v>94009</v>
      </c>
    </row>
    <row r="54" spans="1:31">
      <c r="A54" s="81" t="str">
        <f t="shared" si="2"/>
        <v>6089MTdark heather/black</v>
      </c>
      <c r="B54" s="81" t="str">
        <f t="shared" si="3"/>
        <v>94-009-09</v>
      </c>
      <c r="C54" s="103" t="s">
        <v>947</v>
      </c>
      <c r="D54" s="103" t="s">
        <v>1036</v>
      </c>
      <c r="E54" s="103" t="s">
        <v>986</v>
      </c>
      <c r="F54" s="104" t="s">
        <v>632</v>
      </c>
      <c r="G54" s="104" t="s">
        <v>861</v>
      </c>
      <c r="H54" s="103" t="s">
        <v>246</v>
      </c>
      <c r="I54" s="103" t="s">
        <v>874</v>
      </c>
      <c r="J54" s="103" t="s">
        <v>783</v>
      </c>
      <c r="K54" s="103" t="s">
        <v>382</v>
      </c>
      <c r="L54" s="103" t="s">
        <v>1076</v>
      </c>
      <c r="M54" s="103" t="s">
        <v>388</v>
      </c>
      <c r="N54" s="103" t="s">
        <v>46</v>
      </c>
      <c r="O54" s="103" t="s">
        <v>541</v>
      </c>
      <c r="P54" s="103" t="s">
        <v>1077</v>
      </c>
      <c r="Q54" s="103" t="s">
        <v>1103</v>
      </c>
      <c r="R54" s="103" t="s">
        <v>83</v>
      </c>
      <c r="V54" s="81" t="str">
        <f t="shared" si="4"/>
        <v>6089MTсерый / черный</v>
      </c>
      <c r="W54" s="81" t="str">
        <f t="shared" si="0"/>
        <v>6089MT</v>
      </c>
      <c r="X54" s="81" t="str">
        <f t="shared" si="5"/>
        <v/>
      </c>
      <c r="AC54" s="60">
        <f t="shared" si="6"/>
        <v>94</v>
      </c>
      <c r="AD54" s="49">
        <f t="shared" si="1"/>
        <v>9</v>
      </c>
      <c r="AE54" s="60">
        <f t="shared" si="7"/>
        <v>94009</v>
      </c>
    </row>
    <row r="55" spans="1:31">
      <c r="A55" s="81" t="str">
        <f t="shared" si="2"/>
        <v>6089MTdark heather/red</v>
      </c>
      <c r="B55" s="81" t="str">
        <f t="shared" si="3"/>
        <v>94-009-08</v>
      </c>
      <c r="C55" s="103" t="s">
        <v>948</v>
      </c>
      <c r="D55" s="103" t="s">
        <v>1037</v>
      </c>
      <c r="E55" s="103" t="s">
        <v>986</v>
      </c>
      <c r="F55" s="104" t="s">
        <v>632</v>
      </c>
      <c r="G55" s="104" t="s">
        <v>861</v>
      </c>
      <c r="H55" s="103" t="s">
        <v>241</v>
      </c>
      <c r="I55" s="103" t="s">
        <v>874</v>
      </c>
      <c r="J55" s="103" t="s">
        <v>783</v>
      </c>
      <c r="K55" s="103" t="s">
        <v>382</v>
      </c>
      <c r="L55" s="103" t="s">
        <v>1076</v>
      </c>
      <c r="M55" s="103" t="s">
        <v>388</v>
      </c>
      <c r="N55" s="103" t="s">
        <v>46</v>
      </c>
      <c r="O55" s="103" t="s">
        <v>541</v>
      </c>
      <c r="P55" s="103" t="s">
        <v>1077</v>
      </c>
      <c r="Q55" s="103" t="s">
        <v>1104</v>
      </c>
      <c r="R55" s="103" t="s">
        <v>83</v>
      </c>
      <c r="V55" s="81" t="str">
        <f t="shared" si="4"/>
        <v>6089MTсерый / красный</v>
      </c>
      <c r="W55" s="81" t="str">
        <f t="shared" si="0"/>
        <v>6089MT</v>
      </c>
      <c r="X55" s="81" t="str">
        <f t="shared" si="5"/>
        <v/>
      </c>
      <c r="AC55" s="60">
        <f t="shared" si="6"/>
        <v>94</v>
      </c>
      <c r="AD55" s="49">
        <f t="shared" si="1"/>
        <v>9</v>
      </c>
      <c r="AE55" s="60">
        <f t="shared" si="7"/>
        <v>94009</v>
      </c>
    </row>
    <row r="56" spans="1:31">
      <c r="A56" s="81" t="str">
        <f t="shared" si="2"/>
        <v>6089MCmulticam</v>
      </c>
      <c r="B56" s="81" t="str">
        <f t="shared" si="3"/>
        <v>94-008-00</v>
      </c>
      <c r="C56" s="103" t="s">
        <v>949</v>
      </c>
      <c r="D56" s="103" t="s">
        <v>1038</v>
      </c>
      <c r="E56" s="103" t="s">
        <v>986</v>
      </c>
      <c r="F56" s="104" t="s">
        <v>632</v>
      </c>
      <c r="G56" s="104" t="s">
        <v>860</v>
      </c>
      <c r="H56" s="103" t="s">
        <v>158</v>
      </c>
      <c r="I56" s="103" t="s">
        <v>877</v>
      </c>
      <c r="J56" s="103" t="s">
        <v>783</v>
      </c>
      <c r="K56" s="103" t="s">
        <v>382</v>
      </c>
      <c r="L56" s="103" t="s">
        <v>1076</v>
      </c>
      <c r="M56" s="103" t="s">
        <v>388</v>
      </c>
      <c r="N56" s="103" t="s">
        <v>43</v>
      </c>
      <c r="O56" s="103" t="s">
        <v>541</v>
      </c>
      <c r="P56" s="103" t="s">
        <v>1077</v>
      </c>
      <c r="Q56" s="103" t="s">
        <v>1105</v>
      </c>
      <c r="R56" s="103" t="s">
        <v>60</v>
      </c>
      <c r="V56" s="81" t="str">
        <f t="shared" si="4"/>
        <v>6089MCкамуфляж</v>
      </c>
      <c r="W56" s="81" t="str">
        <f t="shared" si="0"/>
        <v>6089MC</v>
      </c>
      <c r="X56" s="81" t="str">
        <f t="shared" si="5"/>
        <v/>
      </c>
      <c r="AC56" s="60">
        <f t="shared" si="6"/>
        <v>94</v>
      </c>
      <c r="AD56" s="49">
        <f t="shared" si="1"/>
        <v>8</v>
      </c>
      <c r="AE56" s="60">
        <f t="shared" si="7"/>
        <v>94008</v>
      </c>
    </row>
    <row r="57" spans="1:31">
      <c r="A57" s="81" t="str">
        <f t="shared" si="2"/>
        <v>6089Mdark navy</v>
      </c>
      <c r="B57" s="81" t="str">
        <f t="shared" si="3"/>
        <v>94-007-19</v>
      </c>
      <c r="C57" s="103" t="s">
        <v>950</v>
      </c>
      <c r="D57" s="103" t="s">
        <v>1039</v>
      </c>
      <c r="E57" s="103" t="s">
        <v>986</v>
      </c>
      <c r="F57" s="104" t="s">
        <v>632</v>
      </c>
      <c r="G57" s="104" t="s">
        <v>859</v>
      </c>
      <c r="H57" s="103" t="s">
        <v>233</v>
      </c>
      <c r="I57" s="103" t="s">
        <v>874</v>
      </c>
      <c r="J57" s="103" t="s">
        <v>783</v>
      </c>
      <c r="K57" s="103" t="s">
        <v>382</v>
      </c>
      <c r="L57" s="103" t="s">
        <v>1076</v>
      </c>
      <c r="M57" s="103" t="s">
        <v>388</v>
      </c>
      <c r="N57" s="103" t="s">
        <v>46</v>
      </c>
      <c r="O57" s="103" t="s">
        <v>541</v>
      </c>
      <c r="P57" s="103" t="s">
        <v>1077</v>
      </c>
      <c r="Q57" s="103" t="s">
        <v>1106</v>
      </c>
      <c r="R57" s="103" t="s">
        <v>71</v>
      </c>
      <c r="V57" s="81" t="str">
        <f t="shared" si="4"/>
        <v>6089Mсветло-синий</v>
      </c>
      <c r="W57" s="81" t="str">
        <f t="shared" si="0"/>
        <v>6089M</v>
      </c>
      <c r="X57" s="81" t="str">
        <f t="shared" si="5"/>
        <v/>
      </c>
      <c r="AC57" s="60">
        <f t="shared" si="6"/>
        <v>94</v>
      </c>
      <c r="AD57" s="49">
        <f t="shared" si="1"/>
        <v>7</v>
      </c>
      <c r="AE57" s="60">
        <f t="shared" si="7"/>
        <v>94007</v>
      </c>
    </row>
    <row r="58" spans="1:31">
      <c r="A58" s="81" t="str">
        <f t="shared" si="2"/>
        <v>6089Mred</v>
      </c>
      <c r="B58" s="81" t="str">
        <f t="shared" si="3"/>
        <v>94-007-18</v>
      </c>
      <c r="C58" s="103" t="s">
        <v>951</v>
      </c>
      <c r="D58" s="103" t="s">
        <v>1040</v>
      </c>
      <c r="E58" s="103" t="s">
        <v>986</v>
      </c>
      <c r="F58" s="104" t="s">
        <v>632</v>
      </c>
      <c r="G58" s="104" t="s">
        <v>859</v>
      </c>
      <c r="H58" s="103" t="s">
        <v>78</v>
      </c>
      <c r="I58" s="103" t="s">
        <v>874</v>
      </c>
      <c r="J58" s="103" t="s">
        <v>783</v>
      </c>
      <c r="K58" s="103" t="s">
        <v>382</v>
      </c>
      <c r="L58" s="103" t="s">
        <v>1076</v>
      </c>
      <c r="M58" s="103" t="s">
        <v>388</v>
      </c>
      <c r="N58" s="103" t="s">
        <v>46</v>
      </c>
      <c r="O58" s="103" t="s">
        <v>541</v>
      </c>
      <c r="P58" s="103" t="s">
        <v>1077</v>
      </c>
      <c r="Q58" s="103" t="s">
        <v>1078</v>
      </c>
      <c r="R58" s="103" t="s">
        <v>78</v>
      </c>
      <c r="V58" s="81" t="str">
        <f t="shared" si="4"/>
        <v>6089Mкрасный</v>
      </c>
      <c r="W58" s="81" t="str">
        <f t="shared" si="0"/>
        <v>6089M</v>
      </c>
      <c r="X58" s="81" t="str">
        <f t="shared" si="5"/>
        <v/>
      </c>
      <c r="AC58" s="60">
        <f t="shared" si="6"/>
        <v>94</v>
      </c>
      <c r="AD58" s="49">
        <f t="shared" si="1"/>
        <v>7</v>
      </c>
      <c r="AE58" s="60">
        <f t="shared" si="7"/>
        <v>94007</v>
      </c>
    </row>
    <row r="59" spans="1:31">
      <c r="A59" s="81" t="str">
        <f t="shared" si="2"/>
        <v>6089Mwhite</v>
      </c>
      <c r="B59" s="81" t="str">
        <f t="shared" si="3"/>
        <v>94-007-17</v>
      </c>
      <c r="C59" s="103" t="s">
        <v>952</v>
      </c>
      <c r="D59" s="103" t="s">
        <v>1041</v>
      </c>
      <c r="E59" s="103" t="s">
        <v>986</v>
      </c>
      <c r="F59" s="104" t="s">
        <v>632</v>
      </c>
      <c r="G59" s="104" t="s">
        <v>859</v>
      </c>
      <c r="H59" s="103" t="s">
        <v>57</v>
      </c>
      <c r="I59" s="103" t="s">
        <v>874</v>
      </c>
      <c r="J59" s="103" t="s">
        <v>783</v>
      </c>
      <c r="K59" s="103" t="s">
        <v>382</v>
      </c>
      <c r="L59" s="103" t="s">
        <v>1076</v>
      </c>
      <c r="M59" s="103" t="s">
        <v>388</v>
      </c>
      <c r="N59" s="103" t="s">
        <v>46</v>
      </c>
      <c r="O59" s="103" t="s">
        <v>541</v>
      </c>
      <c r="P59" s="103" t="s">
        <v>1077</v>
      </c>
      <c r="Q59" s="103" t="s">
        <v>1094</v>
      </c>
      <c r="R59" s="103" t="s">
        <v>57</v>
      </c>
      <c r="V59" s="81" t="str">
        <f t="shared" si="4"/>
        <v>6089Mбелый</v>
      </c>
      <c r="W59" s="81" t="str">
        <f t="shared" si="0"/>
        <v>6089M</v>
      </c>
      <c r="X59" s="81" t="str">
        <f t="shared" si="5"/>
        <v/>
      </c>
      <c r="AC59" s="60">
        <f t="shared" si="6"/>
        <v>94</v>
      </c>
      <c r="AD59" s="49">
        <f t="shared" si="1"/>
        <v>7</v>
      </c>
      <c r="AE59" s="60">
        <f t="shared" si="7"/>
        <v>94007</v>
      </c>
    </row>
    <row r="60" spans="1:31">
      <c r="A60" s="81" t="str">
        <f t="shared" si="2"/>
        <v>6089Mnavy</v>
      </c>
      <c r="B60" s="81" t="str">
        <f t="shared" si="3"/>
        <v>94-007-16</v>
      </c>
      <c r="C60" s="103" t="s">
        <v>953</v>
      </c>
      <c r="D60" s="103" t="s">
        <v>1042</v>
      </c>
      <c r="E60" s="103" t="s">
        <v>986</v>
      </c>
      <c r="F60" s="104" t="s">
        <v>632</v>
      </c>
      <c r="G60" s="104" t="s">
        <v>859</v>
      </c>
      <c r="H60" s="103" t="s">
        <v>55</v>
      </c>
      <c r="I60" s="103" t="s">
        <v>874</v>
      </c>
      <c r="J60" s="103" t="s">
        <v>783</v>
      </c>
      <c r="K60" s="103" t="s">
        <v>382</v>
      </c>
      <c r="L60" s="103" t="s">
        <v>1076</v>
      </c>
      <c r="M60" s="103" t="s">
        <v>388</v>
      </c>
      <c r="N60" s="103" t="s">
        <v>46</v>
      </c>
      <c r="O60" s="103" t="s">
        <v>541</v>
      </c>
      <c r="P60" s="103" t="s">
        <v>1077</v>
      </c>
      <c r="Q60" s="103" t="s">
        <v>1079</v>
      </c>
      <c r="R60" s="103" t="s">
        <v>71</v>
      </c>
      <c r="V60" s="81" t="str">
        <f t="shared" si="4"/>
        <v>6089Mтемно-синий</v>
      </c>
      <c r="W60" s="81" t="str">
        <f t="shared" si="0"/>
        <v>6089M</v>
      </c>
      <c r="X60" s="81" t="str">
        <f t="shared" si="5"/>
        <v/>
      </c>
      <c r="AC60" s="60">
        <f t="shared" si="6"/>
        <v>94</v>
      </c>
      <c r="AD60" s="49">
        <f t="shared" si="1"/>
        <v>7</v>
      </c>
      <c r="AE60" s="60">
        <f t="shared" si="7"/>
        <v>94007</v>
      </c>
    </row>
    <row r="61" spans="1:31">
      <c r="A61" s="81" t="str">
        <f t="shared" si="2"/>
        <v>6089Morange</v>
      </c>
      <c r="B61" s="81" t="str">
        <f t="shared" si="3"/>
        <v>94-007-13</v>
      </c>
      <c r="C61" s="103" t="s">
        <v>954</v>
      </c>
      <c r="D61" s="103" t="s">
        <v>1043</v>
      </c>
      <c r="E61" s="103" t="s">
        <v>986</v>
      </c>
      <c r="F61" s="104" t="s">
        <v>632</v>
      </c>
      <c r="G61" s="104" t="s">
        <v>859</v>
      </c>
      <c r="H61" s="103" t="s">
        <v>199</v>
      </c>
      <c r="I61" s="103" t="s">
        <v>874</v>
      </c>
      <c r="J61" s="103" t="s">
        <v>783</v>
      </c>
      <c r="K61" s="103" t="s">
        <v>382</v>
      </c>
      <c r="L61" s="103" t="s">
        <v>1076</v>
      </c>
      <c r="M61" s="103" t="s">
        <v>388</v>
      </c>
      <c r="N61" s="103" t="s">
        <v>46</v>
      </c>
      <c r="O61" s="103" t="s">
        <v>541</v>
      </c>
      <c r="P61" s="103" t="s">
        <v>1077</v>
      </c>
      <c r="Q61" s="103" t="s">
        <v>1107</v>
      </c>
      <c r="R61" s="103" t="s">
        <v>199</v>
      </c>
      <c r="V61" s="81" t="str">
        <f t="shared" si="4"/>
        <v>6089Mоранжевый</v>
      </c>
      <c r="W61" s="81" t="str">
        <f t="shared" si="0"/>
        <v>6089M</v>
      </c>
      <c r="X61" s="81" t="str">
        <f t="shared" si="5"/>
        <v/>
      </c>
      <c r="AC61" s="60">
        <f t="shared" si="6"/>
        <v>94</v>
      </c>
      <c r="AD61" s="49">
        <f t="shared" si="1"/>
        <v>7</v>
      </c>
      <c r="AE61" s="60">
        <f t="shared" si="7"/>
        <v>94007</v>
      </c>
    </row>
    <row r="62" spans="1:31">
      <c r="A62" s="81" t="str">
        <f t="shared" si="2"/>
        <v>6089Mmaroon</v>
      </c>
      <c r="B62" s="81" t="str">
        <f t="shared" si="3"/>
        <v>94-007-12</v>
      </c>
      <c r="C62" s="103" t="s">
        <v>955</v>
      </c>
      <c r="D62" s="103" t="s">
        <v>1044</v>
      </c>
      <c r="E62" s="103" t="s">
        <v>986</v>
      </c>
      <c r="F62" s="104" t="s">
        <v>632</v>
      </c>
      <c r="G62" s="104" t="s">
        <v>859</v>
      </c>
      <c r="H62" s="103" t="s">
        <v>121</v>
      </c>
      <c r="I62" s="103" t="s">
        <v>874</v>
      </c>
      <c r="J62" s="103" t="s">
        <v>783</v>
      </c>
      <c r="K62" s="103" t="s">
        <v>382</v>
      </c>
      <c r="L62" s="103" t="s">
        <v>1076</v>
      </c>
      <c r="M62" s="103" t="s">
        <v>388</v>
      </c>
      <c r="N62" s="103" t="s">
        <v>46</v>
      </c>
      <c r="O62" s="103" t="s">
        <v>541</v>
      </c>
      <c r="P62" s="103" t="s">
        <v>1077</v>
      </c>
      <c r="Q62" s="103" t="s">
        <v>1088</v>
      </c>
      <c r="R62" s="103" t="s">
        <v>121</v>
      </c>
      <c r="V62" s="81" t="str">
        <f t="shared" si="4"/>
        <v>6089Mбордовый</v>
      </c>
      <c r="W62" s="81" t="str">
        <f t="shared" si="0"/>
        <v>6089M</v>
      </c>
      <c r="X62" s="81" t="str">
        <f t="shared" si="5"/>
        <v/>
      </c>
      <c r="AC62" s="60">
        <f t="shared" si="6"/>
        <v>94</v>
      </c>
      <c r="AD62" s="49">
        <f t="shared" si="1"/>
        <v>7</v>
      </c>
      <c r="AE62" s="60">
        <f t="shared" si="7"/>
        <v>94007</v>
      </c>
    </row>
    <row r="63" spans="1:31">
      <c r="A63" s="81" t="str">
        <f t="shared" si="2"/>
        <v>6089Mspruce</v>
      </c>
      <c r="B63" s="81" t="str">
        <f t="shared" si="3"/>
        <v>94-007-11</v>
      </c>
      <c r="C63" s="103" t="s">
        <v>956</v>
      </c>
      <c r="D63" s="103" t="s">
        <v>1045</v>
      </c>
      <c r="E63" s="103" t="s">
        <v>986</v>
      </c>
      <c r="F63" s="104" t="s">
        <v>632</v>
      </c>
      <c r="G63" s="104" t="s">
        <v>859</v>
      </c>
      <c r="H63" s="103" t="s">
        <v>60</v>
      </c>
      <c r="I63" s="103" t="s">
        <v>874</v>
      </c>
      <c r="J63" s="103" t="s">
        <v>783</v>
      </c>
      <c r="K63" s="103" t="s">
        <v>382</v>
      </c>
      <c r="L63" s="103" t="s">
        <v>1076</v>
      </c>
      <c r="M63" s="103" t="s">
        <v>388</v>
      </c>
      <c r="N63" s="103" t="s">
        <v>46</v>
      </c>
      <c r="O63" s="103" t="s">
        <v>541</v>
      </c>
      <c r="P63" s="103" t="s">
        <v>1077</v>
      </c>
      <c r="Q63" s="103" t="s">
        <v>1089</v>
      </c>
      <c r="R63" s="103" t="s">
        <v>60</v>
      </c>
      <c r="V63" s="81" t="str">
        <f t="shared" si="4"/>
        <v>6089Mзеленый</v>
      </c>
      <c r="W63" s="81" t="str">
        <f t="shared" si="0"/>
        <v>6089M</v>
      </c>
      <c r="X63" s="81" t="str">
        <f t="shared" si="5"/>
        <v/>
      </c>
      <c r="AC63" s="60">
        <f t="shared" si="6"/>
        <v>94</v>
      </c>
      <c r="AD63" s="49">
        <f t="shared" si="1"/>
        <v>7</v>
      </c>
      <c r="AE63" s="60">
        <f t="shared" si="7"/>
        <v>94007</v>
      </c>
    </row>
    <row r="64" spans="1:31">
      <c r="A64" s="81" t="str">
        <f t="shared" si="2"/>
        <v>6089Mblack</v>
      </c>
      <c r="B64" s="81" t="str">
        <f t="shared" si="3"/>
        <v>94-007-09</v>
      </c>
      <c r="C64" s="103" t="s">
        <v>957</v>
      </c>
      <c r="D64" s="103" t="s">
        <v>1046</v>
      </c>
      <c r="E64" s="103" t="s">
        <v>986</v>
      </c>
      <c r="F64" s="104" t="s">
        <v>632</v>
      </c>
      <c r="G64" s="104" t="s">
        <v>859</v>
      </c>
      <c r="H64" s="103" t="s">
        <v>53</v>
      </c>
      <c r="I64" s="103" t="s">
        <v>874</v>
      </c>
      <c r="J64" s="103" t="s">
        <v>783</v>
      </c>
      <c r="K64" s="103" t="s">
        <v>382</v>
      </c>
      <c r="L64" s="103" t="s">
        <v>1076</v>
      </c>
      <c r="M64" s="103" t="s">
        <v>388</v>
      </c>
      <c r="N64" s="103" t="s">
        <v>46</v>
      </c>
      <c r="O64" s="103" t="s">
        <v>541</v>
      </c>
      <c r="P64" s="103" t="s">
        <v>1077</v>
      </c>
      <c r="Q64" s="103" t="s">
        <v>1080</v>
      </c>
      <c r="R64" s="103" t="s">
        <v>53</v>
      </c>
      <c r="V64" s="81" t="str">
        <f t="shared" si="4"/>
        <v>6089Mчерный</v>
      </c>
      <c r="W64" s="81" t="str">
        <f t="shared" si="0"/>
        <v>6089M</v>
      </c>
      <c r="X64" s="81" t="str">
        <f t="shared" si="5"/>
        <v/>
      </c>
      <c r="AC64" s="60">
        <f t="shared" si="6"/>
        <v>94</v>
      </c>
      <c r="AD64" s="49">
        <f t="shared" si="1"/>
        <v>7</v>
      </c>
      <c r="AE64" s="60">
        <f t="shared" si="7"/>
        <v>94007</v>
      </c>
    </row>
    <row r="65" spans="1:31">
      <c r="A65" s="81" t="str">
        <f t="shared" si="2"/>
        <v>6089Msilver</v>
      </c>
      <c r="B65" s="81" t="str">
        <f t="shared" si="3"/>
        <v>94-007-08</v>
      </c>
      <c r="C65" s="103" t="s">
        <v>958</v>
      </c>
      <c r="D65" s="103" t="s">
        <v>1047</v>
      </c>
      <c r="E65" s="103" t="s">
        <v>986</v>
      </c>
      <c r="F65" s="104" t="s">
        <v>632</v>
      </c>
      <c r="G65" s="104" t="s">
        <v>859</v>
      </c>
      <c r="H65" s="103" t="s">
        <v>83</v>
      </c>
      <c r="I65" s="103" t="s">
        <v>874</v>
      </c>
      <c r="J65" s="103" t="s">
        <v>783</v>
      </c>
      <c r="K65" s="103" t="s">
        <v>382</v>
      </c>
      <c r="L65" s="103" t="s">
        <v>1076</v>
      </c>
      <c r="M65" s="103" t="s">
        <v>388</v>
      </c>
      <c r="N65" s="103" t="s">
        <v>46</v>
      </c>
      <c r="O65" s="103" t="s">
        <v>541</v>
      </c>
      <c r="P65" s="103" t="s">
        <v>1077</v>
      </c>
      <c r="Q65" s="103" t="s">
        <v>1108</v>
      </c>
      <c r="R65" s="103" t="s">
        <v>83</v>
      </c>
      <c r="V65" s="81" t="str">
        <f t="shared" si="4"/>
        <v>6089Mсерый</v>
      </c>
      <c r="W65" s="81" t="str">
        <f t="shared" si="0"/>
        <v>6089M</v>
      </c>
      <c r="X65" s="81" t="str">
        <f t="shared" si="5"/>
        <v/>
      </c>
      <c r="AC65" s="60">
        <f t="shared" si="6"/>
        <v>94</v>
      </c>
      <c r="AD65" s="49">
        <f t="shared" si="1"/>
        <v>7</v>
      </c>
      <c r="AE65" s="60">
        <f t="shared" si="7"/>
        <v>94007</v>
      </c>
    </row>
    <row r="66" spans="1:31">
      <c r="A66" s="81" t="str">
        <f t="shared" si="2"/>
        <v>6089Mroyal</v>
      </c>
      <c r="B66" s="81" t="str">
        <f t="shared" si="3"/>
        <v>94-007-06</v>
      </c>
      <c r="C66" s="103" t="s">
        <v>959</v>
      </c>
      <c r="D66" s="103" t="s">
        <v>1048</v>
      </c>
      <c r="E66" s="103" t="s">
        <v>986</v>
      </c>
      <c r="F66" s="104" t="s">
        <v>632</v>
      </c>
      <c r="G66" s="104" t="s">
        <v>859</v>
      </c>
      <c r="H66" s="103" t="s">
        <v>71</v>
      </c>
      <c r="I66" s="103" t="s">
        <v>874</v>
      </c>
      <c r="J66" s="103" t="s">
        <v>783</v>
      </c>
      <c r="K66" s="103" t="s">
        <v>382</v>
      </c>
      <c r="L66" s="103" t="s">
        <v>1076</v>
      </c>
      <c r="M66" s="103" t="s">
        <v>388</v>
      </c>
      <c r="N66" s="103" t="s">
        <v>46</v>
      </c>
      <c r="O66" s="103" t="s">
        <v>541</v>
      </c>
      <c r="P66" s="103" t="s">
        <v>1077</v>
      </c>
      <c r="Q66" s="103" t="s">
        <v>1081</v>
      </c>
      <c r="R66" s="103" t="s">
        <v>71</v>
      </c>
      <c r="V66" s="81" t="str">
        <f t="shared" si="4"/>
        <v>6089Mсиний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6089M</v>
      </c>
      <c r="X66" s="81" t="str">
        <f t="shared" si="5"/>
        <v/>
      </c>
      <c r="AC66" s="60">
        <f t="shared" si="6"/>
        <v>94</v>
      </c>
      <c r="AD66" s="49">
        <f t="shared" si="1"/>
        <v>7</v>
      </c>
      <c r="AE66" s="60">
        <f t="shared" si="7"/>
        <v>94007</v>
      </c>
    </row>
    <row r="67" spans="1:31">
      <c r="A67" s="81" t="str">
        <f t="shared" ref="A67:A130" si="9">IF(G67&amp;Q67&lt;&gt;"",W67&amp;Q67,"")</f>
        <v>6089Mdark grey</v>
      </c>
      <c r="B67" s="81" t="str">
        <f t="shared" ref="B67:B130" si="10">IF(C67&lt;&gt;"",LEFT(C67,9),"")</f>
        <v>94-007-05</v>
      </c>
      <c r="C67" s="103" t="s">
        <v>960</v>
      </c>
      <c r="D67" s="103" t="s">
        <v>1049</v>
      </c>
      <c r="E67" s="103" t="s">
        <v>986</v>
      </c>
      <c r="F67" s="104" t="s">
        <v>632</v>
      </c>
      <c r="G67" s="104" t="s">
        <v>859</v>
      </c>
      <c r="H67" s="103" t="s">
        <v>277</v>
      </c>
      <c r="I67" s="103" t="s">
        <v>874</v>
      </c>
      <c r="J67" s="103" t="s">
        <v>783</v>
      </c>
      <c r="K67" s="103" t="s">
        <v>382</v>
      </c>
      <c r="L67" s="103" t="s">
        <v>1076</v>
      </c>
      <c r="M67" s="103" t="s">
        <v>388</v>
      </c>
      <c r="N67" s="103" t="s">
        <v>46</v>
      </c>
      <c r="O67" s="103" t="s">
        <v>541</v>
      </c>
      <c r="P67" s="103" t="s">
        <v>1077</v>
      </c>
      <c r="Q67" s="103" t="s">
        <v>1082</v>
      </c>
      <c r="R67" s="103" t="s">
        <v>83</v>
      </c>
      <c r="V67" s="81" t="str">
        <f t="shared" ref="V67:V130" si="11">W67&amp;H67</f>
        <v>6089Mтемно-серый</v>
      </c>
      <c r="W67" s="81" t="str">
        <f t="shared" si="8"/>
        <v>6089M</v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94</v>
      </c>
      <c r="AD67" s="49">
        <f t="shared" ref="AD67:AD130" si="14">IFERROR(VALUE(MID($C67,4,3)),0)</f>
        <v>7</v>
      </c>
      <c r="AE67" s="60">
        <f t="shared" ref="AE67:AE130" si="15">VALUE(RIGHT("00"&amp;AC67,2)&amp;RIGHT("000"&amp;AD67,3))</f>
        <v>94007</v>
      </c>
    </row>
    <row r="68" spans="1:31">
      <c r="A68" s="81" t="str">
        <f t="shared" si="9"/>
        <v>6089Mdark heather</v>
      </c>
      <c r="B68" s="81" t="str">
        <f t="shared" si="10"/>
        <v>94-007-01</v>
      </c>
      <c r="C68" s="103" t="s">
        <v>961</v>
      </c>
      <c r="D68" s="103" t="s">
        <v>1050</v>
      </c>
      <c r="E68" s="103" t="s">
        <v>986</v>
      </c>
      <c r="F68" s="104" t="s">
        <v>632</v>
      </c>
      <c r="G68" s="104" t="s">
        <v>859</v>
      </c>
      <c r="H68" s="103" t="s">
        <v>231</v>
      </c>
      <c r="I68" s="103" t="s">
        <v>874</v>
      </c>
      <c r="J68" s="103" t="s">
        <v>783</v>
      </c>
      <c r="K68" s="103" t="s">
        <v>382</v>
      </c>
      <c r="L68" s="103" t="s">
        <v>1076</v>
      </c>
      <c r="M68" s="103" t="s">
        <v>388</v>
      </c>
      <c r="N68" s="103" t="s">
        <v>46</v>
      </c>
      <c r="O68" s="103" t="s">
        <v>541</v>
      </c>
      <c r="P68" s="103" t="s">
        <v>1077</v>
      </c>
      <c r="Q68" s="103" t="s">
        <v>1109</v>
      </c>
      <c r="R68" s="103" t="s">
        <v>83</v>
      </c>
      <c r="V68" s="81" t="str">
        <f t="shared" si="11"/>
        <v>6089Mсветло-серый</v>
      </c>
      <c r="W68" s="81" t="str">
        <f t="shared" si="8"/>
        <v>6089M</v>
      </c>
      <c r="X68" s="81" t="str">
        <f t="shared" si="12"/>
        <v/>
      </c>
      <c r="AC68" s="60">
        <f t="shared" si="13"/>
        <v>94</v>
      </c>
      <c r="AD68" s="49">
        <f t="shared" si="14"/>
        <v>7</v>
      </c>
      <c r="AE68" s="60">
        <f t="shared" si="15"/>
        <v>94007</v>
      </c>
    </row>
    <row r="69" spans="1:31">
      <c r="A69" s="81" t="str">
        <f t="shared" si="9"/>
        <v>6089CMgreen camo</v>
      </c>
      <c r="B69" s="81" t="str">
        <f t="shared" si="10"/>
        <v>94-006-00</v>
      </c>
      <c r="C69" s="103" t="s">
        <v>962</v>
      </c>
      <c r="D69" s="103" t="s">
        <v>1051</v>
      </c>
      <c r="E69" s="103" t="s">
        <v>986</v>
      </c>
      <c r="F69" s="104" t="s">
        <v>632</v>
      </c>
      <c r="G69" s="104" t="s">
        <v>858</v>
      </c>
      <c r="H69" s="103" t="s">
        <v>158</v>
      </c>
      <c r="I69" s="103" t="s">
        <v>876</v>
      </c>
      <c r="J69" s="103" t="s">
        <v>783</v>
      </c>
      <c r="K69" s="103" t="s">
        <v>382</v>
      </c>
      <c r="L69" s="103" t="s">
        <v>1076</v>
      </c>
      <c r="M69" s="103" t="s">
        <v>388</v>
      </c>
      <c r="O69" s="103" t="s">
        <v>541</v>
      </c>
      <c r="P69" s="103" t="s">
        <v>1077</v>
      </c>
      <c r="Q69" s="103" t="s">
        <v>1110</v>
      </c>
      <c r="R69" s="103" t="s">
        <v>60</v>
      </c>
      <c r="V69" s="81" t="str">
        <f t="shared" si="11"/>
        <v>6089CMкамуфляж</v>
      </c>
      <c r="W69" s="81" t="str">
        <f t="shared" si="8"/>
        <v>6089CM</v>
      </c>
      <c r="X69" s="81" t="str">
        <f t="shared" si="12"/>
        <v/>
      </c>
      <c r="AC69" s="60">
        <f t="shared" si="13"/>
        <v>94</v>
      </c>
      <c r="AD69" s="49">
        <f t="shared" si="14"/>
        <v>6</v>
      </c>
      <c r="AE69" s="60">
        <f t="shared" si="15"/>
        <v>94006</v>
      </c>
    </row>
    <row r="70" spans="1:31">
      <c r="A70" s="81" t="str">
        <f t="shared" si="9"/>
        <v>6007Tblack/red</v>
      </c>
      <c r="B70" s="81" t="str">
        <f t="shared" si="10"/>
        <v>94-005-72</v>
      </c>
      <c r="C70" s="103" t="s">
        <v>963</v>
      </c>
      <c r="D70" s="103" t="s">
        <v>1052</v>
      </c>
      <c r="E70" s="103" t="s">
        <v>986</v>
      </c>
      <c r="F70" s="104" t="s">
        <v>632</v>
      </c>
      <c r="G70" s="104" t="s">
        <v>857</v>
      </c>
      <c r="H70" s="103" t="s">
        <v>302</v>
      </c>
      <c r="I70" s="103" t="s">
        <v>875</v>
      </c>
      <c r="J70" s="103" t="s">
        <v>783</v>
      </c>
      <c r="K70" s="103" t="s">
        <v>382</v>
      </c>
      <c r="L70" s="103" t="s">
        <v>1076</v>
      </c>
      <c r="M70" s="103" t="s">
        <v>388</v>
      </c>
      <c r="N70" s="103" t="s">
        <v>43</v>
      </c>
      <c r="O70" s="103" t="s">
        <v>541</v>
      </c>
      <c r="P70" s="103" t="s">
        <v>1077</v>
      </c>
      <c r="Q70" s="103" t="s">
        <v>1098</v>
      </c>
      <c r="R70" s="103" t="s">
        <v>53</v>
      </c>
      <c r="V70" s="81" t="str">
        <f t="shared" si="11"/>
        <v>6007Tчерный / красный</v>
      </c>
      <c r="W70" s="81" t="str">
        <f t="shared" si="8"/>
        <v>6007T</v>
      </c>
      <c r="X70" s="81" t="str">
        <f t="shared" si="12"/>
        <v/>
      </c>
      <c r="AC70" s="60">
        <f t="shared" si="13"/>
        <v>94</v>
      </c>
      <c r="AD70" s="49">
        <f t="shared" si="14"/>
        <v>5</v>
      </c>
      <c r="AE70" s="60">
        <f t="shared" si="15"/>
        <v>94005</v>
      </c>
    </row>
    <row r="71" spans="1:31">
      <c r="A71" s="81" t="str">
        <f t="shared" si="9"/>
        <v>6007Tnavy/red</v>
      </c>
      <c r="B71" s="81" t="str">
        <f t="shared" si="10"/>
        <v>94-005-71</v>
      </c>
      <c r="C71" s="103" t="s">
        <v>964</v>
      </c>
      <c r="D71" s="103" t="s">
        <v>1053</v>
      </c>
      <c r="E71" s="103" t="s">
        <v>986</v>
      </c>
      <c r="F71" s="104" t="s">
        <v>632</v>
      </c>
      <c r="G71" s="104" t="s">
        <v>857</v>
      </c>
      <c r="H71" s="103" t="s">
        <v>592</v>
      </c>
      <c r="I71" s="103" t="s">
        <v>875</v>
      </c>
      <c r="J71" s="103" t="s">
        <v>783</v>
      </c>
      <c r="K71" s="103" t="s">
        <v>382</v>
      </c>
      <c r="L71" s="103" t="s">
        <v>1076</v>
      </c>
      <c r="M71" s="103" t="s">
        <v>388</v>
      </c>
      <c r="N71" s="103" t="s">
        <v>43</v>
      </c>
      <c r="O71" s="103" t="s">
        <v>541</v>
      </c>
      <c r="P71" s="103" t="s">
        <v>1077</v>
      </c>
      <c r="Q71" s="103" t="s">
        <v>1099</v>
      </c>
      <c r="R71" s="103" t="s">
        <v>71</v>
      </c>
      <c r="V71" s="81" t="str">
        <f t="shared" si="11"/>
        <v>6007Tтемно-синий / красный</v>
      </c>
      <c r="W71" s="81" t="str">
        <f t="shared" si="8"/>
        <v>6007T</v>
      </c>
      <c r="X71" s="81" t="str">
        <f t="shared" si="12"/>
        <v/>
      </c>
      <c r="AC71" s="60">
        <f t="shared" si="13"/>
        <v>94</v>
      </c>
      <c r="AD71" s="49">
        <f t="shared" si="14"/>
        <v>5</v>
      </c>
      <c r="AE71" s="60">
        <f t="shared" si="15"/>
        <v>94005</v>
      </c>
    </row>
    <row r="72" spans="1:31">
      <c r="A72" s="81" t="str">
        <f t="shared" si="9"/>
        <v>6007Tblack/teal</v>
      </c>
      <c r="B72" s="81" t="str">
        <f t="shared" si="10"/>
        <v>94-005-33</v>
      </c>
      <c r="C72" s="103" t="s">
        <v>965</v>
      </c>
      <c r="D72" s="103" t="s">
        <v>1054</v>
      </c>
      <c r="E72" s="103" t="s">
        <v>986</v>
      </c>
      <c r="F72" s="104" t="s">
        <v>632</v>
      </c>
      <c r="G72" s="104" t="s">
        <v>857</v>
      </c>
      <c r="H72" s="103" t="s">
        <v>309</v>
      </c>
      <c r="I72" s="103" t="s">
        <v>875</v>
      </c>
      <c r="J72" s="103" t="s">
        <v>783</v>
      </c>
      <c r="K72" s="103" t="s">
        <v>382</v>
      </c>
      <c r="L72" s="103" t="s">
        <v>1076</v>
      </c>
      <c r="M72" s="103" t="s">
        <v>388</v>
      </c>
      <c r="N72" s="103" t="s">
        <v>43</v>
      </c>
      <c r="O72" s="103" t="s">
        <v>541</v>
      </c>
      <c r="P72" s="103" t="s">
        <v>1077</v>
      </c>
      <c r="Q72" s="103" t="s">
        <v>1111</v>
      </c>
      <c r="R72" s="103" t="s">
        <v>53</v>
      </c>
      <c r="V72" s="81" t="str">
        <f t="shared" si="11"/>
        <v>6007Tчерный / синий</v>
      </c>
      <c r="W72" s="81" t="str">
        <f t="shared" si="8"/>
        <v>6007T</v>
      </c>
      <c r="X72" s="81" t="str">
        <f t="shared" si="12"/>
        <v/>
      </c>
      <c r="AC72" s="60">
        <f t="shared" si="13"/>
        <v>94</v>
      </c>
      <c r="AD72" s="49">
        <f t="shared" si="14"/>
        <v>5</v>
      </c>
      <c r="AE72" s="60">
        <f t="shared" si="15"/>
        <v>94005</v>
      </c>
    </row>
    <row r="73" spans="1:31">
      <c r="A73" s="81" t="str">
        <f t="shared" si="9"/>
        <v>6007Tblack/silver</v>
      </c>
      <c r="B73" s="81" t="str">
        <f t="shared" si="10"/>
        <v>94-005-10</v>
      </c>
      <c r="C73" s="103" t="s">
        <v>966</v>
      </c>
      <c r="D73" s="103" t="s">
        <v>1055</v>
      </c>
      <c r="E73" s="103" t="s">
        <v>986</v>
      </c>
      <c r="F73" s="104" t="s">
        <v>632</v>
      </c>
      <c r="G73" s="104" t="s">
        <v>857</v>
      </c>
      <c r="H73" s="103" t="s">
        <v>308</v>
      </c>
      <c r="I73" s="103" t="s">
        <v>875</v>
      </c>
      <c r="J73" s="103" t="s">
        <v>783</v>
      </c>
      <c r="K73" s="103" t="s">
        <v>382</v>
      </c>
      <c r="L73" s="103" t="s">
        <v>1076</v>
      </c>
      <c r="M73" s="103" t="s">
        <v>388</v>
      </c>
      <c r="N73" s="103" t="s">
        <v>43</v>
      </c>
      <c r="O73" s="103" t="s">
        <v>541</v>
      </c>
      <c r="P73" s="103" t="s">
        <v>1077</v>
      </c>
      <c r="Q73" s="103" t="s">
        <v>1102</v>
      </c>
      <c r="R73" s="103" t="s">
        <v>53</v>
      </c>
      <c r="V73" s="81" t="str">
        <f t="shared" si="11"/>
        <v>6007Tчерный / серый</v>
      </c>
      <c r="W73" s="81" t="str">
        <f t="shared" si="8"/>
        <v>6007T</v>
      </c>
      <c r="X73" s="81" t="str">
        <f t="shared" si="12"/>
        <v/>
      </c>
      <c r="AC73" s="60">
        <f t="shared" si="13"/>
        <v>94</v>
      </c>
      <c r="AD73" s="49">
        <f t="shared" si="14"/>
        <v>5</v>
      </c>
      <c r="AE73" s="60">
        <f t="shared" si="15"/>
        <v>94005</v>
      </c>
    </row>
    <row r="74" spans="1:31">
      <c r="A74" s="81" t="str">
        <f t="shared" si="9"/>
        <v>6007Tblack/purple</v>
      </c>
      <c r="B74" s="81" t="str">
        <f t="shared" si="10"/>
        <v>94-005-09</v>
      </c>
      <c r="C74" s="103" t="s">
        <v>967</v>
      </c>
      <c r="D74" s="103" t="s">
        <v>1056</v>
      </c>
      <c r="E74" s="103" t="s">
        <v>986</v>
      </c>
      <c r="F74" s="104" t="s">
        <v>632</v>
      </c>
      <c r="G74" s="104" t="s">
        <v>857</v>
      </c>
      <c r="H74" s="103" t="s">
        <v>595</v>
      </c>
      <c r="I74" s="103" t="s">
        <v>875</v>
      </c>
      <c r="J74" s="103" t="s">
        <v>783</v>
      </c>
      <c r="K74" s="103" t="s">
        <v>382</v>
      </c>
      <c r="L74" s="103" t="s">
        <v>1076</v>
      </c>
      <c r="M74" s="103" t="s">
        <v>388</v>
      </c>
      <c r="N74" s="103" t="s">
        <v>43</v>
      </c>
      <c r="O74" s="103" t="s">
        <v>541</v>
      </c>
      <c r="P74" s="103" t="s">
        <v>1077</v>
      </c>
      <c r="Q74" s="103" t="s">
        <v>1112</v>
      </c>
      <c r="R74" s="103" t="s">
        <v>53</v>
      </c>
      <c r="V74" s="81" t="str">
        <f t="shared" si="11"/>
        <v>6007Tчерный / фиолетовый</v>
      </c>
      <c r="W74" s="81" t="str">
        <f t="shared" si="8"/>
        <v>6007T</v>
      </c>
      <c r="X74" s="81" t="str">
        <f t="shared" si="12"/>
        <v/>
      </c>
      <c r="AC74" s="60">
        <f t="shared" si="13"/>
        <v>94</v>
      </c>
      <c r="AD74" s="49">
        <f t="shared" si="14"/>
        <v>5</v>
      </c>
      <c r="AE74" s="60">
        <f t="shared" si="15"/>
        <v>94005</v>
      </c>
    </row>
    <row r="75" spans="1:31">
      <c r="A75" s="81" t="str">
        <f t="shared" si="9"/>
        <v>6007red</v>
      </c>
      <c r="B75" s="81" t="str">
        <f t="shared" si="10"/>
        <v>94-004-18</v>
      </c>
      <c r="C75" s="103" t="s">
        <v>968</v>
      </c>
      <c r="D75" s="103" t="s">
        <v>1057</v>
      </c>
      <c r="E75" s="103" t="s">
        <v>986</v>
      </c>
      <c r="F75" s="104" t="s">
        <v>632</v>
      </c>
      <c r="G75" s="104" t="s">
        <v>856</v>
      </c>
      <c r="H75" s="103" t="s">
        <v>78</v>
      </c>
      <c r="I75" s="103" t="s">
        <v>875</v>
      </c>
      <c r="J75" s="103" t="s">
        <v>783</v>
      </c>
      <c r="K75" s="103" t="s">
        <v>382</v>
      </c>
      <c r="L75" s="103" t="s">
        <v>1076</v>
      </c>
      <c r="M75" s="103" t="s">
        <v>388</v>
      </c>
      <c r="N75" s="103" t="s">
        <v>43</v>
      </c>
      <c r="O75" s="103" t="s">
        <v>541</v>
      </c>
      <c r="P75" s="103" t="s">
        <v>1077</v>
      </c>
      <c r="Q75" s="103" t="s">
        <v>1078</v>
      </c>
      <c r="R75" s="103" t="s">
        <v>78</v>
      </c>
      <c r="V75" s="81" t="str">
        <f t="shared" si="11"/>
        <v>6007красный</v>
      </c>
      <c r="W75" s="81" t="str">
        <f t="shared" si="8"/>
        <v>6007</v>
      </c>
      <c r="X75" s="81" t="str">
        <f t="shared" si="12"/>
        <v/>
      </c>
      <c r="AC75" s="60">
        <f t="shared" si="13"/>
        <v>94</v>
      </c>
      <c r="AD75" s="49">
        <f t="shared" si="14"/>
        <v>4</v>
      </c>
      <c r="AE75" s="60">
        <f t="shared" si="15"/>
        <v>94004</v>
      </c>
    </row>
    <row r="76" spans="1:31">
      <c r="A76" s="81" t="str">
        <f t="shared" si="9"/>
        <v>6007white</v>
      </c>
      <c r="B76" s="81" t="str">
        <f t="shared" si="10"/>
        <v>94-004-17</v>
      </c>
      <c r="C76" s="103" t="s">
        <v>969</v>
      </c>
      <c r="D76" s="103" t="s">
        <v>1058</v>
      </c>
      <c r="E76" s="103" t="s">
        <v>986</v>
      </c>
      <c r="F76" s="104" t="s">
        <v>632</v>
      </c>
      <c r="G76" s="104" t="s">
        <v>856</v>
      </c>
      <c r="H76" s="103" t="s">
        <v>57</v>
      </c>
      <c r="I76" s="103" t="s">
        <v>875</v>
      </c>
      <c r="J76" s="103" t="s">
        <v>783</v>
      </c>
      <c r="K76" s="103" t="s">
        <v>382</v>
      </c>
      <c r="L76" s="103" t="s">
        <v>1076</v>
      </c>
      <c r="M76" s="103" t="s">
        <v>388</v>
      </c>
      <c r="N76" s="103" t="s">
        <v>43</v>
      </c>
      <c r="O76" s="103" t="s">
        <v>541</v>
      </c>
      <c r="P76" s="103" t="s">
        <v>1077</v>
      </c>
      <c r="Q76" s="103" t="s">
        <v>1094</v>
      </c>
      <c r="R76" s="103" t="s">
        <v>57</v>
      </c>
      <c r="V76" s="81" t="str">
        <f t="shared" si="11"/>
        <v>6007белый</v>
      </c>
      <c r="W76" s="81" t="str">
        <f t="shared" si="8"/>
        <v>6007</v>
      </c>
      <c r="X76" s="81" t="str">
        <f t="shared" si="12"/>
        <v/>
      </c>
      <c r="AC76" s="60">
        <f t="shared" si="13"/>
        <v>94</v>
      </c>
      <c r="AD76" s="49">
        <f t="shared" si="14"/>
        <v>4</v>
      </c>
      <c r="AE76" s="60">
        <f t="shared" si="15"/>
        <v>94004</v>
      </c>
    </row>
    <row r="77" spans="1:31">
      <c r="A77" s="81" t="str">
        <f t="shared" si="9"/>
        <v>6007navy</v>
      </c>
      <c r="B77" s="81" t="str">
        <f t="shared" si="10"/>
        <v>94-004-16</v>
      </c>
      <c r="C77" s="103" t="s">
        <v>970</v>
      </c>
      <c r="D77" s="103" t="s">
        <v>1059</v>
      </c>
      <c r="E77" s="103" t="s">
        <v>986</v>
      </c>
      <c r="F77" s="104" t="s">
        <v>632</v>
      </c>
      <c r="G77" s="104" t="s">
        <v>856</v>
      </c>
      <c r="H77" s="103" t="s">
        <v>55</v>
      </c>
      <c r="I77" s="103" t="s">
        <v>875</v>
      </c>
      <c r="J77" s="103" t="s">
        <v>783</v>
      </c>
      <c r="K77" s="103" t="s">
        <v>382</v>
      </c>
      <c r="L77" s="103" t="s">
        <v>1076</v>
      </c>
      <c r="M77" s="103" t="s">
        <v>388</v>
      </c>
      <c r="N77" s="103" t="s">
        <v>43</v>
      </c>
      <c r="O77" s="103" t="s">
        <v>541</v>
      </c>
      <c r="P77" s="103" t="s">
        <v>1077</v>
      </c>
      <c r="Q77" s="103" t="s">
        <v>1079</v>
      </c>
      <c r="R77" s="103" t="s">
        <v>71</v>
      </c>
      <c r="V77" s="81" t="str">
        <f t="shared" si="11"/>
        <v>6007темно-синий</v>
      </c>
      <c r="W77" s="81" t="str">
        <f t="shared" si="8"/>
        <v>6007</v>
      </c>
      <c r="X77" s="81" t="str">
        <f t="shared" si="12"/>
        <v/>
      </c>
      <c r="AC77" s="60">
        <f t="shared" si="13"/>
        <v>94</v>
      </c>
      <c r="AD77" s="49">
        <f t="shared" si="14"/>
        <v>4</v>
      </c>
      <c r="AE77" s="60">
        <f t="shared" si="15"/>
        <v>94004</v>
      </c>
    </row>
    <row r="78" spans="1:31">
      <c r="A78" s="81" t="str">
        <f t="shared" si="9"/>
        <v>6007black</v>
      </c>
      <c r="B78" s="81" t="str">
        <f t="shared" si="10"/>
        <v>94-004-09</v>
      </c>
      <c r="C78" s="103" t="s">
        <v>971</v>
      </c>
      <c r="D78" s="103" t="s">
        <v>1060</v>
      </c>
      <c r="E78" s="103" t="s">
        <v>986</v>
      </c>
      <c r="F78" s="104" t="s">
        <v>632</v>
      </c>
      <c r="G78" s="104" t="s">
        <v>856</v>
      </c>
      <c r="H78" s="103" t="s">
        <v>53</v>
      </c>
      <c r="I78" s="103" t="s">
        <v>875</v>
      </c>
      <c r="J78" s="103" t="s">
        <v>783</v>
      </c>
      <c r="K78" s="103" t="s">
        <v>382</v>
      </c>
      <c r="L78" s="103" t="s">
        <v>1076</v>
      </c>
      <c r="M78" s="103" t="s">
        <v>388</v>
      </c>
      <c r="N78" s="103" t="s">
        <v>43</v>
      </c>
      <c r="O78" s="103" t="s">
        <v>541</v>
      </c>
      <c r="P78" s="103" t="s">
        <v>1077</v>
      </c>
      <c r="Q78" s="103" t="s">
        <v>1080</v>
      </c>
      <c r="R78" s="103" t="s">
        <v>53</v>
      </c>
      <c r="V78" s="81" t="str">
        <f t="shared" si="11"/>
        <v>6007черный</v>
      </c>
      <c r="W78" s="81" t="str">
        <f t="shared" si="8"/>
        <v>6007</v>
      </c>
      <c r="X78" s="81" t="str">
        <f t="shared" si="12"/>
        <v/>
      </c>
      <c r="AC78" s="60">
        <f t="shared" si="13"/>
        <v>94</v>
      </c>
      <c r="AD78" s="49">
        <f t="shared" si="14"/>
        <v>4</v>
      </c>
      <c r="AE78" s="60">
        <f t="shared" si="15"/>
        <v>94004</v>
      </c>
    </row>
    <row r="79" spans="1:31">
      <c r="A79" s="81" t="str">
        <f t="shared" si="9"/>
        <v>6007grey</v>
      </c>
      <c r="B79" s="81" t="str">
        <f t="shared" si="10"/>
        <v>94-004-08</v>
      </c>
      <c r="C79" s="103" t="s">
        <v>972</v>
      </c>
      <c r="D79" s="103" t="s">
        <v>1061</v>
      </c>
      <c r="E79" s="103" t="s">
        <v>986</v>
      </c>
      <c r="F79" s="104" t="s">
        <v>632</v>
      </c>
      <c r="G79" s="104" t="s">
        <v>856</v>
      </c>
      <c r="H79" s="103" t="s">
        <v>83</v>
      </c>
      <c r="I79" s="103" t="s">
        <v>875</v>
      </c>
      <c r="J79" s="103" t="s">
        <v>783</v>
      </c>
      <c r="K79" s="103" t="s">
        <v>382</v>
      </c>
      <c r="L79" s="103" t="s">
        <v>1076</v>
      </c>
      <c r="M79" s="103" t="s">
        <v>388</v>
      </c>
      <c r="N79" s="103" t="s">
        <v>43</v>
      </c>
      <c r="O79" s="103" t="s">
        <v>541</v>
      </c>
      <c r="P79" s="103" t="s">
        <v>1077</v>
      </c>
      <c r="Q79" s="103" t="s">
        <v>1113</v>
      </c>
      <c r="R79" s="103" t="s">
        <v>83</v>
      </c>
      <c r="V79" s="81" t="str">
        <f t="shared" si="11"/>
        <v>6007серый</v>
      </c>
      <c r="W79" s="81" t="str">
        <f t="shared" si="8"/>
        <v>6007</v>
      </c>
      <c r="X79" s="81" t="str">
        <f t="shared" si="12"/>
        <v/>
      </c>
      <c r="AC79" s="60">
        <f t="shared" si="13"/>
        <v>94</v>
      </c>
      <c r="AD79" s="49">
        <f t="shared" si="14"/>
        <v>4</v>
      </c>
      <c r="AE79" s="60">
        <f t="shared" si="15"/>
        <v>94004</v>
      </c>
    </row>
    <row r="80" spans="1:31">
      <c r="A80" s="81" t="str">
        <f t="shared" si="9"/>
        <v>6007dark grey</v>
      </c>
      <c r="B80" s="81" t="str">
        <f t="shared" si="10"/>
        <v>94-004-05</v>
      </c>
      <c r="C80" s="103" t="s">
        <v>973</v>
      </c>
      <c r="D80" s="103" t="s">
        <v>1062</v>
      </c>
      <c r="E80" s="103" t="s">
        <v>986</v>
      </c>
      <c r="F80" s="104" t="s">
        <v>632</v>
      </c>
      <c r="G80" s="104" t="s">
        <v>856</v>
      </c>
      <c r="H80" s="103" t="s">
        <v>277</v>
      </c>
      <c r="I80" s="103" t="s">
        <v>875</v>
      </c>
      <c r="J80" s="103" t="s">
        <v>783</v>
      </c>
      <c r="K80" s="103" t="s">
        <v>382</v>
      </c>
      <c r="L80" s="103" t="s">
        <v>1076</v>
      </c>
      <c r="M80" s="103" t="s">
        <v>388</v>
      </c>
      <c r="N80" s="103" t="s">
        <v>43</v>
      </c>
      <c r="O80" s="103" t="s">
        <v>541</v>
      </c>
      <c r="P80" s="103" t="s">
        <v>1077</v>
      </c>
      <c r="Q80" s="103" t="s">
        <v>1082</v>
      </c>
      <c r="R80" s="103" t="s">
        <v>83</v>
      </c>
      <c r="V80" s="81" t="str">
        <f t="shared" si="11"/>
        <v>6007темно-серый</v>
      </c>
      <c r="W80" s="81" t="str">
        <f t="shared" si="8"/>
        <v>6007</v>
      </c>
      <c r="X80" s="81" t="str">
        <f t="shared" si="12"/>
        <v/>
      </c>
      <c r="AC80" s="60">
        <f t="shared" si="13"/>
        <v>94</v>
      </c>
      <c r="AD80" s="49">
        <f t="shared" si="14"/>
        <v>4</v>
      </c>
      <c r="AE80" s="60">
        <f t="shared" si="15"/>
        <v>94004</v>
      </c>
    </row>
    <row r="81" spans="1:31">
      <c r="A81" s="81" t="str">
        <f t="shared" si="9"/>
        <v>6005FFred</v>
      </c>
      <c r="B81" s="81" t="str">
        <f t="shared" si="10"/>
        <v>94-003-18</v>
      </c>
      <c r="C81" s="103" t="s">
        <v>974</v>
      </c>
      <c r="D81" s="103" t="s">
        <v>1063</v>
      </c>
      <c r="E81" s="103" t="s">
        <v>986</v>
      </c>
      <c r="F81" s="104" t="s">
        <v>632</v>
      </c>
      <c r="G81" s="104" t="s">
        <v>855</v>
      </c>
      <c r="H81" s="103" t="s">
        <v>78</v>
      </c>
      <c r="I81" s="103" t="s">
        <v>1074</v>
      </c>
      <c r="J81" s="103" t="s">
        <v>783</v>
      </c>
      <c r="K81" s="103" t="s">
        <v>382</v>
      </c>
      <c r="L81" s="103" t="s">
        <v>1076</v>
      </c>
      <c r="M81" s="103" t="s">
        <v>388</v>
      </c>
      <c r="N81" s="103" t="s">
        <v>43</v>
      </c>
      <c r="O81" s="103" t="s">
        <v>541</v>
      </c>
      <c r="P81" s="103" t="s">
        <v>1077</v>
      </c>
      <c r="Q81" s="103" t="s">
        <v>1078</v>
      </c>
      <c r="R81" s="103" t="s">
        <v>78</v>
      </c>
      <c r="V81" s="81" t="str">
        <f t="shared" si="11"/>
        <v>6005FFкрасный</v>
      </c>
      <c r="W81" s="81" t="str">
        <f t="shared" si="8"/>
        <v>6005FF</v>
      </c>
      <c r="X81" s="81" t="str">
        <f t="shared" si="12"/>
        <v/>
      </c>
      <c r="AC81" s="60">
        <f t="shared" si="13"/>
        <v>94</v>
      </c>
      <c r="AD81" s="49">
        <f t="shared" si="14"/>
        <v>3</v>
      </c>
      <c r="AE81" s="60">
        <f t="shared" si="15"/>
        <v>94003</v>
      </c>
    </row>
    <row r="82" spans="1:31">
      <c r="A82" s="81" t="str">
        <f t="shared" si="9"/>
        <v>6005FFnavy</v>
      </c>
      <c r="B82" s="81" t="str">
        <f t="shared" si="10"/>
        <v>94-003-16</v>
      </c>
      <c r="C82" s="103" t="s">
        <v>975</v>
      </c>
      <c r="D82" s="103" t="s">
        <v>1064</v>
      </c>
      <c r="E82" s="103" t="s">
        <v>986</v>
      </c>
      <c r="F82" s="104" t="s">
        <v>632</v>
      </c>
      <c r="G82" s="104" t="s">
        <v>855</v>
      </c>
      <c r="H82" s="103" t="s">
        <v>55</v>
      </c>
      <c r="I82" s="103" t="s">
        <v>1074</v>
      </c>
      <c r="J82" s="103" t="s">
        <v>783</v>
      </c>
      <c r="K82" s="103" t="s">
        <v>382</v>
      </c>
      <c r="L82" s="103" t="s">
        <v>1076</v>
      </c>
      <c r="M82" s="103" t="s">
        <v>388</v>
      </c>
      <c r="N82" s="103" t="s">
        <v>43</v>
      </c>
      <c r="O82" s="103" t="s">
        <v>541</v>
      </c>
      <c r="P82" s="103" t="s">
        <v>1077</v>
      </c>
      <c r="Q82" s="103" t="s">
        <v>1079</v>
      </c>
      <c r="R82" s="103" t="s">
        <v>71</v>
      </c>
      <c r="V82" s="81" t="str">
        <f t="shared" si="11"/>
        <v>6005FFтемно-синий</v>
      </c>
      <c r="W82" s="81" t="str">
        <f t="shared" si="8"/>
        <v>6005FF</v>
      </c>
      <c r="X82" s="81" t="str">
        <f t="shared" si="12"/>
        <v/>
      </c>
      <c r="AC82" s="60">
        <f t="shared" si="13"/>
        <v>94</v>
      </c>
      <c r="AD82" s="49">
        <f t="shared" si="14"/>
        <v>3</v>
      </c>
      <c r="AE82" s="60">
        <f t="shared" si="15"/>
        <v>94003</v>
      </c>
    </row>
    <row r="83" spans="1:31">
      <c r="A83" s="81" t="str">
        <f t="shared" si="9"/>
        <v>6005FFblack</v>
      </c>
      <c r="B83" s="81" t="str">
        <f t="shared" si="10"/>
        <v>94-003-09</v>
      </c>
      <c r="C83" s="103" t="s">
        <v>976</v>
      </c>
      <c r="D83" s="103" t="s">
        <v>1065</v>
      </c>
      <c r="E83" s="103" t="s">
        <v>986</v>
      </c>
      <c r="F83" s="104" t="s">
        <v>632</v>
      </c>
      <c r="G83" s="104" t="s">
        <v>855</v>
      </c>
      <c r="H83" s="103" t="s">
        <v>53</v>
      </c>
      <c r="I83" s="103" t="s">
        <v>1074</v>
      </c>
      <c r="J83" s="103" t="s">
        <v>783</v>
      </c>
      <c r="K83" s="103" t="s">
        <v>382</v>
      </c>
      <c r="L83" s="103" t="s">
        <v>1076</v>
      </c>
      <c r="M83" s="103" t="s">
        <v>388</v>
      </c>
      <c r="N83" s="103" t="s">
        <v>43</v>
      </c>
      <c r="O83" s="103" t="s">
        <v>541</v>
      </c>
      <c r="P83" s="103" t="s">
        <v>1077</v>
      </c>
      <c r="Q83" s="103" t="s">
        <v>1080</v>
      </c>
      <c r="R83" s="103" t="s">
        <v>53</v>
      </c>
      <c r="V83" s="81" t="str">
        <f t="shared" si="11"/>
        <v>6005FFчерный</v>
      </c>
      <c r="W83" s="81" t="str">
        <f t="shared" si="8"/>
        <v>6005FF</v>
      </c>
      <c r="X83" s="81" t="str">
        <f t="shared" si="12"/>
        <v/>
      </c>
      <c r="AC83" s="60">
        <f t="shared" si="13"/>
        <v>94</v>
      </c>
      <c r="AD83" s="49">
        <f t="shared" si="14"/>
        <v>3</v>
      </c>
      <c r="AE83" s="60">
        <f t="shared" si="15"/>
        <v>94003</v>
      </c>
    </row>
    <row r="84" spans="1:31">
      <c r="A84" s="81" t="str">
        <f t="shared" si="9"/>
        <v>6005FFroyal</v>
      </c>
      <c r="B84" s="81" t="str">
        <f t="shared" si="10"/>
        <v>94-003-06</v>
      </c>
      <c r="C84" s="103" t="s">
        <v>977</v>
      </c>
      <c r="D84" s="103" t="s">
        <v>1066</v>
      </c>
      <c r="E84" s="103" t="s">
        <v>986</v>
      </c>
      <c r="F84" s="104" t="s">
        <v>632</v>
      </c>
      <c r="G84" s="104" t="s">
        <v>855</v>
      </c>
      <c r="H84" s="103" t="s">
        <v>71</v>
      </c>
      <c r="I84" s="103" t="s">
        <v>1074</v>
      </c>
      <c r="J84" s="103" t="s">
        <v>783</v>
      </c>
      <c r="K84" s="103" t="s">
        <v>382</v>
      </c>
      <c r="L84" s="103" t="s">
        <v>1076</v>
      </c>
      <c r="M84" s="103" t="s">
        <v>388</v>
      </c>
      <c r="N84" s="103" t="s">
        <v>43</v>
      </c>
      <c r="O84" s="103" t="s">
        <v>541</v>
      </c>
      <c r="P84" s="103" t="s">
        <v>1077</v>
      </c>
      <c r="Q84" s="103" t="s">
        <v>1081</v>
      </c>
      <c r="R84" s="103" t="s">
        <v>71</v>
      </c>
      <c r="V84" s="81" t="str">
        <f t="shared" si="11"/>
        <v>6005FFсиний</v>
      </c>
      <c r="W84" s="81" t="str">
        <f t="shared" si="8"/>
        <v>6005FF</v>
      </c>
      <c r="X84" s="81" t="str">
        <f t="shared" si="12"/>
        <v/>
      </c>
      <c r="AC84" s="60">
        <f t="shared" si="13"/>
        <v>94</v>
      </c>
      <c r="AD84" s="49">
        <f t="shared" si="14"/>
        <v>3</v>
      </c>
      <c r="AE84" s="60">
        <f t="shared" si="15"/>
        <v>94003</v>
      </c>
    </row>
    <row r="85" spans="1:31">
      <c r="A85" s="81" t="str">
        <f t="shared" si="9"/>
        <v>5089Mred</v>
      </c>
      <c r="B85" s="81" t="str">
        <f t="shared" si="10"/>
        <v>94-002-18</v>
      </c>
      <c r="C85" s="103" t="s">
        <v>978</v>
      </c>
      <c r="D85" s="103" t="s">
        <v>1067</v>
      </c>
      <c r="E85" s="103" t="s">
        <v>986</v>
      </c>
      <c r="F85" s="104" t="s">
        <v>632</v>
      </c>
      <c r="G85" s="104" t="s">
        <v>854</v>
      </c>
      <c r="H85" s="103" t="s">
        <v>78</v>
      </c>
      <c r="I85" s="103" t="s">
        <v>874</v>
      </c>
      <c r="J85" s="103" t="s">
        <v>783</v>
      </c>
      <c r="K85" s="103" t="s">
        <v>382</v>
      </c>
      <c r="L85" s="103" t="s">
        <v>1076</v>
      </c>
      <c r="M85" s="103" t="s">
        <v>388</v>
      </c>
      <c r="N85" s="103" t="s">
        <v>46</v>
      </c>
      <c r="O85" s="103" t="s">
        <v>541</v>
      </c>
      <c r="P85" s="103" t="s">
        <v>1077</v>
      </c>
      <c r="Q85" s="103" t="s">
        <v>1078</v>
      </c>
      <c r="R85" s="103" t="s">
        <v>78</v>
      </c>
      <c r="V85" s="81" t="str">
        <f t="shared" si="11"/>
        <v>5089Mкрасный</v>
      </c>
      <c r="W85" s="81" t="str">
        <f t="shared" si="8"/>
        <v>5089M</v>
      </c>
      <c r="X85" s="81" t="str">
        <f t="shared" si="12"/>
        <v/>
      </c>
      <c r="AC85" s="60">
        <f t="shared" si="13"/>
        <v>94</v>
      </c>
      <c r="AD85" s="49">
        <f t="shared" si="14"/>
        <v>2</v>
      </c>
      <c r="AE85" s="60">
        <f t="shared" si="15"/>
        <v>94002</v>
      </c>
    </row>
    <row r="86" spans="1:31">
      <c r="A86" s="81" t="str">
        <f t="shared" si="9"/>
        <v>5089Mwhite</v>
      </c>
      <c r="B86" s="81" t="str">
        <f t="shared" si="10"/>
        <v>94-002-17</v>
      </c>
      <c r="C86" s="103" t="s">
        <v>979</v>
      </c>
      <c r="D86" s="103" t="s">
        <v>1068</v>
      </c>
      <c r="E86" s="103" t="s">
        <v>986</v>
      </c>
      <c r="F86" s="104" t="s">
        <v>632</v>
      </c>
      <c r="G86" s="104" t="s">
        <v>854</v>
      </c>
      <c r="H86" s="103" t="s">
        <v>57</v>
      </c>
      <c r="I86" s="103" t="s">
        <v>874</v>
      </c>
      <c r="J86" s="103" t="s">
        <v>783</v>
      </c>
      <c r="K86" s="103" t="s">
        <v>382</v>
      </c>
      <c r="L86" s="103" t="s">
        <v>1076</v>
      </c>
      <c r="M86" s="103" t="s">
        <v>388</v>
      </c>
      <c r="N86" s="103" t="s">
        <v>46</v>
      </c>
      <c r="O86" s="103" t="s">
        <v>541</v>
      </c>
      <c r="P86" s="103" t="s">
        <v>1077</v>
      </c>
      <c r="Q86" s="103" t="s">
        <v>1094</v>
      </c>
      <c r="R86" s="103" t="s">
        <v>57</v>
      </c>
      <c r="V86" s="81" t="str">
        <f t="shared" si="11"/>
        <v>5089Mбелый</v>
      </c>
      <c r="W86" s="81" t="str">
        <f t="shared" si="8"/>
        <v>5089M</v>
      </c>
      <c r="X86" s="81" t="str">
        <f t="shared" si="12"/>
        <v/>
      </c>
      <c r="AC86" s="60">
        <f t="shared" si="13"/>
        <v>94</v>
      </c>
      <c r="AD86" s="49">
        <f t="shared" si="14"/>
        <v>2</v>
      </c>
      <c r="AE86" s="60">
        <f t="shared" si="15"/>
        <v>94002</v>
      </c>
    </row>
    <row r="87" spans="1:31">
      <c r="A87" s="81" t="str">
        <f t="shared" si="9"/>
        <v>5089Mnavy</v>
      </c>
      <c r="B87" s="81" t="str">
        <f t="shared" si="10"/>
        <v>94-002-16</v>
      </c>
      <c r="C87" s="103" t="s">
        <v>980</v>
      </c>
      <c r="D87" s="103" t="s">
        <v>1069</v>
      </c>
      <c r="E87" s="103" t="s">
        <v>986</v>
      </c>
      <c r="F87" s="104" t="s">
        <v>632</v>
      </c>
      <c r="G87" s="104" t="s">
        <v>854</v>
      </c>
      <c r="H87" s="103" t="s">
        <v>55</v>
      </c>
      <c r="I87" s="103" t="s">
        <v>874</v>
      </c>
      <c r="J87" s="103" t="s">
        <v>783</v>
      </c>
      <c r="K87" s="103" t="s">
        <v>382</v>
      </c>
      <c r="L87" s="103" t="s">
        <v>1076</v>
      </c>
      <c r="M87" s="103" t="s">
        <v>388</v>
      </c>
      <c r="N87" s="103" t="s">
        <v>46</v>
      </c>
      <c r="O87" s="103" t="s">
        <v>541</v>
      </c>
      <c r="P87" s="103" t="s">
        <v>1077</v>
      </c>
      <c r="Q87" s="103" t="s">
        <v>1079</v>
      </c>
      <c r="R87" s="103" t="s">
        <v>71</v>
      </c>
      <c r="V87" s="81" t="str">
        <f t="shared" si="11"/>
        <v>5089Mтемно-синий</v>
      </c>
      <c r="W87" s="81" t="str">
        <f t="shared" si="8"/>
        <v>5089M</v>
      </c>
      <c r="X87" s="81" t="str">
        <f t="shared" si="12"/>
        <v/>
      </c>
      <c r="AC87" s="60">
        <f t="shared" si="13"/>
        <v>94</v>
      </c>
      <c r="AD87" s="49">
        <f t="shared" si="14"/>
        <v>2</v>
      </c>
      <c r="AE87" s="60">
        <f t="shared" si="15"/>
        <v>94002</v>
      </c>
    </row>
    <row r="88" spans="1:31">
      <c r="A88" s="81" t="str">
        <f t="shared" si="9"/>
        <v>5089Mroyal</v>
      </c>
      <c r="B88" s="81" t="str">
        <f t="shared" si="10"/>
        <v>94-002-06</v>
      </c>
      <c r="C88" s="103" t="s">
        <v>981</v>
      </c>
      <c r="D88" s="103" t="s">
        <v>1070</v>
      </c>
      <c r="E88" s="103" t="s">
        <v>986</v>
      </c>
      <c r="F88" s="104" t="s">
        <v>632</v>
      </c>
      <c r="G88" s="104" t="s">
        <v>854</v>
      </c>
      <c r="H88" s="103" t="s">
        <v>71</v>
      </c>
      <c r="I88" s="103" t="s">
        <v>874</v>
      </c>
      <c r="J88" s="103" t="s">
        <v>783</v>
      </c>
      <c r="K88" s="103" t="s">
        <v>382</v>
      </c>
      <c r="L88" s="103" t="s">
        <v>1076</v>
      </c>
      <c r="M88" s="103" t="s">
        <v>388</v>
      </c>
      <c r="N88" s="103" t="s">
        <v>46</v>
      </c>
      <c r="O88" s="103" t="s">
        <v>541</v>
      </c>
      <c r="P88" s="103" t="s">
        <v>1077</v>
      </c>
      <c r="Q88" s="103" t="s">
        <v>1081</v>
      </c>
      <c r="R88" s="103" t="s">
        <v>71</v>
      </c>
      <c r="V88" s="81" t="str">
        <f t="shared" si="11"/>
        <v>5089Mсиний</v>
      </c>
      <c r="W88" s="81" t="str">
        <f t="shared" si="8"/>
        <v>5089M</v>
      </c>
      <c r="X88" s="81" t="str">
        <f t="shared" si="12"/>
        <v/>
      </c>
      <c r="AC88" s="60">
        <f t="shared" si="13"/>
        <v>94</v>
      </c>
      <c r="AD88" s="49">
        <f t="shared" si="14"/>
        <v>2</v>
      </c>
      <c r="AE88" s="60">
        <f t="shared" si="15"/>
        <v>94002</v>
      </c>
    </row>
    <row r="89" spans="1:31">
      <c r="A89" s="81" t="str">
        <f t="shared" si="9"/>
        <v>5089Mdark grey</v>
      </c>
      <c r="B89" s="81" t="str">
        <f t="shared" si="10"/>
        <v>94-002-05</v>
      </c>
      <c r="C89" s="103" t="s">
        <v>982</v>
      </c>
      <c r="D89" s="103" t="s">
        <v>1071</v>
      </c>
      <c r="E89" s="103" t="s">
        <v>986</v>
      </c>
      <c r="F89" s="104" t="s">
        <v>632</v>
      </c>
      <c r="G89" s="104" t="s">
        <v>854</v>
      </c>
      <c r="H89" s="103" t="s">
        <v>277</v>
      </c>
      <c r="I89" s="103" t="s">
        <v>874</v>
      </c>
      <c r="J89" s="103" t="s">
        <v>783</v>
      </c>
      <c r="K89" s="103" t="s">
        <v>382</v>
      </c>
      <c r="L89" s="103" t="s">
        <v>1076</v>
      </c>
      <c r="M89" s="103" t="s">
        <v>388</v>
      </c>
      <c r="N89" s="103" t="s">
        <v>46</v>
      </c>
      <c r="O89" s="103" t="s">
        <v>541</v>
      </c>
      <c r="P89" s="103" t="s">
        <v>1077</v>
      </c>
      <c r="Q89" s="103" t="s">
        <v>1082</v>
      </c>
      <c r="R89" s="103" t="s">
        <v>83</v>
      </c>
      <c r="V89" s="81" t="str">
        <f t="shared" si="11"/>
        <v>5089Mтемно-серый</v>
      </c>
      <c r="W89" s="81" t="str">
        <f t="shared" si="8"/>
        <v>5089M</v>
      </c>
      <c r="X89" s="81" t="str">
        <f t="shared" si="12"/>
        <v/>
      </c>
      <c r="AC89" s="60">
        <f t="shared" si="13"/>
        <v>94</v>
      </c>
      <c r="AD89" s="49">
        <f t="shared" si="14"/>
        <v>2</v>
      </c>
      <c r="AE89" s="60">
        <f t="shared" si="15"/>
        <v>94002</v>
      </c>
    </row>
    <row r="90" spans="1:31">
      <c r="A90" s="81" t="str">
        <f t="shared" si="9"/>
        <v>110Fdark grey</v>
      </c>
      <c r="B90" s="81" t="str">
        <f t="shared" si="10"/>
        <v>94-001-05</v>
      </c>
      <c r="C90" s="103" t="s">
        <v>983</v>
      </c>
      <c r="D90" s="103" t="s">
        <v>1072</v>
      </c>
      <c r="E90" s="103" t="s">
        <v>986</v>
      </c>
      <c r="F90" s="104" t="s">
        <v>632</v>
      </c>
      <c r="G90" s="104" t="s">
        <v>853</v>
      </c>
      <c r="H90" s="103" t="s">
        <v>277</v>
      </c>
      <c r="I90" s="103" t="s">
        <v>1075</v>
      </c>
      <c r="J90" s="103" t="s">
        <v>783</v>
      </c>
      <c r="K90" s="103" t="s">
        <v>382</v>
      </c>
      <c r="L90" s="103" t="s">
        <v>1076</v>
      </c>
      <c r="M90" s="103" t="s">
        <v>388</v>
      </c>
      <c r="N90" s="103" t="s">
        <v>46</v>
      </c>
      <c r="O90" s="103" t="s">
        <v>541</v>
      </c>
      <c r="P90" s="103" t="s">
        <v>1077</v>
      </c>
      <c r="Q90" s="103" t="s">
        <v>1082</v>
      </c>
      <c r="R90" s="103" t="s">
        <v>83</v>
      </c>
      <c r="V90" s="81" t="str">
        <f t="shared" si="11"/>
        <v>110Fтемно-серый</v>
      </c>
      <c r="W90" s="81" t="str">
        <f t="shared" si="8"/>
        <v>110F</v>
      </c>
      <c r="X90" s="81" t="str">
        <f t="shared" si="12"/>
        <v/>
      </c>
      <c r="AC90" s="60">
        <f t="shared" si="13"/>
        <v>94</v>
      </c>
      <c r="AD90" s="49">
        <f t="shared" si="14"/>
        <v>1</v>
      </c>
      <c r="AE90" s="60">
        <f t="shared" si="15"/>
        <v>94001</v>
      </c>
    </row>
    <row r="91" spans="1:31">
      <c r="A91" s="81" t="str">
        <f t="shared" si="9"/>
        <v>110Fheather grey</v>
      </c>
      <c r="B91" s="81" t="str">
        <f t="shared" si="10"/>
        <v>94-001-01</v>
      </c>
      <c r="C91" s="103" t="s">
        <v>984</v>
      </c>
      <c r="D91" s="103" t="s">
        <v>1073</v>
      </c>
      <c r="E91" s="103" t="s">
        <v>986</v>
      </c>
      <c r="F91" s="104" t="s">
        <v>632</v>
      </c>
      <c r="G91" s="104" t="s">
        <v>853</v>
      </c>
      <c r="H91" s="103" t="s">
        <v>231</v>
      </c>
      <c r="I91" s="103" t="s">
        <v>1075</v>
      </c>
      <c r="J91" s="103" t="s">
        <v>783</v>
      </c>
      <c r="K91" s="103" t="s">
        <v>382</v>
      </c>
      <c r="L91" s="103" t="s">
        <v>1076</v>
      </c>
      <c r="M91" s="103" t="s">
        <v>388</v>
      </c>
      <c r="N91" s="103" t="s">
        <v>46</v>
      </c>
      <c r="O91" s="103" t="s">
        <v>541</v>
      </c>
      <c r="P91" s="103" t="s">
        <v>1077</v>
      </c>
      <c r="Q91" s="103" t="s">
        <v>1083</v>
      </c>
      <c r="R91" s="103" t="s">
        <v>83</v>
      </c>
      <c r="V91" s="81" t="str">
        <f t="shared" si="11"/>
        <v>110Fсветло-серый</v>
      </c>
      <c r="W91" s="81" t="str">
        <f t="shared" si="8"/>
        <v>110F</v>
      </c>
      <c r="X91" s="81" t="str">
        <f t="shared" si="12"/>
        <v/>
      </c>
      <c r="AC91" s="60">
        <f t="shared" si="13"/>
        <v>94</v>
      </c>
      <c r="AD91" s="49">
        <f t="shared" si="14"/>
        <v>1</v>
      </c>
      <c r="AE91" s="60">
        <f t="shared" si="15"/>
        <v>94001</v>
      </c>
    </row>
    <row r="92" spans="1:31">
      <c r="A92" s="81" t="str">
        <f t="shared" si="9"/>
        <v>6245CM</v>
      </c>
      <c r="B92" s="81" t="str">
        <f t="shared" si="10"/>
        <v>94-019-</v>
      </c>
      <c r="C92" s="103" t="s">
        <v>1137</v>
      </c>
      <c r="G92" s="103" t="s">
        <v>1115</v>
      </c>
      <c r="V92" s="81" t="str">
        <f t="shared" si="11"/>
        <v>6245CM</v>
      </c>
      <c r="W92" s="81" t="str">
        <f t="shared" si="8"/>
        <v>6245CM</v>
      </c>
      <c r="X92" s="81" t="str">
        <f t="shared" si="12"/>
        <v/>
      </c>
      <c r="AC92" s="60">
        <f t="shared" si="13"/>
        <v>94</v>
      </c>
      <c r="AD92" s="49">
        <f t="shared" si="14"/>
        <v>19</v>
      </c>
      <c r="AE92" s="60">
        <f t="shared" si="15"/>
        <v>94019</v>
      </c>
    </row>
    <row r="93" spans="1:31">
      <c r="A93" s="81" t="str">
        <f t="shared" si="9"/>
        <v>6089CC</v>
      </c>
      <c r="B93" s="81" t="str">
        <f t="shared" si="10"/>
        <v>94-020-</v>
      </c>
      <c r="C93" s="103" t="s">
        <v>1138</v>
      </c>
      <c r="G93" s="103" t="s">
        <v>1116</v>
      </c>
      <c r="V93" s="81" t="str">
        <f t="shared" si="11"/>
        <v>6089CC</v>
      </c>
      <c r="W93" s="81" t="str">
        <f t="shared" si="8"/>
        <v>6089CC</v>
      </c>
      <c r="X93" s="81" t="str">
        <f t="shared" si="12"/>
        <v/>
      </c>
      <c r="AC93" s="60">
        <f t="shared" si="13"/>
        <v>94</v>
      </c>
      <c r="AD93" s="49">
        <f t="shared" si="14"/>
        <v>20</v>
      </c>
      <c r="AE93" s="60">
        <f t="shared" si="15"/>
        <v>94020</v>
      </c>
    </row>
    <row r="94" spans="1:31">
      <c r="A94" s="81" t="str">
        <f t="shared" si="9"/>
        <v>6245PT</v>
      </c>
      <c r="B94" s="81" t="str">
        <f t="shared" si="10"/>
        <v>94-021-</v>
      </c>
      <c r="C94" s="103" t="s">
        <v>1139</v>
      </c>
      <c r="G94" s="103" t="s">
        <v>1117</v>
      </c>
      <c r="V94" s="81" t="str">
        <f t="shared" si="11"/>
        <v>6245PT</v>
      </c>
      <c r="W94" s="81" t="str">
        <f t="shared" si="8"/>
        <v>6245PT</v>
      </c>
      <c r="X94" s="81" t="str">
        <f t="shared" si="12"/>
        <v/>
      </c>
      <c r="AC94" s="60">
        <f t="shared" si="13"/>
        <v>94</v>
      </c>
      <c r="AD94" s="49">
        <f t="shared" si="14"/>
        <v>21</v>
      </c>
      <c r="AE94" s="60">
        <f t="shared" si="15"/>
        <v>94021</v>
      </c>
    </row>
    <row r="95" spans="1:31">
      <c r="A95" s="81" t="str">
        <f t="shared" si="9"/>
        <v>110C</v>
      </c>
      <c r="B95" s="81" t="str">
        <f t="shared" si="10"/>
        <v>94-022-</v>
      </c>
      <c r="C95" s="103" t="s">
        <v>1140</v>
      </c>
      <c r="G95" s="103" t="s">
        <v>1118</v>
      </c>
      <c r="V95" s="81" t="str">
        <f t="shared" si="11"/>
        <v>110C</v>
      </c>
      <c r="W95" s="81" t="str">
        <f t="shared" si="8"/>
        <v>110C</v>
      </c>
      <c r="X95" s="81" t="str">
        <f t="shared" si="12"/>
        <v/>
      </c>
      <c r="AC95" s="60">
        <f t="shared" si="13"/>
        <v>94</v>
      </c>
      <c r="AD95" s="49">
        <f t="shared" si="14"/>
        <v>22</v>
      </c>
      <c r="AE95" s="60">
        <f t="shared" si="15"/>
        <v>94022</v>
      </c>
    </row>
    <row r="96" spans="1:31">
      <c r="A96" s="81" t="str">
        <f t="shared" si="9"/>
        <v>6789M</v>
      </c>
      <c r="B96" s="81" t="str">
        <f t="shared" si="10"/>
        <v>94-023-</v>
      </c>
      <c r="C96" s="103" t="s">
        <v>1141</v>
      </c>
      <c r="G96" s="103" t="s">
        <v>1119</v>
      </c>
      <c r="V96" s="81" t="str">
        <f t="shared" si="11"/>
        <v>6789M</v>
      </c>
      <c r="W96" s="81" t="str">
        <f t="shared" si="8"/>
        <v>6789M</v>
      </c>
      <c r="X96" s="81" t="str">
        <f t="shared" si="12"/>
        <v/>
      </c>
      <c r="AC96" s="60">
        <f t="shared" si="13"/>
        <v>94</v>
      </c>
      <c r="AD96" s="49">
        <f t="shared" si="14"/>
        <v>23</v>
      </c>
      <c r="AE96" s="60">
        <f t="shared" si="15"/>
        <v>94023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71</vt:i4>
      </vt:variant>
    </vt:vector>
  </HeadingPairs>
  <TitlesOfParts>
    <vt:vector size="79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2022-03-21T15:08:24Z</dcterms:modified>
</cp:coreProperties>
</file>