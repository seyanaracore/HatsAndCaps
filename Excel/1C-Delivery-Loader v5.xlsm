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"/>
    </mc:Choice>
  </mc:AlternateContent>
  <xr:revisionPtr revIDLastSave="0" documentId="13_ncr:1_{B87314A8-A93C-43E9-B804-92CB1AEAEBAC}" xr6:coauthVersionLast="47" xr6:coauthVersionMax="47" xr10:uidLastSave="{00000000-0000-0000-0000-000000000000}"/>
  <bookViews>
    <workbookView xWindow="-120" yWindow="-120" windowWidth="29040" windowHeight="15840" tabRatio="812" activeTab="18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Форма!$G$1:$AW$456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4" i="43" l="1"/>
  <c r="A23" i="43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2" i="39" l="1"/>
  <c r="AE2" i="39" s="1"/>
  <c r="A25" i="43"/>
  <c r="A2" i="39"/>
  <c r="P2" i="39" s="1"/>
  <c r="T2" i="39"/>
  <c r="A17" i="43"/>
  <c r="Q2" i="39" l="1"/>
  <c r="B2" i="39"/>
  <c r="AC2" i="39"/>
  <c r="J2" i="39"/>
  <c r="N2" i="39"/>
  <c r="K2" i="39"/>
  <c r="I2" i="39"/>
  <c r="Z2" i="39" s="1"/>
  <c r="H2" i="39"/>
  <c r="G2" i="39"/>
  <c r="R2" i="39" s="1"/>
  <c r="F2" i="39"/>
  <c r="AM2" i="39" s="1"/>
  <c r="E2" i="39"/>
  <c r="O2" i="39"/>
  <c r="M2" i="39"/>
  <c r="AS2" i="39" s="1"/>
  <c r="D2" i="39"/>
  <c r="AJ2" i="39" s="1"/>
  <c r="L2" i="39"/>
  <c r="AQ2" i="39" s="1"/>
  <c r="C2" i="39"/>
  <c r="AB2" i="39" s="1"/>
  <c r="AN2" i="39"/>
  <c r="AL2" i="39"/>
  <c r="AK2" i="39"/>
  <c r="AU2" i="39"/>
  <c r="AF2" i="39"/>
  <c r="AR2" i="39" l="1"/>
  <c r="AH2" i="39"/>
  <c r="AD2" i="39"/>
  <c r="B2" i="43"/>
  <c r="X2" i="39"/>
  <c r="AO2" i="39"/>
  <c r="Y2" i="39"/>
  <c r="AP2" i="39"/>
  <c r="W2" i="39"/>
  <c r="AV2" i="39" s="1"/>
  <c r="V2" i="39"/>
  <c r="AI2" i="39"/>
  <c r="AW2" i="39" l="1"/>
  <c r="AT2" i="39"/>
  <c r="AB2" i="32" l="1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<sst xmlns="http://schemas.openxmlformats.org/spreadsheetml/2006/main" count="33155" uniqueCount="29587">
  <si>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</si>
  <si>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</si>
  <si>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</si>
  <si>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</si>
  <si>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</si>
  <si>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</si>
  <si>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</si>
  <si>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</si>
  <si>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</si>
  <si>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</si>
  <si>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</si>
  <si>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</si>
  <si>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</si>
  <si>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</si>
  <si>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</si>
  <si>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</si>
  <si>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</si>
  <si>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</si>
  <si>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</si>
  <si>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</si>
  <si>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</si>
  <si>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</si>
  <si>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</si>
  <si>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</si>
  <si>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</si>
  <si>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</si>
  <si>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</si>
  <si>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</si>
  <si>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</si>
  <si>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</si>
  <si>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</si>
  <si>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</si>
  <si>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</si>
  <si>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</si>
  <si>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</si>
  <si>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</si>
  <si>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</si>
  <si>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</si>
  <si>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</si>
  <si>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</si>
  <si>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</si>
  <si>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</si>
  <si>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</si>
  <si>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</si>
  <si>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</si>
  <si>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</si>
  <si>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</si>
  <si>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</si>
  <si>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</si>
  <si>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</si>
  <si>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</si>
  <si>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</si>
  <si>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</si>
  <si>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</si>
  <si>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</si>
  <si>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</si>
  <si>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</si>
  <si>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</si>
  <si>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</si>
  <si>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</si>
  <si>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</si>
  <si>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</si>
  <si>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</si>
  <si>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</si>
  <si>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</si>
  <si>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</si>
  <si>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</si>
  <si>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</si>
  <si>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</si>
  <si>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</si>
  <si>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</si>
  <si>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</si>
  <si>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</si>
  <si>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</si>
  <si>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</si>
  <si>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</si>
  <si>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</si>
  <si>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</si>
  <si>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</si>
  <si>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</si>
  <si>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</si>
  <si>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</si>
  <si>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</si>
  <si>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</si>
  <si>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</si>
  <si>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</si>
  <si>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</si>
  <si>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</si>
  <si>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</si>
  <si>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</si>
  <si>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</si>
  <si>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</si>
  <si>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</si>
  <si>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</si>
  <si>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</si>
  <si>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</si>
  <si>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</si>
  <si>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</si>
  <si>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</si>
  <si>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</si>
  <si>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</si>
  <si>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</si>
  <si>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</si>
  <si>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</si>
  <si>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</si>
  <si>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</si>
  <si>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</si>
  <si>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</si>
  <si>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</si>
  <si>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</si>
  <si>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</si>
  <si>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</si>
  <si>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</si>
  <si>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</si>
  <si>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</si>
  <si>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</si>
  <si>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</si>
  <si>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</si>
  <si>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</si>
  <si>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</si>
  <si>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</si>
  <si>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</si>
  <si>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</si>
  <si>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</si>
  <si>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</si>
  <si>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</si>
  <si>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</si>
  <si>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</si>
  <si>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</si>
  <si>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</si>
  <si>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</si>
  <si>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</si>
  <si>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</si>
  <si>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</si>
  <si>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</si>
  <si>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</si>
  <si>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</si>
  <si>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</si>
  <si>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</si>
  <si>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</si>
  <si>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</si>
  <si>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</si>
  <si>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</si>
  <si>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</si>
  <si>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</si>
  <si>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</si>
  <si>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</si>
  <si>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</si>
  <si>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</si>
  <si>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</si>
  <si>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</si>
  <si>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</si>
  <si>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</si>
  <si>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</si>
  <si>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</si>
  <si>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</si>
  <si>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</si>
  <si>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</si>
  <si>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</si>
  <si>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</si>
  <si>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</si>
  <si>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</si>
  <si>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</si>
  <si>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</si>
  <si>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</si>
  <si>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</si>
  <si>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</si>
  <si>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</si>
  <si>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</si>
  <si>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</si>
  <si>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</si>
  <si>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</si>
  <si>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</si>
  <si>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</si>
  <si>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</si>
  <si>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</si>
  <si>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</si>
  <si>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</si>
  <si>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</si>
  <si>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</si>
  <si>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</si>
  <si>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</si>
  <si>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</si>
  <si>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</si>
  <si>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</si>
  <si>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</si>
  <si>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</si>
  <si>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</si>
  <si>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</si>
  <si>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</si>
  <si>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</si>
  <si>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</si>
  <si>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</si>
  <si>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</si>
  <si>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</si>
  <si>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</si>
  <si>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</si>
  <si>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</si>
  <si>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</si>
  <si>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</si>
  <si>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</si>
  <si>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</si>
  <si>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</si>
  <si>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</si>
  <si>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</si>
  <si>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</si>
  <si>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</si>
  <si>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</si>
  <si>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</si>
  <si>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</si>
  <si>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</si>
  <si>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</si>
  <si>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</si>
  <si>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</si>
  <si>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</si>
  <si>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</si>
  <si>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</si>
  <si>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</si>
  <si>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</si>
  <si>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</si>
  <si>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</si>
  <si>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</si>
  <si>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</si>
  <si>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</si>
  <si>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</si>
  <si>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</si>
  <si>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</si>
  <si>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</si>
  <si>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</si>
  <si>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</si>
  <si>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</si>
  <si>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</si>
  <si>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</si>
  <si>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</si>
  <si>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</si>
  <si>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</si>
  <si>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</si>
  <si>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</si>
  <si>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</si>
  <si>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</si>
  <si>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</si>
  <si>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</si>
  <si>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</si>
  <si>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</si>
  <si>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</si>
  <si>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</si>
  <si>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</si>
  <si>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</si>
  <si>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</si>
  <si>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</si>
  <si>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</si>
  <si>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</si>
  <si>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</si>
  <si>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</si>
  <si>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</si>
  <si>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</si>
  <si>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</si>
  <si>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</si>
  <si>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</si>
  <si>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</si>
  <si>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</si>
  <si>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</si>
  <si>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</si>
  <si>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</si>
  <si>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</si>
  <si>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</si>
  <si>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</si>
  <si>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</si>
  <si>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</si>
  <si>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</si>
  <si>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</si>
  <si>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</si>
  <si>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</si>
  <si>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</si>
  <si>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</si>
  <si>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</si>
  <si>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</si>
  <si>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</si>
  <si>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</si>
  <si>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</si>
  <si>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</si>
  <si>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</si>
  <si>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</si>
  <si>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</si>
  <si>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</si>
  <si>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</si>
  <si>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</si>
  <si>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</si>
  <si>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</si>
  <si>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</si>
  <si>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</si>
  <si>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</si>
  <si>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</si>
  <si>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</si>
  <si>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</si>
  <si>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</si>
  <si>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</si>
  <si>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</si>
  <si>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</si>
  <si>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</si>
  <si>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</si>
  <si>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</si>
  <si>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</si>
  <si>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</si>
  <si>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</si>
  <si>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</si>
  <si>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</si>
  <si>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</si>
  <si>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</si>
  <si>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</si>
  <si>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</si>
  <si>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</si>
  <si>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</si>
  <si>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</si>
  <si>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</si>
  <si>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</si>
  <si>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</si>
  <si>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</si>
  <si>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</si>
  <si>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</si>
  <si>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</si>
  <si>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</si>
  <si>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</si>
  <si>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</si>
  <si>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</si>
  <si>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</si>
  <si>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</si>
  <si>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</si>
  <si>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</si>
  <si>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</si>
  <si>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</si>
  <si>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</si>
  <si>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</si>
  <si>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</si>
  <si>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</si>
  <si>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</si>
  <si>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</si>
  <si>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</si>
  <si>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</si>
  <si>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</si>
  <si>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</si>
  <si>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</si>
  <si>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</si>
  <si>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</si>
  <si>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</si>
  <si>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</si>
  <si>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</si>
  <si>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</si>
  <si>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</si>
  <si>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</si>
  <si>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</si>
  <si>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</si>
  <si>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</si>
  <si>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</si>
  <si>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</si>
  <si>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</si>
  <si>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</si>
  <si>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</si>
  <si>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</si>
  <si>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</si>
  <si>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</si>
  <si>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</si>
  <si>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</si>
  <si>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</si>
  <si>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</si>
  <si>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</si>
  <si>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</si>
  <si>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</si>
  <si>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</si>
  <si>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</si>
  <si>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</si>
  <si>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</si>
  <si>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</si>
  <si>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</si>
  <si>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</si>
  <si>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</si>
  <si>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</si>
  <si>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</si>
  <si>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</si>
  <si>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</si>
  <si>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</si>
  <si>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</si>
  <si>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</si>
  <si>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</si>
  <si>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</si>
  <si>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</si>
  <si>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</si>
  <si>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</si>
  <si>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</si>
  <si>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</si>
  <si>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</si>
  <si>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</si>
  <si>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</si>
  <si>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</si>
  <si>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</si>
  <si>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</si>
  <si>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</si>
  <si>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</si>
  <si>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</si>
  <si>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</si>
  <si>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</si>
  <si>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</si>
  <si>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</si>
  <si>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</si>
  <si>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</si>
  <si>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</si>
  <si>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</si>
  <si>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</si>
  <si>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</si>
  <si>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</si>
  <si>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</si>
  <si>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</si>
  <si>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</si>
  <si>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</si>
  <si>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</si>
  <si>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</si>
  <si>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</si>
  <si>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</si>
  <si>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</si>
  <si>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</si>
  <si>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</si>
  <si>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</si>
  <si>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</si>
  <si>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</si>
  <si>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</si>
  <si>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</si>
  <si>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</si>
  <si>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</si>
  <si>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</si>
  <si>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</si>
  <si>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</si>
  <si>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</si>
  <si>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</si>
  <si>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</si>
  <si>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</si>
  <si>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</si>
  <si>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</si>
  <si>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</si>
  <si>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</si>
  <si>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</si>
  <si>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</si>
  <si>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</si>
  <si>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</si>
  <si>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</si>
  <si>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</si>
  <si>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</si>
  <si>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</si>
  <si>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</si>
  <si>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</si>
  <si>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</si>
  <si>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</si>
  <si>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</si>
  <si>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</si>
  <si>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</si>
  <si>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</si>
  <si>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</si>
  <si>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</si>
  <si>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</si>
  <si>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</si>
  <si>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</si>
  <si>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</si>
  <si>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</si>
  <si>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</si>
  <si>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</si>
  <si>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</si>
  <si>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</si>
  <si>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</si>
  <si>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</si>
  <si>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</si>
  <si>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</si>
  <si>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</si>
  <si>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</si>
  <si>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</si>
  <si>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</si>
  <si>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</si>
  <si>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</si>
  <si>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</si>
  <si>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</si>
  <si>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</si>
  <si>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</si>
  <si>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</si>
  <si>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</si>
  <si>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</si>
  <si>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</si>
  <si>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</si>
  <si>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</si>
  <si>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</si>
  <si>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</si>
  <si>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</si>
  <si>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</si>
  <si>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</si>
  <si>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</si>
  <si>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</si>
  <si>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</si>
  <si>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</si>
  <si>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</si>
  <si>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</si>
  <si>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</si>
  <si>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</si>
  <si>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</si>
  <si>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</si>
  <si>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</si>
  <si>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</si>
  <si>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</si>
  <si>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</si>
  <si>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</si>
  <si>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</si>
  <si>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</si>
  <si>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</si>
  <si>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</si>
  <si>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</si>
  <si>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</si>
  <si>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</si>
  <si>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</si>
  <si>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</si>
  <si>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</si>
  <si>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</si>
  <si>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</si>
  <si>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</si>
  <si>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</si>
  <si>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</si>
  <si>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</si>
  <si>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</si>
  <si>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</si>
  <si>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</si>
  <si>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</si>
  <si>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</si>
  <si>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</si>
  <si>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</si>
  <si>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</si>
  <si>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</si>
  <si>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</si>
  <si>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</si>
  <si>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</si>
  <si>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</si>
  <si>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</si>
  <si>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</si>
  <si>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</si>
  <si>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</si>
  <si>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</si>
  <si>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</si>
  <si>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</si>
  <si>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</si>
  <si>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</si>
  <si>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</si>
  <si>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</si>
  <si>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</si>
  <si>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</si>
  <si>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</si>
  <si>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</si>
  <si>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</si>
  <si>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</si>
  <si>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</si>
  <si>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</si>
  <si>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</si>
  <si>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</si>
  <si>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</si>
  <si>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</si>
  <si>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</si>
  <si>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</si>
  <si>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</si>
  <si>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</si>
  <si>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</si>
  <si>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</si>
  <si>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</si>
  <si>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</si>
  <si>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</si>
  <si>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</si>
  <si>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</si>
  <si>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</si>
  <si>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</si>
  <si>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</si>
  <si>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</si>
  <si>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</si>
  <si>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</si>
  <si>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</si>
  <si>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</si>
  <si>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</si>
  <si>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</si>
  <si>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</si>
  <si>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</si>
  <si>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</si>
  <si>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</si>
  <si>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</si>
  <si>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</si>
  <si>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</si>
  <si>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</si>
  <si>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</si>
  <si>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</si>
  <si>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</si>
  <si>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</si>
  <si>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</si>
  <si>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</si>
  <si>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</si>
  <si>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</si>
  <si>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</si>
  <si>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</si>
  <si>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</si>
  <si>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</si>
  <si>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</si>
  <si>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</si>
  <si>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</si>
  <si>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</si>
  <si>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</si>
  <si>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</si>
  <si>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</si>
  <si>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</si>
  <si>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</si>
  <si>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</si>
  <si>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</si>
  <si>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</si>
  <si>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</si>
  <si>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</si>
  <si>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</si>
  <si>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</si>
  <si>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</si>
  <si>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</si>
  <si>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</si>
  <si>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</si>
  <si>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</si>
  <si>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</si>
  <si>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</si>
  <si>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</si>
  <si>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</si>
  <si>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</si>
  <si>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</si>
  <si>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</si>
  <si>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</si>
  <si>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</si>
  <si>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</si>
  <si>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</si>
  <si>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</si>
  <si>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</si>
  <si>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</si>
  <si>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</si>
  <si>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</si>
  <si>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</si>
  <si>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</si>
  <si>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</si>
  <si>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</si>
  <si>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</si>
  <si>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</si>
  <si>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</si>
  <si>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</si>
  <si>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</si>
  <si>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</si>
  <si>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</si>
  <si>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</si>
  <si>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</si>
  <si>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</si>
  <si>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</si>
  <si>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</si>
  <si>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</si>
  <si>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</si>
  <si>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</si>
  <si>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</si>
  <si>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</si>
  <si>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</si>
  <si>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</si>
  <si>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</si>
  <si>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</si>
  <si>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</si>
  <si>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</si>
  <si>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</si>
  <si>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</si>
  <si>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</si>
  <si>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</si>
  <si>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</si>
  <si>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</si>
  <si>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</si>
  <si>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</si>
  <si>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</si>
  <si>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</si>
  <si>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</si>
  <si>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</si>
  <si>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</si>
  <si>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</si>
  <si>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</si>
  <si>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</si>
  <si>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</si>
  <si>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</si>
  <si>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</si>
  <si>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</si>
  <si>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</si>
  <si>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</si>
  <si>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</si>
  <si>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</si>
  <si>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</si>
  <si>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</si>
  <si>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</si>
  <si>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</si>
  <si>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</si>
  <si>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</si>
  <si>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</si>
  <si>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</si>
  <si>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</si>
  <si>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</si>
  <si>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</si>
  <si>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</si>
  <si>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</si>
  <si>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</si>
  <si>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</si>
  <si>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</si>
  <si>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</si>
  <si>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</si>
  <si>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</si>
  <si>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</si>
  <si>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</si>
  <si>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</si>
  <si>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</si>
  <si>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</si>
  <si>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</si>
  <si>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</si>
  <si>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</si>
  <si>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</si>
  <si>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</si>
  <si>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</si>
  <si>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</si>
  <si>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</si>
  <si>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</si>
  <si>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</si>
  <si>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</si>
  <si>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</si>
  <si>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</si>
  <si>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</si>
  <si>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</si>
  <si>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</si>
  <si>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</si>
  <si>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</si>
  <si>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</si>
  <si>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</si>
  <si>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</si>
  <si>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</si>
  <si>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</si>
  <si>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</si>
  <si>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</si>
  <si>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</si>
  <si>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</si>
  <si>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</si>
  <si>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</si>
  <si>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</si>
  <si>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</si>
  <si>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</si>
  <si>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</si>
  <si>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</si>
  <si>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</si>
  <si>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</si>
  <si>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</si>
  <si>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</si>
  <si>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</si>
  <si>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</si>
  <si>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</si>
  <si>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</si>
  <si>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</si>
  <si>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</si>
  <si>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</si>
  <si>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</si>
  <si>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</si>
  <si>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</si>
  <si>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</si>
  <si>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</si>
  <si>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</si>
  <si>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</si>
  <si>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</si>
  <si>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</si>
  <si>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</si>
  <si>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</si>
  <si>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</si>
  <si>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</si>
  <si>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</si>
  <si>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</si>
  <si>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</si>
  <si>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</si>
  <si>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</si>
  <si>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</si>
  <si>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</si>
  <si>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</si>
  <si>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</si>
  <si>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</si>
  <si>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</si>
  <si>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</si>
  <si>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</si>
  <si>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</si>
  <si>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</si>
  <si>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</si>
  <si>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</si>
  <si>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</si>
  <si>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</si>
  <si>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</si>
  <si>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</si>
  <si>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</si>
  <si>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</si>
  <si>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</si>
  <si>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</si>
  <si>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</si>
  <si>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</si>
  <si>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</si>
  <si>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</si>
  <si>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</si>
  <si>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</si>
  <si>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</si>
  <si>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</si>
  <si>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</si>
  <si>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</si>
  <si>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</si>
  <si>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</si>
  <si>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</si>
  <si>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</si>
  <si>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</si>
  <si>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</si>
  <si>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</si>
  <si>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</si>
  <si>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</si>
  <si>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</si>
  <si>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</si>
  <si>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</si>
  <si>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</si>
  <si>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</si>
  <si>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</si>
  <si>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</si>
  <si>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</si>
  <si>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</si>
  <si>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</si>
  <si>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</si>
  <si>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</si>
  <si>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</si>
  <si>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</si>
  <si>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</si>
  <si>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</si>
  <si>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</si>
  <si>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</si>
  <si>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</si>
  <si>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</si>
  <si>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</si>
  <si>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</si>
  <si>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</si>
  <si>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</si>
  <si>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</si>
  <si>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</si>
  <si>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</si>
  <si>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</si>
  <si>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</si>
  <si>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</si>
  <si>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</si>
  <si>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</si>
  <si>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</si>
  <si>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</si>
  <si>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</si>
  <si>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</si>
  <si>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</si>
  <si>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</si>
  <si>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</si>
  <si>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</si>
  <si>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</si>
  <si>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</si>
  <si>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</si>
  <si>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</si>
  <si>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</si>
  <si>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</si>
  <si>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</si>
  <si>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</si>
  <si>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</si>
  <si>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</si>
  <si>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</si>
  <si>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</si>
  <si>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</si>
  <si>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</si>
  <si>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</si>
  <si>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</si>
  <si>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</si>
  <si>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</si>
  <si>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</si>
  <si>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</si>
  <si>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</si>
  <si>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</si>
  <si>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</si>
  <si>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</si>
  <si>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</si>
  <si>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</si>
  <si>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</si>
  <si>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</si>
  <si>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</si>
  <si>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</si>
  <si>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</si>
  <si>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</si>
  <si>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</si>
  <si>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</si>
  <si>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</si>
  <si>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</si>
  <si>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</si>
  <si>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</si>
  <si>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</si>
  <si>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</si>
  <si>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</si>
  <si>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</si>
  <si>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</si>
  <si>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</si>
  <si>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</si>
  <si>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</si>
  <si>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</si>
  <si>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</si>
  <si>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</si>
  <si>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</si>
  <si>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</si>
  <si>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</si>
  <si>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</si>
  <si>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</si>
  <si>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</si>
  <si>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</si>
  <si>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</si>
  <si>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</si>
  <si>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</si>
  <si>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</si>
  <si>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</si>
  <si>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</si>
  <si>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</si>
  <si>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</si>
  <si>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</si>
  <si>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</si>
  <si>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</si>
  <si>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</si>
  <si>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</si>
  <si>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</si>
  <si>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</si>
  <si>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</si>
  <si>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</si>
  <si>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</si>
  <si>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</si>
  <si>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</si>
  <si>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</si>
  <si>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</si>
  <si>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</si>
  <si>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</si>
  <si>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</si>
  <si>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</si>
  <si>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</si>
  <si>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</si>
  <si>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</si>
  <si>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</si>
  <si>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</si>
  <si>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</si>
  <si>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</si>
  <si>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</si>
  <si>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</si>
  <si>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</si>
  <si>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</si>
  <si>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</si>
  <si>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</si>
  <si>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</si>
  <si>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</si>
  <si>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</si>
  <si>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</si>
  <si>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</si>
  <si>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</si>
  <si>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</si>
  <si>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</si>
  <si>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</si>
  <si>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</si>
  <si>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</si>
  <si>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</si>
  <si>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</si>
  <si>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</si>
  <si>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</si>
  <si>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</si>
  <si>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</si>
  <si>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</si>
  <si>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</si>
  <si>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</si>
  <si>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</si>
  <si>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</si>
  <si>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</si>
  <si>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</si>
  <si>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</si>
  <si>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</si>
  <si>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</si>
  <si>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</si>
  <si>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</si>
  <si>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</si>
  <si>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</si>
  <si>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</si>
  <si>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</si>
  <si>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</si>
  <si>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</si>
  <si>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</si>
  <si>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</si>
  <si>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</si>
  <si>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</si>
  <si>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</si>
  <si>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</si>
  <si>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</si>
  <si>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</si>
  <si>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</si>
  <si>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</si>
  <si>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</si>
  <si>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</si>
  <si>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</si>
  <si>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</si>
  <si>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</si>
  <si>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</si>
  <si>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</si>
  <si>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</si>
  <si>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</si>
  <si>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</si>
  <si>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</si>
  <si>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</si>
  <si>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</si>
  <si>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</si>
  <si>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</si>
  <si>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</si>
  <si>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</si>
  <si>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</si>
  <si>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</si>
  <si>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</si>
  <si>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</si>
  <si>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</si>
  <si>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</si>
  <si>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</si>
  <si>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</si>
  <si>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</si>
  <si>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</si>
  <si>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</si>
  <si>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</si>
  <si>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</si>
  <si>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</si>
  <si>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</si>
  <si>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</si>
  <si>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</si>
  <si>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</si>
  <si>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</si>
  <si>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</si>
  <si>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</si>
  <si>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</si>
  <si>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</si>
  <si>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</si>
  <si>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</si>
  <si>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</si>
  <si>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</si>
  <si>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</si>
  <si>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</si>
  <si>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</si>
  <si>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</si>
  <si>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</si>
  <si>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</si>
  <si>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</si>
  <si>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</si>
  <si>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</si>
  <si>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</si>
  <si>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</si>
  <si>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</si>
  <si>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</si>
  <si>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</si>
  <si>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</si>
  <si>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</si>
  <si>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</si>
  <si>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</si>
  <si>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</si>
  <si>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</si>
  <si>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</si>
  <si>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</si>
  <si>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</si>
  <si>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</si>
  <si>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</si>
  <si>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</si>
  <si>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</si>
  <si>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</si>
  <si>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</si>
  <si>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</si>
  <si>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</si>
  <si>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</si>
  <si>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</si>
  <si>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</si>
  <si>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</si>
  <si>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</si>
  <si>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</si>
  <si>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</si>
  <si>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</si>
  <si>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</si>
  <si>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</si>
  <si>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</si>
  <si>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</si>
  <si>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</si>
  <si>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</si>
  <si>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</si>
  <si>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</si>
  <si>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</si>
  <si>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</si>
  <si>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</si>
  <si>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</si>
  <si>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</si>
  <si>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</si>
  <si>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</si>
  <si>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</si>
  <si>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</si>
  <si>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</si>
  <si>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</si>
  <si>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</si>
  <si>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</si>
  <si>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</si>
  <si>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</si>
  <si>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</si>
  <si>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</si>
  <si>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</si>
  <si>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</si>
  <si>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</si>
  <si>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</si>
  <si>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</si>
  <si>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</si>
  <si>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</si>
  <si>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</si>
  <si>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</si>
  <si>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</si>
  <si>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</si>
  <si>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</si>
  <si>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</si>
  <si>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</si>
  <si>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</si>
  <si>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</si>
  <si>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</si>
  <si>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</si>
  <si>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</si>
  <si>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</si>
  <si>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</si>
  <si>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</si>
  <si>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</si>
  <si>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</si>
  <si>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</si>
  <si>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</si>
  <si>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</si>
  <si>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</si>
  <si>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</si>
  <si>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</si>
  <si>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</si>
  <si>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</si>
  <si>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</si>
  <si>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</si>
  <si>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</si>
  <si>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</si>
  <si>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</si>
  <si>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</si>
  <si>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</si>
  <si>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</si>
  <si>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</si>
  <si>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</si>
  <si>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</si>
  <si>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</si>
  <si>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</si>
  <si>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</si>
  <si>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</si>
  <si>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</si>
  <si>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</si>
  <si>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</si>
  <si>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</si>
  <si>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</si>
  <si>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</si>
  <si>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</si>
  <si>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</si>
  <si>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</si>
  <si>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</si>
  <si>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</si>
  <si>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</si>
  <si>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</si>
  <si>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</si>
  <si>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</si>
  <si>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</si>
  <si>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</si>
  <si>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</si>
  <si>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</si>
  <si>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</si>
  <si>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</si>
  <si>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</si>
  <si>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</si>
  <si>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</si>
  <si>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</si>
  <si>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</si>
  <si>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</si>
  <si>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</si>
  <si>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</si>
  <si>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</si>
  <si>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</si>
  <si>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</si>
  <si>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</si>
  <si>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</si>
  <si>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</si>
  <si>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</si>
  <si>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</si>
  <si>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</si>
  <si>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</si>
  <si>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</si>
  <si>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</si>
  <si>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</si>
  <si>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</si>
  <si>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</si>
  <si>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</si>
  <si>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</si>
  <si>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</si>
  <si>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</si>
  <si>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</si>
  <si>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</si>
  <si>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</si>
  <si>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</si>
  <si>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</si>
  <si>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</si>
  <si>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</si>
  <si>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</si>
  <si>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</si>
  <si>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</si>
  <si>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</si>
  <si>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</si>
  <si>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</si>
  <si>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</si>
  <si>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</si>
  <si>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</si>
  <si>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</si>
  <si>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</si>
  <si>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</si>
  <si>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</si>
  <si>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</si>
  <si>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</si>
  <si>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</si>
  <si>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</si>
  <si>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</si>
  <si>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</si>
  <si>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</si>
  <si>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</si>
  <si>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</si>
  <si>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</si>
  <si>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</si>
  <si>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</si>
  <si>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</si>
  <si>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</si>
  <si>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</si>
  <si>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</si>
  <si>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</si>
  <si>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</si>
  <si>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</si>
  <si>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</si>
  <si>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</si>
  <si>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</si>
  <si>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</si>
  <si>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</si>
  <si>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</si>
  <si>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</si>
  <si>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</si>
  <si>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</si>
  <si>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</si>
  <si>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</si>
  <si>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</si>
  <si>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</si>
  <si>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</si>
  <si>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</si>
  <si>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</si>
  <si>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</si>
  <si>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</si>
  <si>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</si>
  <si>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</si>
  <si>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</si>
  <si>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</si>
  <si>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</si>
  <si>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</si>
  <si>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</si>
  <si>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</si>
  <si>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</si>
  <si>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</si>
  <si>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</si>
  <si>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</si>
  <si>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</si>
  <si>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</si>
  <si>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</si>
  <si>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</si>
  <si>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</si>
  <si>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</si>
  <si>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</si>
  <si>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</si>
  <si>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</si>
  <si>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</si>
  <si>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</si>
  <si>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</si>
  <si>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</si>
  <si>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</si>
  <si>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</si>
  <si>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</si>
  <si>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</si>
  <si>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</si>
  <si>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</si>
  <si>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</si>
  <si>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</si>
  <si>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</si>
  <si>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</si>
  <si>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</si>
  <si>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</si>
  <si>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</si>
  <si>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</si>
  <si>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</si>
  <si>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</si>
  <si>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</si>
  <si>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</si>
  <si>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</si>
  <si>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</si>
  <si>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</si>
  <si>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</si>
  <si>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</si>
  <si>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</si>
  <si>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</si>
  <si>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</si>
  <si>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</si>
  <si>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</si>
  <si>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</si>
  <si>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</si>
  <si>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</si>
  <si>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</si>
  <si>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</si>
  <si>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</si>
  <si>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</si>
  <si>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</si>
  <si>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</si>
  <si>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</si>
  <si>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</si>
  <si>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</si>
  <si>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</si>
  <si>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</si>
  <si>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</si>
  <si>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</si>
  <si>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</si>
  <si>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</si>
  <si>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</si>
  <si>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</si>
  <si>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</si>
  <si>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</si>
  <si>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</si>
  <si>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</si>
  <si>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</si>
  <si>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</si>
  <si>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</si>
  <si>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</si>
  <si>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</si>
  <si>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</si>
  <si>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</si>
  <si>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</si>
  <si>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</si>
  <si>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</si>
  <si>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</si>
  <si>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</si>
  <si>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</si>
  <si>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</si>
  <si>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</si>
  <si>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</si>
  <si>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</si>
  <si>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</si>
  <si>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</si>
  <si>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</si>
  <si>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</si>
  <si>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</si>
  <si>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</si>
  <si>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</si>
  <si>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</si>
  <si>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</si>
  <si>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</si>
  <si>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</si>
  <si>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</si>
  <si>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</si>
  <si>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</si>
  <si>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</si>
  <si>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</si>
  <si>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</si>
  <si>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</si>
  <si>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</si>
  <si>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</si>
  <si>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</si>
  <si>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</si>
  <si>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</si>
  <si>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</si>
  <si>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</si>
  <si>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</si>
  <si>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</si>
  <si>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</si>
  <si>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</si>
  <si>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</si>
  <si>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</si>
  <si>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</si>
  <si>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</si>
  <si>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</si>
  <si>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</si>
  <si>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</si>
  <si>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</si>
  <si>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</si>
  <si>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</si>
  <si>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</si>
  <si>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</si>
  <si>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</si>
  <si>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</si>
  <si>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</si>
  <si>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</si>
  <si>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</si>
  <si>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</si>
  <si>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</si>
  <si>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</si>
  <si>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</si>
  <si>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</si>
  <si>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</si>
  <si>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</si>
  <si>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</si>
  <si>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</si>
  <si>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</si>
  <si>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</si>
  <si>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</si>
  <si>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</si>
  <si>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</si>
  <si>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</si>
  <si>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</si>
  <si>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</si>
  <si>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</si>
  <si>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</si>
  <si>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</si>
  <si>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</si>
  <si>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</si>
  <si>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</si>
  <si>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</si>
  <si>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</si>
  <si>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</si>
  <si>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</si>
  <si>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</si>
  <si>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</si>
  <si>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</si>
  <si>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</si>
  <si>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</si>
  <si>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</si>
  <si>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</si>
  <si>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</si>
  <si>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</si>
  <si>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</si>
  <si>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</si>
  <si>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</si>
  <si>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</si>
  <si>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</si>
  <si>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</si>
  <si>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</si>
  <si>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</si>
  <si>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</si>
  <si>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</si>
  <si>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</si>
  <si>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</si>
  <si>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</si>
  <si>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</si>
  <si>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</si>
  <si>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</si>
  <si>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</si>
  <si>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</si>
  <si>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</si>
  <si>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</si>
  <si>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</si>
  <si>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</si>
  <si>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</si>
  <si>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</si>
  <si>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</si>
  <si>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</si>
  <si>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</si>
  <si>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</si>
  <si>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</si>
  <si>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</si>
  <si>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</si>
  <si>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</si>
  <si>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</si>
  <si>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</si>
  <si>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</si>
  <si>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</si>
  <si>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</si>
  <si>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</si>
  <si>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</si>
  <si>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</si>
  <si>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</si>
  <si>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</si>
  <si>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</si>
  <si>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</si>
  <si>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</si>
  <si>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</si>
  <si>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</si>
  <si>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</si>
  <si>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</si>
  <si>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</si>
  <si>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</si>
  <si>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</si>
  <si>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</si>
  <si>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</si>
  <si>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</si>
  <si>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</si>
  <si>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</si>
  <si>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</si>
  <si>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</si>
  <si>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</si>
  <si>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</si>
  <si>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</si>
  <si>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</si>
  <si>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</si>
  <si>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</si>
  <si>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</si>
  <si>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</si>
  <si>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</si>
  <si>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</si>
  <si>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</si>
  <si>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</si>
  <si>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</si>
  <si>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</si>
  <si>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</si>
  <si>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</si>
  <si>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</si>
  <si>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</si>
  <si>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</si>
  <si>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</si>
  <si>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</si>
  <si>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</si>
  <si>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</si>
  <si>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</si>
  <si>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</si>
  <si>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</si>
  <si>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</si>
  <si>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</si>
  <si>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</si>
  <si>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</si>
  <si>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</si>
  <si>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</si>
  <si>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</si>
  <si>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</si>
  <si>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</si>
  <si>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</si>
  <si>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</si>
  <si>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</si>
  <si>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</si>
  <si>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</si>
  <si>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</si>
  <si>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</si>
  <si>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</si>
  <si>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</si>
  <si>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</si>
  <si>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</si>
  <si>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</si>
  <si>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</si>
  <si>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</si>
  <si>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</si>
  <si>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</si>
  <si>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</si>
  <si>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</si>
  <si>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</si>
  <si>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</si>
  <si>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</si>
  <si>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</si>
  <si>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</si>
  <si>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</si>
  <si>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</si>
  <si>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</si>
  <si>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</si>
  <si>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</si>
  <si>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</si>
  <si>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</si>
  <si>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</si>
  <si>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</si>
  <si>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</si>
  <si>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</si>
  <si>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</si>
  <si>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</si>
  <si>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</si>
  <si>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</si>
  <si>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</si>
  <si>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</si>
  <si>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</si>
  <si>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</si>
  <si>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</si>
  <si>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</si>
  <si>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</si>
  <si>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</si>
  <si>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</si>
  <si>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</si>
  <si>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</si>
  <si>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</si>
  <si>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</si>
  <si>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</si>
  <si>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</si>
  <si>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</si>
  <si>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</si>
  <si>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</si>
  <si>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</si>
  <si>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</si>
  <si>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</si>
  <si>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</si>
  <si>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</si>
  <si>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</si>
  <si>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</si>
  <si>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</si>
  <si>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</si>
  <si>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</si>
  <si>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</si>
  <si>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</si>
  <si>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</si>
  <si>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</si>
  <si>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</si>
  <si>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</si>
  <si>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</si>
  <si>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</si>
  <si>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</si>
  <si>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</si>
  <si>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</si>
  <si>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</si>
  <si>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</si>
  <si>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</si>
  <si>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</si>
  <si>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</si>
  <si>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</si>
  <si>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</si>
  <si>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</si>
  <si>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</si>
  <si>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</si>
  <si>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</si>
  <si>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</si>
  <si>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</si>
  <si>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</si>
  <si>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</si>
  <si>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</si>
  <si>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</si>
  <si>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</si>
  <si>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</si>
  <si>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</si>
  <si>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</si>
  <si>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</si>
  <si>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</si>
  <si>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</si>
  <si>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</si>
  <si>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</si>
  <si>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</si>
  <si>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</si>
  <si>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</si>
  <si>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</si>
  <si>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</si>
  <si>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</si>
  <si>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</si>
  <si>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</si>
  <si>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</si>
  <si>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</si>
  <si>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</si>
  <si>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</si>
  <si>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</si>
  <si>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</si>
  <si>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</si>
  <si>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</si>
  <si>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</si>
  <si>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</si>
  <si>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</si>
  <si>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</si>
  <si>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</si>
  <si>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</si>
  <si>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</si>
  <si>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</si>
  <si>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</si>
  <si>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</si>
  <si>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</si>
  <si>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</si>
  <si>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</si>
  <si>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</si>
  <si>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</si>
  <si>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</si>
  <si>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</si>
  <si>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</si>
  <si>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</si>
  <si>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</si>
  <si>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</si>
  <si>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</si>
  <si>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</si>
  <si>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</si>
  <si>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</si>
  <si>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</si>
  <si>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</si>
  <si>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</si>
  <si>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</si>
  <si>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</si>
  <si>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</si>
  <si>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</si>
  <si>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</si>
  <si>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</si>
  <si>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</si>
  <si>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</si>
  <si>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</si>
  <si>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</si>
  <si>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</si>
  <si>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</si>
  <si>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</si>
  <si>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</si>
  <si>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</si>
  <si>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</si>
  <si>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</si>
  <si>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</si>
  <si>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</si>
  <si>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</si>
  <si>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</si>
  <si>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</si>
  <si>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</si>
  <si>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</si>
  <si>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</si>
  <si>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</si>
  <si>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</si>
  <si>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</si>
  <si>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</si>
  <si>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</si>
  <si>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</si>
  <si>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</si>
  <si>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</si>
  <si>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</si>
  <si>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</si>
  <si>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</si>
  <si>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</si>
  <si>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</si>
  <si>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</si>
  <si>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</si>
  <si>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</si>
  <si>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</si>
  <si>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</si>
  <si>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</si>
  <si>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</si>
  <si>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</si>
  <si>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</si>
  <si>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</si>
  <si>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</si>
  <si>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</si>
  <si>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</si>
  <si>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</si>
  <si>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</si>
  <si>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</si>
  <si>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</si>
  <si>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</si>
  <si>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</si>
  <si>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</si>
  <si>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</si>
  <si>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</si>
  <si>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</si>
  <si>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</si>
  <si>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</si>
  <si>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</si>
  <si>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</si>
  <si>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</si>
  <si>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</si>
  <si>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</si>
  <si>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</si>
  <si>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</si>
  <si>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</si>
  <si>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</si>
  <si>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</si>
  <si>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</si>
  <si>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</si>
  <si>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</si>
  <si>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</si>
  <si>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</si>
  <si>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</si>
  <si>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</si>
  <si>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</si>
  <si>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</si>
  <si>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</si>
  <si>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</si>
  <si>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</si>
  <si>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</si>
  <si>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</si>
  <si>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</si>
  <si>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</si>
  <si>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</si>
  <si>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</si>
  <si>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</si>
  <si>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</si>
  <si>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</si>
  <si>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</si>
  <si>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</si>
  <si>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</si>
  <si>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</si>
  <si>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</si>
  <si>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</si>
  <si>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</si>
  <si>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</si>
  <si>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</si>
  <si>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</si>
  <si>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</si>
  <si>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</si>
  <si>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</si>
  <si>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</si>
  <si>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</si>
  <si>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</si>
  <si>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</si>
  <si>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</si>
  <si>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</si>
  <si>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</si>
  <si>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</si>
  <si>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</si>
  <si>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</si>
  <si>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</si>
  <si>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</si>
  <si>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</si>
  <si>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</si>
  <si>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</si>
  <si>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</si>
  <si>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</si>
  <si>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</si>
  <si>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</si>
  <si>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</si>
  <si>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</si>
  <si>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</si>
  <si>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</si>
  <si>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</si>
  <si>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</si>
  <si>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</si>
  <si>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</si>
  <si>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</si>
  <si>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</si>
  <si>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</si>
  <si>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</si>
  <si>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</si>
  <si>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</si>
  <si>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</si>
  <si>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</si>
  <si>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</si>
  <si>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</si>
  <si>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</si>
  <si>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</si>
  <si>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</si>
  <si>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</si>
  <si>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</si>
  <si>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</si>
  <si>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</si>
  <si>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</si>
  <si>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</si>
  <si>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</si>
  <si>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</si>
  <si>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</si>
  <si>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</si>
  <si>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</si>
  <si>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</si>
  <si>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</si>
  <si>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</si>
  <si>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</si>
  <si>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</si>
  <si>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</si>
  <si>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</si>
  <si>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</si>
  <si>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</si>
  <si>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</si>
  <si>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</si>
  <si>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</si>
  <si>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</si>
  <si>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</si>
  <si>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</si>
  <si>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</si>
  <si>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</si>
  <si>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</si>
  <si>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</si>
  <si>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</si>
  <si>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</si>
  <si>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</si>
  <si>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</si>
  <si>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</si>
  <si>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</si>
  <si>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</si>
  <si>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</si>
  <si>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</si>
  <si>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</si>
  <si>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</si>
  <si>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</si>
  <si>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</si>
  <si>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</si>
  <si>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</si>
  <si>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</si>
  <si>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</si>
  <si>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</si>
  <si>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</si>
  <si>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</si>
  <si>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</si>
  <si>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</si>
  <si>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</si>
  <si>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</si>
  <si>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</si>
  <si>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</si>
  <si>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</si>
  <si>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</si>
  <si>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</si>
  <si>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</si>
  <si>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</si>
  <si>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</si>
  <si>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</si>
  <si>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</si>
  <si>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</si>
  <si>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</si>
  <si>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</si>
  <si>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</si>
  <si>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</si>
  <si>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</si>
  <si>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</si>
  <si>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</si>
  <si>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</si>
  <si>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</si>
  <si>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</si>
  <si>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</si>
  <si>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</si>
  <si>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</si>
  <si>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</si>
  <si>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</si>
  <si>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</si>
  <si>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</si>
  <si>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</si>
  <si>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</si>
  <si>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</si>
  <si>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</si>
  <si>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</si>
  <si>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</si>
  <si>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</si>
  <si>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</si>
  <si>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</si>
  <si>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</si>
  <si>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</si>
  <si>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</si>
  <si>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</si>
  <si>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</si>
  <si>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</si>
  <si>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</si>
  <si>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</si>
  <si>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</si>
  <si>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</si>
  <si>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</si>
  <si>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</si>
  <si>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</si>
  <si>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</si>
  <si>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</si>
  <si>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</si>
  <si>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</si>
  <si>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</si>
  <si>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</si>
  <si>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</si>
  <si>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</si>
  <si>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</si>
  <si>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</si>
  <si>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</si>
  <si>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</si>
  <si>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</si>
  <si>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</si>
  <si>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</si>
  <si>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</si>
  <si>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</si>
  <si>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</si>
  <si>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</si>
  <si>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</si>
  <si>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</si>
  <si>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</si>
  <si>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</si>
  <si>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</si>
  <si>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</si>
  <si>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</si>
  <si>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</si>
  <si>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</si>
  <si>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</si>
  <si>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</si>
  <si>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</si>
  <si>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</si>
  <si>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</si>
  <si>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</si>
  <si>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</si>
  <si>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</si>
  <si>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</si>
  <si>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</si>
  <si>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</si>
  <si>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</si>
  <si>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</si>
  <si>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</si>
  <si>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</si>
  <si>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</si>
  <si>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</si>
  <si>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</si>
  <si>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</si>
  <si>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</si>
  <si>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</si>
  <si>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</si>
  <si>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</si>
  <si>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</si>
  <si>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</si>
  <si>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</si>
  <si>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</si>
  <si>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</si>
  <si>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</si>
  <si>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</si>
  <si>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</si>
  <si>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</si>
  <si>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</si>
  <si>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</si>
  <si>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</si>
  <si>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</si>
  <si>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</si>
  <si>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</si>
  <si>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</si>
  <si>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</si>
  <si>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</si>
  <si>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</si>
  <si>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</si>
  <si>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</si>
  <si>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</si>
  <si>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</si>
  <si>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</si>
  <si>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</si>
  <si>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</si>
  <si>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</si>
  <si>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</si>
  <si>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</si>
  <si>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</si>
  <si>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</si>
  <si>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</si>
  <si>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</si>
  <si>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</si>
  <si>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</si>
  <si>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</si>
  <si>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</si>
  <si>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</si>
  <si>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</si>
  <si>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</si>
  <si>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</si>
  <si>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</si>
  <si>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</si>
  <si>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</si>
  <si>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</si>
  <si>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</si>
  <si>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</si>
  <si>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</si>
  <si>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</si>
  <si>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</si>
  <si>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</si>
  <si>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</si>
  <si>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</si>
  <si>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</si>
  <si>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</si>
  <si>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</si>
  <si>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</si>
  <si>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</si>
  <si>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</si>
  <si>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</si>
  <si>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</si>
  <si>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</si>
  <si>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</si>
  <si>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</si>
  <si>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</si>
  <si>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</si>
  <si>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</si>
  <si>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</si>
  <si>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</si>
  <si>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</si>
  <si>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</si>
  <si>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</si>
  <si>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</si>
  <si>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</si>
  <si>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</si>
  <si>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</si>
  <si>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</si>
  <si>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</si>
  <si>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</si>
  <si>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</si>
  <si>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</si>
  <si>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</si>
  <si>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</si>
  <si>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</si>
  <si>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</si>
  <si>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</si>
  <si>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</si>
  <si>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</si>
  <si>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</si>
  <si>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</si>
  <si>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</si>
  <si>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</si>
  <si>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</si>
  <si>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</si>
  <si>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</si>
  <si>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</si>
  <si>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</si>
  <si>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</si>
  <si>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</si>
  <si>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</si>
  <si>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</si>
  <si>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</si>
  <si>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</si>
  <si>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</si>
  <si>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</si>
  <si>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</si>
  <si>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</si>
  <si>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</si>
  <si>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</si>
  <si>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</si>
  <si>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</si>
  <si>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</si>
  <si>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</si>
  <si>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</si>
  <si>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</si>
  <si>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</si>
  <si>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</si>
  <si>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</si>
  <si>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</si>
  <si>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</si>
  <si>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</si>
  <si>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</si>
  <si>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</si>
  <si>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</si>
  <si>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</si>
  <si>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</si>
  <si>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</si>
  <si>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</si>
  <si>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</si>
  <si>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</si>
  <si>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</si>
  <si>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</si>
  <si>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</si>
  <si>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</si>
  <si>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</si>
  <si>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</si>
  <si>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</si>
  <si>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</si>
  <si>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</si>
  <si>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</si>
  <si>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</si>
  <si>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</si>
  <si>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</si>
  <si>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</si>
  <si>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</si>
  <si>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</si>
  <si>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</si>
  <si>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</si>
  <si>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</si>
  <si>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</si>
  <si>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</si>
  <si>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</si>
  <si>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</si>
  <si>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</si>
  <si>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</si>
  <si>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</si>
  <si>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</si>
  <si>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</si>
  <si>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</si>
  <si>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</si>
  <si>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</si>
  <si>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</si>
  <si>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</si>
  <si>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</si>
  <si>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</si>
  <si>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</si>
  <si>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</si>
  <si>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</si>
  <si>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</si>
  <si>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</si>
  <si>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</si>
  <si>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</si>
  <si>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</si>
  <si>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</si>
  <si>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</si>
  <si>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</si>
  <si>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</si>
  <si>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</si>
  <si>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</si>
  <si>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</si>
  <si>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</si>
  <si>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</si>
  <si>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</si>
  <si>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</si>
  <si>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</si>
  <si>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</si>
  <si>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</si>
  <si>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</si>
  <si>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</si>
  <si>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</si>
  <si>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</si>
  <si>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</si>
  <si>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</si>
  <si>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</si>
  <si>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</si>
  <si>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</si>
  <si>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</si>
  <si>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</si>
  <si>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</si>
  <si>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</si>
  <si>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</si>
  <si>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</si>
  <si>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</si>
  <si>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</si>
  <si>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</si>
  <si>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</si>
  <si>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</si>
  <si>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</si>
  <si>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</si>
  <si>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</si>
  <si>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</si>
  <si>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</si>
  <si>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</si>
  <si>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</si>
  <si>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</si>
  <si>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</si>
  <si>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</si>
  <si>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</si>
  <si>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</si>
  <si>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</si>
  <si>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</si>
  <si>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</si>
  <si>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</si>
  <si>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</si>
  <si>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</si>
  <si>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</si>
  <si>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</si>
  <si>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</si>
  <si>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</si>
  <si>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</si>
  <si>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</si>
  <si>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</si>
  <si>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</si>
  <si>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</si>
  <si>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</si>
  <si>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</si>
  <si>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</si>
  <si>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</si>
  <si>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</si>
  <si>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</si>
  <si>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</si>
  <si>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</si>
  <si>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</si>
  <si>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</si>
  <si>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</si>
  <si>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</si>
  <si>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</si>
  <si>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</si>
  <si>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</si>
  <si>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</si>
  <si>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</si>
  <si>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</si>
  <si>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</si>
  <si>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</si>
  <si>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</si>
  <si>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</si>
  <si>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</si>
  <si>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</si>
  <si>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</si>
  <si>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</si>
  <si>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</si>
  <si>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</si>
  <si>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</si>
  <si>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</si>
  <si>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</si>
  <si>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</si>
  <si>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</si>
  <si>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</si>
  <si>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</si>
  <si>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</si>
  <si>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</si>
  <si>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</si>
  <si>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</si>
  <si>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</si>
  <si>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</si>
  <si>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</si>
  <si>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</si>
  <si>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</si>
  <si>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</si>
  <si>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</si>
  <si>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</si>
  <si>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</si>
  <si>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</si>
  <si>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</si>
  <si>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</si>
  <si>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</si>
  <si>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</si>
  <si>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</si>
  <si>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</si>
  <si>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</si>
  <si>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</si>
  <si>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</si>
  <si>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</si>
  <si>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</si>
  <si>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</si>
  <si>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</si>
  <si>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</si>
  <si>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</si>
  <si>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</si>
  <si>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</si>
  <si>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</si>
  <si>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</si>
  <si>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</si>
  <si>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</si>
  <si>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</si>
  <si>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</si>
  <si>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</si>
  <si>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</si>
  <si>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</si>
  <si>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</si>
  <si>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</si>
  <si>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</si>
  <si>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</si>
  <si>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</si>
  <si>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</si>
  <si>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</si>
  <si>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</si>
  <si>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</si>
  <si>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</si>
  <si>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</si>
  <si>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</si>
  <si>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</si>
  <si>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</si>
  <si>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</si>
  <si>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</si>
  <si>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</si>
  <si>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</si>
  <si>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</si>
  <si>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</si>
  <si>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</si>
  <si>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</si>
  <si>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</si>
  <si>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</si>
  <si>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</si>
  <si>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</si>
  <si>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</si>
  <si>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</si>
  <si>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</si>
  <si>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</si>
  <si>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</si>
  <si>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</si>
  <si>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</si>
  <si>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</si>
  <si>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</si>
  <si>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</si>
  <si>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</si>
  <si>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</si>
  <si>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</si>
  <si>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</si>
  <si>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</si>
  <si>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</si>
  <si>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</si>
  <si>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</si>
  <si>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</si>
  <si>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</si>
  <si>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</si>
  <si>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</si>
  <si>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</si>
  <si>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</si>
  <si>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</si>
  <si>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</si>
  <si>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</si>
  <si>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</si>
  <si>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</si>
  <si>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</si>
  <si>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</si>
  <si>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</si>
  <si>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</si>
  <si>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</si>
  <si>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</si>
  <si>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</si>
  <si>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</si>
  <si>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</si>
  <si>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</si>
  <si>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</si>
  <si>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</si>
  <si>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</si>
  <si>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</si>
  <si>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</si>
  <si>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</si>
  <si>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</si>
  <si>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</si>
  <si>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</si>
  <si>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</si>
  <si>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</si>
  <si>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</si>
  <si>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</si>
  <si>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</si>
  <si>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</si>
  <si>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</si>
  <si>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</si>
  <si>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</si>
  <si>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</si>
  <si>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</si>
  <si>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</si>
  <si>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</si>
  <si>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</si>
  <si>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</si>
  <si>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</si>
  <si>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</si>
  <si>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</si>
  <si>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</si>
  <si>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</si>
  <si>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</si>
  <si>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</si>
  <si>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</si>
  <si>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</si>
  <si>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</si>
  <si>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</si>
  <si>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</si>
  <si>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</si>
  <si>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</si>
  <si>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</si>
  <si>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</si>
  <si>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</si>
  <si>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</si>
  <si>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</si>
  <si>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</si>
  <si>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</si>
  <si>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</si>
  <si>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</si>
  <si>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</si>
  <si>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</si>
  <si>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</si>
  <si>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</si>
  <si>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</si>
  <si>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</si>
  <si>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</si>
  <si>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</si>
  <si>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</si>
  <si>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</si>
  <si>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</si>
  <si>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</si>
  <si>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</si>
  <si>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</si>
  <si>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</si>
  <si>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</si>
  <si>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</si>
  <si>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</si>
  <si>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</si>
  <si>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</si>
  <si>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</si>
  <si>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</si>
  <si>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</si>
  <si>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</si>
  <si>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</si>
  <si>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</si>
  <si>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</si>
  <si>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</si>
  <si>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</si>
  <si>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</si>
  <si>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</si>
  <si>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</si>
  <si>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</si>
  <si>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</si>
  <si>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</si>
  <si>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</si>
  <si>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</si>
  <si>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</si>
  <si>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</si>
  <si>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</si>
  <si>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</si>
  <si>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</si>
  <si>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</si>
  <si>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</si>
  <si>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</si>
  <si>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</si>
  <si>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</si>
  <si>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</si>
  <si>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</si>
  <si>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</si>
  <si>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</si>
  <si>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</si>
  <si>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</si>
  <si>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</si>
  <si>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</si>
  <si>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</si>
  <si>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</si>
  <si>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</si>
  <si>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</si>
  <si>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</si>
  <si>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</si>
  <si>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</si>
  <si>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</si>
  <si>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</si>
  <si>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</si>
  <si>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</si>
  <si>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</si>
  <si>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</si>
  <si>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</si>
  <si>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</si>
  <si>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</si>
  <si>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</si>
  <si>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</si>
  <si>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</si>
  <si>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</si>
  <si>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</si>
  <si>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</si>
  <si>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</si>
  <si>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</si>
  <si>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</si>
  <si>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</si>
  <si>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</si>
  <si>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</si>
  <si>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</si>
  <si>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</si>
  <si>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</si>
  <si>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</si>
  <si>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</si>
  <si>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</si>
  <si>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</si>
  <si>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</si>
  <si>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</si>
  <si>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</si>
  <si>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</si>
  <si>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</si>
  <si>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</si>
  <si>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</si>
  <si>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</si>
  <si>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</si>
  <si>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</si>
  <si>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</si>
  <si>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</si>
  <si>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</si>
  <si>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</si>
  <si>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</si>
  <si>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</si>
  <si>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</si>
  <si>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</si>
  <si>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</si>
  <si>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</si>
  <si>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</si>
  <si>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</si>
  <si>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</si>
  <si>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</si>
  <si>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</si>
  <si>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</si>
  <si>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</si>
  <si>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</si>
  <si>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</si>
  <si>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</si>
  <si>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</si>
  <si>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</si>
  <si>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</si>
  <si>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</si>
  <si>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</si>
  <si>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</si>
  <si>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</si>
  <si>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</si>
  <si>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</si>
  <si>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</si>
  <si>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</si>
  <si>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</si>
  <si>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</si>
  <si>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</si>
  <si>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</si>
  <si>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</si>
  <si>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</si>
  <si>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</si>
  <si>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</si>
  <si>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</si>
  <si>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</si>
  <si>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</si>
  <si>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</si>
  <si>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</si>
  <si>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</si>
  <si>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</si>
  <si>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</si>
  <si>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</si>
  <si>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</si>
  <si>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</si>
  <si>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</si>
  <si>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</si>
  <si>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</si>
  <si>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</si>
  <si>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</si>
  <si>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</si>
  <si>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</si>
  <si>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</si>
  <si>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</si>
  <si>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</si>
  <si>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</si>
  <si>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</si>
  <si>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</si>
  <si>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</si>
  <si>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</si>
  <si>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</si>
  <si>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</si>
  <si>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</si>
  <si>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</si>
  <si>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</si>
  <si>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</si>
  <si>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</si>
  <si>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</si>
  <si>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</si>
  <si>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</si>
  <si>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</si>
  <si>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</si>
  <si>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</si>
  <si>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</si>
  <si>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</si>
  <si>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</si>
  <si>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</si>
  <si>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</si>
  <si>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</si>
  <si>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</si>
  <si>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</si>
  <si>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</si>
  <si>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</si>
  <si>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</si>
  <si>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</si>
  <si>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</si>
  <si>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</si>
  <si>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</si>
  <si>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</si>
  <si>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</si>
  <si>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</si>
  <si>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</si>
  <si>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</si>
  <si>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</si>
  <si>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</si>
  <si>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</si>
  <si>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</si>
  <si>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</si>
  <si>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</si>
  <si>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</si>
  <si>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</si>
  <si>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</si>
  <si>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</si>
  <si>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</si>
  <si>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</si>
  <si>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</si>
  <si>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</si>
  <si>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</si>
  <si>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</si>
  <si>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</si>
  <si>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</si>
  <si>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</si>
  <si>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</si>
  <si>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</si>
  <si>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</si>
  <si>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</si>
  <si>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</si>
  <si>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</si>
  <si>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</si>
  <si>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</si>
  <si>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</si>
  <si>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</si>
  <si>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</si>
  <si>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</si>
  <si>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</si>
  <si>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</si>
  <si>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</si>
  <si>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</si>
  <si>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</si>
  <si>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</si>
  <si>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</si>
  <si>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</si>
  <si>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</si>
  <si>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</si>
  <si>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</si>
  <si>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</si>
  <si>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</si>
  <si>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</si>
  <si>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</si>
  <si>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</si>
  <si>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</si>
  <si>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</si>
  <si>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</si>
  <si>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</si>
  <si>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</si>
  <si>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</si>
  <si>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</si>
  <si>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</si>
  <si>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</si>
  <si>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</si>
  <si>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</si>
  <si>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</si>
  <si>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</si>
  <si>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</si>
  <si>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</si>
  <si>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</si>
  <si>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</si>
  <si>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</si>
  <si>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</si>
  <si>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</si>
  <si>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</si>
  <si>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</si>
  <si>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</si>
  <si>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</si>
  <si>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</si>
  <si>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</si>
  <si>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</si>
  <si>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</si>
  <si>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</si>
  <si>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</si>
  <si>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</si>
  <si>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</si>
  <si>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</si>
  <si>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</si>
  <si>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</si>
  <si>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</si>
  <si>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</si>
  <si>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</si>
  <si>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</si>
  <si>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</si>
  <si>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</si>
  <si>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</si>
  <si>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</si>
  <si>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</si>
  <si>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</si>
  <si>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</si>
  <si>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</si>
  <si>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</si>
  <si>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</si>
  <si>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</si>
  <si>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</si>
  <si>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</si>
  <si>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</si>
  <si>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</si>
  <si>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</si>
  <si>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</si>
  <si>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</si>
  <si>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</si>
  <si>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</si>
  <si>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</si>
  <si>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</si>
  <si>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</si>
  <si>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</si>
  <si>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</si>
  <si>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</si>
  <si>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</si>
  <si>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</si>
  <si>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</si>
  <si>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</si>
  <si>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</si>
  <si>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</si>
  <si>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</si>
  <si>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</si>
  <si>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</si>
  <si>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</si>
  <si>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</si>
  <si>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</si>
  <si>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</si>
  <si>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</si>
  <si>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</si>
  <si>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</si>
  <si>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</si>
  <si>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</si>
  <si>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</si>
  <si>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</si>
  <si>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</si>
  <si>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</si>
  <si>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</si>
  <si>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</si>
  <si>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</si>
  <si>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</si>
  <si>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</si>
  <si>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</si>
  <si>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</si>
  <si>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</si>
  <si>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</si>
  <si>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</si>
  <si>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</si>
  <si>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</si>
  <si>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</si>
  <si>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</si>
  <si>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</si>
  <si>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</si>
  <si>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</si>
  <si>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</si>
  <si>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</si>
  <si>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</si>
  <si>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</si>
  <si>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</si>
  <si>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</si>
  <si>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</si>
  <si>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</si>
  <si>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</si>
  <si>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</si>
  <si>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</si>
  <si>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</si>
  <si>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</si>
  <si>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</si>
  <si>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</si>
  <si>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</si>
  <si>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</si>
  <si>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</si>
  <si>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</si>
  <si>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</si>
  <si>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</si>
  <si>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</si>
  <si>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</si>
  <si>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</si>
  <si>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</si>
  <si>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</si>
  <si>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</si>
  <si>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</si>
  <si>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</si>
  <si>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</si>
  <si>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</si>
  <si>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</si>
  <si>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</si>
  <si>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</si>
  <si>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</si>
  <si>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</si>
  <si>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</si>
  <si>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</si>
  <si>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</si>
  <si>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</si>
  <si>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</si>
  <si>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</si>
  <si>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</si>
  <si>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</si>
  <si>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</si>
  <si>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</si>
  <si>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</si>
  <si>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</si>
  <si>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</si>
  <si>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</si>
  <si>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</si>
  <si>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</si>
  <si>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</si>
  <si>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</si>
  <si>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</si>
  <si>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</si>
  <si>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</si>
  <si>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</si>
  <si>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</si>
  <si>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</si>
  <si>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</si>
  <si>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</si>
  <si>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</si>
  <si>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</si>
  <si>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</si>
  <si>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</si>
  <si>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</si>
  <si>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</si>
  <si>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</si>
  <si>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</si>
  <si>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</si>
  <si>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</si>
  <si>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</si>
  <si>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</si>
  <si>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</si>
  <si>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</si>
  <si>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</si>
  <si>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</si>
  <si>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</si>
  <si>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</si>
  <si>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</si>
  <si>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</si>
  <si>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</si>
  <si>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</si>
  <si>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</si>
  <si>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</si>
  <si>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</si>
  <si>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</si>
  <si>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</si>
  <si>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</si>
  <si>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</si>
  <si>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</si>
  <si>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</si>
  <si>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</si>
  <si>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</si>
  <si>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</si>
  <si>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</si>
  <si>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</si>
  <si>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</si>
  <si>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</si>
  <si>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</si>
  <si>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</si>
  <si>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</si>
  <si>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</si>
  <si>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</si>
  <si>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</si>
  <si>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</si>
  <si>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</si>
  <si>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</si>
  <si>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</si>
  <si>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</si>
  <si>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</si>
  <si>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</si>
  <si>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</si>
  <si>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</si>
  <si>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</si>
  <si>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</si>
  <si>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</si>
  <si>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</si>
  <si>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</si>
  <si>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</si>
  <si>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</si>
  <si>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</si>
  <si>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</si>
  <si>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</si>
  <si>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</si>
  <si>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</si>
  <si>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</si>
  <si>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</si>
  <si>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</si>
  <si>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</si>
  <si>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</si>
  <si>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</si>
  <si>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</si>
  <si>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</si>
  <si>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</si>
  <si>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</si>
  <si>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</si>
  <si>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</si>
  <si>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</si>
  <si>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</si>
  <si>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</si>
  <si>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</si>
  <si>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</si>
  <si>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</si>
  <si>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</si>
  <si>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</si>
  <si>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</si>
  <si>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</si>
  <si>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</si>
  <si>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</si>
  <si>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</si>
  <si>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</si>
  <si>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</si>
  <si>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</si>
  <si>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</si>
  <si>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</si>
  <si>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</si>
  <si>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</si>
  <si>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</si>
  <si>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</si>
  <si>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</si>
  <si>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</si>
  <si>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</si>
  <si>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</si>
  <si>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</si>
  <si>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</si>
  <si>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</si>
  <si>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</si>
  <si>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</si>
  <si>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</si>
  <si>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</si>
  <si>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</si>
  <si>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</si>
  <si>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</si>
  <si>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</si>
  <si>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</si>
  <si>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</si>
  <si>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</si>
  <si>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</si>
  <si>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</si>
  <si>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</si>
  <si>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</si>
  <si>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</si>
  <si>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</si>
  <si>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</si>
  <si>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</si>
  <si>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</si>
  <si>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</si>
  <si>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</si>
  <si>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</si>
  <si>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</si>
  <si>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</si>
  <si>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</si>
  <si>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</si>
  <si>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</si>
  <si>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</si>
  <si>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</si>
  <si>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</si>
  <si>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</si>
  <si>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</si>
  <si>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</si>
  <si>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</si>
  <si>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</si>
  <si>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</si>
  <si>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</si>
  <si>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</si>
  <si>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</si>
  <si>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</si>
  <si>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</si>
  <si>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</si>
  <si>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</si>
  <si>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</si>
  <si>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</si>
  <si>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</si>
  <si>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</si>
  <si>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</si>
  <si>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</si>
  <si>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</si>
  <si>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</si>
  <si>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</si>
  <si>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</si>
  <si>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</si>
  <si>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</si>
  <si>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</si>
  <si>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</si>
  <si>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</si>
  <si>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</si>
  <si>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</si>
  <si>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</si>
  <si>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</si>
  <si>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</si>
  <si>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</si>
  <si>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</si>
  <si>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</si>
  <si>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</si>
  <si>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</si>
  <si>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</si>
  <si>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</si>
  <si>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</si>
  <si>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</si>
  <si>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</si>
  <si>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</si>
  <si>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</si>
  <si>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</si>
  <si>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</si>
  <si>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</si>
  <si>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</si>
  <si>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</si>
  <si>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</si>
  <si>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</si>
  <si>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</si>
  <si>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</si>
  <si>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</si>
  <si>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</si>
  <si>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</si>
  <si>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</si>
  <si>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</si>
  <si>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</si>
  <si>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</si>
  <si>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</si>
  <si>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</si>
  <si>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</si>
  <si>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</si>
  <si>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</si>
  <si>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</si>
  <si>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</si>
  <si>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</si>
  <si>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</si>
  <si>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</si>
  <si>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</si>
  <si>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</si>
  <si>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</si>
  <si>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</si>
  <si>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</si>
  <si>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</si>
  <si>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</si>
  <si>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</si>
  <si>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</si>
  <si>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</si>
  <si>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</si>
  <si>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</si>
  <si>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</si>
  <si>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</si>
  <si>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</si>
  <si>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</si>
  <si>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</si>
  <si>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</si>
  <si>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</si>
  <si>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</si>
  <si>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</si>
  <si>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</si>
  <si>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</si>
  <si>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</si>
  <si>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</si>
  <si>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</si>
  <si>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</si>
  <si>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</si>
  <si>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</si>
  <si>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</si>
  <si>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</si>
  <si>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</si>
  <si>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</si>
  <si>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</si>
  <si>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</si>
  <si>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</si>
  <si>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</si>
  <si>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</si>
  <si>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</si>
  <si>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</si>
  <si>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</si>
  <si>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</si>
  <si>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</si>
  <si>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</si>
  <si>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</si>
  <si>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</si>
  <si>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</si>
  <si>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</si>
  <si>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</si>
  <si>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</si>
  <si>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</si>
  <si>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</si>
  <si>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</si>
  <si>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</si>
  <si>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</si>
  <si>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</si>
  <si>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</si>
  <si>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</si>
  <si>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</si>
  <si>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</si>
  <si>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</si>
  <si>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</si>
  <si>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</si>
  <si>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</si>
  <si>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</si>
  <si>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</si>
  <si>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</si>
  <si>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</si>
  <si>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</si>
  <si>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</si>
  <si>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</si>
  <si>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</si>
  <si>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</si>
  <si>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</si>
  <si>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</si>
  <si>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</si>
  <si>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</si>
  <si>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</si>
  <si>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</si>
  <si>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</si>
  <si>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</si>
  <si>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</si>
  <si>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</si>
  <si>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</si>
  <si>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</si>
  <si>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</si>
  <si>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</si>
  <si>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</si>
  <si>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</si>
  <si>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</si>
  <si>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</si>
  <si>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</si>
  <si>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</si>
  <si>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</si>
  <si>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</si>
  <si>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</si>
  <si>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</si>
  <si>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</si>
  <si>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</si>
  <si>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</si>
  <si>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</si>
  <si>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</si>
  <si>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</si>
  <si>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</si>
  <si>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</si>
  <si>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</si>
  <si>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</si>
  <si>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</si>
  <si>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</si>
  <si>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</si>
  <si>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</si>
  <si>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</si>
  <si>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</si>
  <si>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</si>
  <si>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</si>
  <si>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</si>
  <si>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</si>
  <si>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</si>
  <si>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</si>
  <si>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</si>
  <si>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</si>
  <si>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</si>
  <si>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</si>
  <si>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</si>
  <si>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</si>
  <si>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</si>
  <si>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</si>
  <si>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</si>
  <si>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</si>
  <si>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</si>
  <si>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</si>
  <si>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</si>
  <si>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</si>
  <si>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</si>
  <si>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</si>
  <si>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</si>
  <si>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</si>
  <si>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</si>
  <si>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</si>
  <si>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</si>
  <si>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</si>
  <si>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</si>
  <si>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</si>
  <si>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</si>
  <si>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</si>
  <si>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</si>
  <si>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</si>
  <si>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</si>
  <si>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</si>
  <si>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</si>
  <si>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</si>
  <si>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</si>
  <si>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</si>
  <si>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</si>
  <si>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</si>
  <si>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</si>
  <si>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</si>
  <si>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</si>
  <si>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</si>
  <si>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</si>
  <si>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</si>
  <si>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</si>
  <si>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</si>
  <si>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</si>
  <si>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</si>
  <si>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</si>
  <si>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</si>
  <si>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</si>
  <si>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</si>
  <si>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</si>
  <si>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</si>
  <si>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</si>
  <si>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</si>
  <si>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</si>
  <si>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</si>
  <si>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</si>
  <si>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</si>
  <si>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</si>
  <si>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</si>
  <si>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</si>
  <si>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</si>
  <si>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</si>
  <si>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</si>
  <si>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</si>
  <si>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</si>
  <si>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</si>
  <si>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</si>
  <si>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</si>
  <si>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</si>
  <si>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</si>
  <si>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</si>
  <si>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</si>
  <si>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</si>
  <si>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</si>
  <si>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</si>
  <si>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</si>
  <si>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</si>
  <si>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</si>
  <si>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</si>
  <si>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</si>
  <si>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</si>
  <si>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</si>
  <si>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</si>
  <si>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</si>
  <si>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</si>
  <si>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</si>
  <si>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</si>
  <si>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</si>
  <si>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</si>
  <si>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</si>
  <si>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</si>
  <si>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</si>
  <si>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</si>
  <si>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</si>
  <si>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</si>
  <si>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</si>
  <si>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</si>
  <si>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</si>
  <si>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</si>
  <si>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</si>
  <si>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</si>
  <si>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</si>
  <si>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</si>
  <si>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</si>
  <si>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</si>
  <si>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</si>
  <si>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</si>
  <si>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</si>
  <si>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</si>
  <si>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</si>
  <si>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</si>
  <si>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</si>
  <si>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</si>
  <si>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</si>
  <si>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</si>
  <si>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</si>
  <si>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</si>
  <si>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</si>
  <si>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</si>
  <si>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</si>
  <si>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</si>
  <si>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</si>
  <si>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</si>
  <si>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</si>
  <si>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</si>
  <si>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</si>
  <si>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</si>
  <si>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</si>
  <si>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</si>
  <si>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</si>
  <si>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</si>
  <si>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</si>
  <si>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</si>
  <si>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</si>
  <si>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</si>
  <si>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</si>
  <si>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</si>
  <si>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</si>
  <si>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</si>
  <si>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</si>
  <si>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</si>
  <si>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</si>
  <si>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</si>
  <si>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</si>
  <si>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</si>
  <si>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</si>
  <si>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</si>
  <si>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</si>
  <si>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</si>
  <si>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</si>
  <si>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</si>
  <si>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</si>
  <si>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</si>
  <si>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</si>
  <si>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</si>
  <si>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</si>
  <si>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</si>
  <si>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</si>
  <si>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</si>
  <si>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</si>
  <si>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</si>
  <si>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</si>
  <si>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</si>
  <si>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</si>
  <si>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</si>
  <si>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</si>
  <si>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</si>
  <si>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</si>
  <si>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</si>
  <si>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</si>
  <si>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</si>
  <si>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</si>
  <si>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</si>
  <si>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</si>
  <si>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</si>
  <si>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</si>
  <si>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</si>
  <si>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</si>
  <si>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</si>
  <si>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</si>
  <si>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</si>
  <si>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</si>
  <si>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</si>
  <si>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</si>
  <si>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</si>
  <si>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</si>
  <si>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</si>
  <si>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</si>
  <si>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</si>
  <si>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</si>
  <si>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</si>
  <si>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</si>
  <si>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</si>
  <si>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</si>
  <si>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</si>
  <si>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</si>
  <si>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</si>
  <si>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</si>
  <si>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</si>
  <si>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</si>
  <si>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</si>
  <si>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</si>
  <si>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</si>
  <si>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</si>
  <si>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</si>
  <si>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</si>
  <si>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</si>
  <si>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</si>
  <si>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</si>
  <si>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</si>
  <si>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</si>
  <si>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</si>
  <si>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</si>
  <si>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</si>
  <si>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</si>
  <si>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</si>
  <si>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</si>
  <si>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</si>
  <si>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</si>
  <si>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</si>
  <si>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</si>
  <si>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</si>
  <si>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</si>
  <si>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</si>
  <si>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</si>
  <si>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</si>
  <si>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</si>
  <si>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</si>
  <si>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</si>
  <si>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</si>
  <si>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</si>
  <si>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</si>
  <si>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</si>
  <si>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</si>
  <si>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</si>
  <si>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</si>
  <si>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</si>
  <si>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</si>
  <si>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</si>
  <si>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</si>
  <si>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</si>
  <si>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</si>
  <si>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</si>
  <si>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</si>
  <si>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</si>
  <si>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</si>
  <si>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</si>
  <si>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</si>
  <si>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</si>
  <si>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</si>
  <si>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</si>
  <si>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</si>
  <si>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</si>
  <si>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</si>
  <si>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</si>
  <si>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</si>
  <si>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</si>
  <si>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</si>
  <si>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</si>
  <si>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</si>
  <si>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</si>
  <si>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</si>
  <si>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</si>
  <si>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</si>
  <si>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</si>
  <si>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</si>
  <si>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</si>
  <si>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</si>
  <si>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</si>
  <si>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</si>
  <si>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</si>
  <si>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</si>
  <si>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</si>
  <si>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</si>
  <si>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</si>
  <si>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</si>
  <si>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</si>
  <si>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</si>
  <si>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</si>
  <si>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</si>
  <si>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</si>
  <si>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</si>
  <si>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</si>
  <si>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</si>
  <si>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</si>
  <si>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</si>
  <si>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</si>
  <si>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</si>
  <si>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</si>
  <si>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</si>
  <si>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</si>
  <si>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</si>
  <si>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</si>
  <si>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</si>
  <si>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</si>
  <si>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</si>
  <si>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</si>
  <si>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</si>
  <si>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</si>
  <si>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</si>
  <si>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</si>
  <si>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</si>
  <si>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</si>
  <si>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</si>
  <si>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</si>
  <si>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</si>
  <si>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</si>
  <si>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</si>
  <si>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</si>
  <si>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</si>
  <si>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</si>
  <si>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</si>
  <si>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</si>
  <si>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</si>
  <si>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</si>
  <si>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</si>
  <si>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</si>
  <si>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</si>
  <si>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</si>
  <si>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</si>
  <si>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</si>
  <si>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</si>
  <si>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</si>
  <si>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</si>
  <si>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</si>
  <si>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</si>
  <si>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</si>
  <si>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</si>
  <si>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</si>
  <si>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</si>
  <si>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</si>
  <si>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</si>
  <si>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</si>
  <si>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</si>
  <si>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</si>
  <si>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</si>
  <si>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</si>
  <si>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</si>
  <si>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</si>
  <si>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</si>
  <si>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</si>
  <si>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</si>
  <si>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</si>
  <si>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</si>
  <si>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</si>
  <si>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</si>
  <si>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</si>
  <si>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</si>
  <si>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</si>
  <si>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</si>
  <si>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</si>
  <si>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</si>
  <si>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</si>
  <si>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</si>
  <si>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</si>
  <si>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</si>
  <si>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</si>
  <si>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</si>
  <si>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</si>
  <si>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</si>
  <si>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</si>
  <si>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</si>
  <si>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</si>
  <si>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</si>
  <si>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</si>
  <si>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</si>
  <si>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</si>
  <si>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</si>
  <si>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</si>
  <si>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</si>
  <si>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</si>
  <si>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</si>
  <si>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</si>
  <si>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</si>
  <si>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</si>
  <si>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</si>
  <si>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</si>
  <si>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</si>
  <si>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</si>
  <si>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</si>
  <si>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</si>
  <si>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</si>
  <si>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</si>
  <si>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</si>
  <si>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</si>
  <si>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</si>
  <si>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</si>
  <si>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</si>
  <si>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</si>
  <si>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</si>
  <si>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</si>
  <si>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</si>
  <si>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</si>
  <si>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</si>
  <si>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</si>
  <si>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</si>
  <si>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</si>
  <si>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</si>
  <si>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</si>
  <si>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</si>
  <si>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</si>
  <si>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</si>
  <si>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</si>
  <si>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</si>
  <si>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</si>
  <si>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</si>
  <si>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</si>
  <si>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</si>
  <si>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</si>
  <si>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</si>
  <si>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</si>
  <si>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</si>
  <si>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</si>
  <si>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</si>
  <si>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</si>
  <si>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</si>
  <si>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</si>
  <si>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</si>
  <si>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</si>
  <si>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</si>
  <si>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</si>
  <si>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</si>
  <si>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</si>
  <si>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</si>
  <si>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</si>
  <si>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</si>
  <si>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</si>
  <si>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</si>
  <si>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</si>
  <si>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</si>
  <si>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</si>
  <si>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</si>
  <si>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</si>
  <si>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</si>
  <si>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</si>
  <si>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</si>
  <si>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</si>
  <si>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</si>
  <si>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</si>
  <si>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</si>
  <si>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</si>
  <si>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</si>
  <si>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</si>
  <si>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</si>
  <si>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</si>
  <si>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</si>
  <si>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</si>
  <si>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</si>
  <si>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</si>
  <si>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</si>
  <si>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</si>
  <si>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</si>
  <si>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</si>
  <si>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</si>
  <si>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</si>
  <si>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</si>
  <si>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</si>
  <si>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</si>
  <si>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</si>
  <si>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</si>
  <si>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</si>
  <si>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</si>
  <si>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</si>
  <si>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</si>
  <si>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</si>
  <si>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</si>
  <si>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</si>
  <si>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</si>
  <si>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</si>
  <si>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</si>
  <si>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</si>
  <si>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</si>
  <si>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</si>
  <si>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</si>
  <si>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</si>
  <si>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</si>
  <si>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</si>
  <si>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</si>
  <si>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</si>
  <si>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</si>
  <si>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</si>
  <si>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</si>
  <si>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</si>
  <si>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</si>
  <si>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</si>
  <si>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</si>
  <si>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</si>
  <si>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</si>
  <si>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</si>
  <si>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</si>
  <si>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</si>
  <si>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</si>
  <si>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</si>
  <si>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</si>
  <si>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</si>
  <si>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</si>
  <si>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</si>
  <si>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</si>
  <si>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</si>
  <si>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</si>
  <si>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</si>
  <si>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</si>
  <si>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</si>
  <si>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</si>
  <si>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</si>
  <si>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</si>
  <si>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</si>
  <si>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</si>
  <si>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</si>
  <si>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</si>
  <si>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</si>
  <si>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</si>
  <si>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</si>
  <si>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</si>
  <si>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</si>
  <si>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</si>
  <si>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</si>
  <si>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</si>
  <si>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</si>
  <si>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</si>
  <si>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</si>
  <si>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</si>
  <si>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</si>
  <si>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</si>
  <si>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</si>
  <si>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</si>
  <si>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</si>
  <si>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</si>
  <si>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</si>
  <si>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</si>
  <si>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</si>
  <si>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</si>
  <si>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</si>
  <si>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</si>
  <si>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</si>
  <si>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</si>
  <si>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</si>
  <si>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</si>
  <si>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</si>
  <si>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</si>
  <si>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</si>
  <si>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</si>
  <si>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</si>
  <si>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</si>
  <si>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</si>
  <si>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</si>
  <si>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</si>
  <si>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</si>
  <si>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</si>
  <si>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</si>
  <si>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</si>
  <si>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</si>
  <si>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</si>
  <si>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</si>
  <si>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</si>
  <si>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</si>
  <si>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</si>
  <si>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</si>
  <si>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</si>
  <si>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</si>
  <si>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</si>
  <si>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</si>
  <si>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</si>
  <si>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</si>
  <si>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</si>
  <si>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</si>
  <si>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</si>
  <si>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</si>
  <si>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</si>
  <si>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</si>
  <si>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</si>
  <si>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</si>
  <si>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</si>
  <si>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</si>
  <si>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</si>
  <si>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</si>
  <si>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</si>
  <si>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</si>
  <si>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</si>
  <si>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</si>
  <si>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</si>
  <si>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</si>
  <si>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</si>
  <si>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</si>
  <si>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</si>
  <si>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</si>
  <si>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</si>
  <si>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</si>
  <si>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</si>
  <si>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</si>
  <si>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</si>
  <si>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</si>
  <si>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</si>
  <si>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</si>
  <si>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</si>
  <si>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</si>
  <si>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</si>
  <si>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</si>
  <si>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</si>
  <si>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</si>
  <si>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</si>
  <si>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</si>
  <si>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</si>
  <si>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</si>
  <si>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</si>
  <si>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</si>
  <si>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</si>
  <si>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</si>
  <si>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</si>
  <si>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</si>
  <si>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</si>
  <si>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</si>
  <si>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</si>
  <si>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</si>
  <si>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</si>
  <si>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</si>
  <si>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</si>
  <si>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</si>
  <si>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</si>
  <si>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</si>
  <si>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</si>
  <si>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</si>
  <si>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</si>
  <si>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</si>
  <si>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</si>
  <si>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</si>
  <si>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</si>
  <si>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</si>
  <si>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</si>
  <si>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</si>
  <si>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</si>
  <si>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</si>
  <si>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</si>
  <si>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</si>
  <si>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</si>
  <si>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</si>
  <si>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</si>
  <si>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</si>
  <si>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</si>
  <si>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</si>
  <si>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</si>
  <si>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</si>
  <si>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</si>
  <si>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</si>
  <si>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</si>
  <si>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</si>
  <si>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</si>
  <si>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</si>
  <si>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</si>
  <si>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</si>
  <si>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</si>
  <si>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</si>
  <si>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</si>
  <si>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</si>
  <si>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</si>
  <si>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</si>
  <si>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</si>
  <si>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</si>
  <si>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</si>
  <si>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</si>
  <si>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</si>
  <si>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</si>
  <si>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</si>
  <si>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</si>
  <si>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</si>
  <si>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</si>
  <si>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</si>
  <si>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</si>
  <si>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</si>
  <si>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</si>
  <si>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</si>
  <si>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</si>
  <si>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</si>
  <si>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</si>
  <si>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</si>
  <si>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</si>
  <si>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</si>
  <si>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</si>
  <si>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</si>
  <si>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</si>
  <si>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</si>
  <si>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</si>
  <si>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</si>
  <si>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</si>
  <si>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</si>
  <si>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</si>
  <si>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</si>
  <si>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</si>
  <si>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</si>
  <si>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</si>
  <si>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</si>
  <si>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</si>
  <si>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</si>
  <si>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</si>
  <si>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</si>
  <si>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</si>
  <si>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</si>
  <si>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</si>
  <si>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</si>
  <si>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</si>
  <si>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</si>
  <si>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</si>
  <si>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</si>
  <si>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</si>
  <si>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</si>
  <si>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</si>
  <si>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</si>
  <si>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</si>
  <si>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</si>
  <si>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</si>
  <si>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</si>
  <si>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</si>
  <si>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</si>
  <si>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</si>
  <si>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</si>
  <si>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</si>
  <si>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</si>
  <si>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</si>
  <si>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</si>
  <si>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</si>
  <si>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</si>
  <si>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</si>
  <si>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</si>
  <si>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</si>
  <si>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</si>
  <si>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</si>
  <si>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</si>
  <si>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</si>
  <si>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</si>
  <si>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</si>
  <si>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</si>
  <si>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</si>
  <si>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</si>
  <si>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</si>
  <si>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</si>
  <si>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</si>
  <si>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</si>
  <si>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</si>
  <si>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</si>
  <si>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</si>
  <si>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</si>
  <si>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</si>
  <si>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</si>
  <si>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</si>
  <si>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</si>
  <si>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</si>
  <si>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</si>
  <si>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</si>
  <si>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</si>
  <si>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</si>
  <si>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</si>
  <si>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</si>
  <si>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</si>
  <si>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</si>
  <si>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</si>
  <si>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</si>
  <si>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</si>
  <si>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</si>
  <si>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</si>
  <si>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</si>
  <si>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</si>
  <si>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</si>
  <si>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</si>
  <si>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</si>
  <si>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</si>
  <si>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</si>
  <si>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</si>
  <si>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</si>
  <si>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</si>
  <si>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</si>
  <si>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</si>
  <si>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</si>
  <si>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</si>
  <si>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</si>
  <si>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</si>
  <si>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</si>
  <si>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</si>
  <si>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</si>
  <si>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</si>
  <si>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</si>
  <si>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</si>
  <si>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</si>
  <si>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</si>
  <si>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</si>
  <si>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</si>
  <si>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</si>
  <si>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</si>
  <si>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</si>
  <si>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</si>
  <si>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</si>
  <si>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</si>
  <si>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</si>
  <si>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</si>
  <si>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</si>
  <si>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</si>
  <si>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</si>
  <si>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</si>
  <si>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</si>
  <si>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</si>
  <si>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</si>
  <si>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</si>
  <si>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</si>
  <si>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</si>
  <si>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</si>
  <si>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</si>
  <si>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</si>
  <si>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</si>
  <si>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</si>
  <si>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</si>
  <si>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</si>
  <si>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</si>
  <si>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</si>
  <si>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</si>
  <si>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</si>
  <si>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</si>
  <si>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</si>
  <si>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</si>
  <si>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</si>
  <si>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</si>
  <si>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</si>
  <si>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</si>
  <si>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</si>
  <si>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</si>
  <si>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</si>
  <si>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</si>
  <si>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</si>
  <si>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</si>
  <si>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</si>
  <si>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</si>
  <si>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</si>
  <si>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</si>
  <si>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</si>
  <si>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</si>
  <si>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</si>
  <si>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</si>
  <si>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</si>
  <si>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</si>
  <si>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</si>
  <si>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</si>
  <si>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</si>
  <si>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</si>
  <si>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</si>
  <si>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</si>
  <si>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</si>
  <si>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</si>
  <si>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</si>
  <si>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</si>
  <si>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</si>
  <si>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</si>
  <si>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</si>
  <si>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</si>
  <si>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</si>
  <si>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</si>
  <si>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</si>
  <si>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</si>
  <si>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</si>
  <si>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</si>
  <si>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</si>
  <si>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</si>
  <si>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</si>
  <si>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</si>
  <si>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</si>
  <si>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</si>
  <si>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</si>
  <si>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</si>
  <si>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</si>
  <si>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</si>
  <si>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</si>
  <si>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</si>
  <si>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</si>
  <si>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</si>
  <si>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</si>
  <si>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</si>
  <si>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</si>
  <si>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</si>
  <si>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</si>
  <si>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</si>
  <si>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</si>
  <si>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</si>
  <si>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</si>
  <si>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</si>
  <si>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</si>
  <si>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</si>
  <si>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</si>
  <si>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</si>
  <si>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</si>
  <si>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</si>
  <si>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</si>
  <si>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</si>
  <si>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</si>
  <si>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</si>
  <si>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</si>
  <si>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</si>
  <si>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</si>
  <si>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</si>
  <si>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</si>
  <si>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</si>
  <si>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</si>
  <si>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</si>
  <si>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</si>
  <si>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</si>
  <si>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</si>
  <si>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</si>
  <si>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</si>
  <si>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</si>
  <si>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</si>
  <si>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</si>
  <si>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</si>
  <si>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</si>
  <si>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</si>
  <si>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</si>
  <si>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</si>
  <si>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</si>
  <si>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</si>
  <si>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</si>
  <si>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</si>
  <si>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</si>
  <si>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</si>
  <si>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</si>
  <si>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</si>
  <si>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</si>
  <si>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</si>
  <si>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</si>
  <si>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</si>
  <si>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</si>
  <si>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</si>
  <si>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</si>
  <si>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</si>
  <si>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</si>
  <si>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</si>
  <si>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</si>
  <si>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</si>
  <si>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</si>
  <si>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</si>
  <si>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</si>
  <si>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</si>
  <si>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</si>
  <si>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</si>
  <si>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</si>
  <si>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</si>
  <si>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</si>
  <si>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</si>
  <si>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</si>
  <si>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</si>
  <si>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</si>
  <si>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</si>
  <si>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</si>
  <si>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</si>
  <si>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</si>
  <si>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</si>
  <si>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</si>
  <si>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</si>
  <si>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</si>
  <si>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</si>
  <si>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</si>
  <si>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</si>
  <si>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</si>
  <si>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</si>
  <si>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</si>
  <si>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</si>
  <si>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</si>
  <si>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</si>
  <si>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</si>
  <si>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</si>
  <si>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</si>
  <si>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</si>
  <si>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</si>
  <si>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</si>
  <si>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</si>
  <si>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</si>
  <si>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</si>
  <si>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</si>
  <si>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</si>
  <si>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</si>
  <si>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</si>
  <si>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</si>
  <si>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</si>
  <si>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</si>
  <si>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</si>
  <si>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</si>
  <si>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</si>
  <si>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</si>
  <si>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</si>
  <si>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</si>
  <si>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</si>
  <si>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</si>
  <si>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</si>
  <si>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</si>
  <si>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</si>
  <si>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</si>
  <si>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</si>
  <si>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</si>
  <si>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</si>
  <si>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</si>
  <si>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</si>
  <si>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</si>
  <si>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</si>
  <si>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</si>
  <si>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</si>
  <si>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</si>
  <si>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</si>
  <si>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</si>
  <si>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</si>
  <si>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</si>
  <si>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</si>
  <si>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</si>
  <si>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</si>
  <si>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</si>
  <si>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</si>
  <si>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</si>
  <si>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</si>
  <si>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</si>
  <si>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</si>
  <si>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</si>
  <si>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</si>
  <si>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</si>
  <si>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</si>
  <si>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</si>
  <si>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</si>
  <si>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</si>
  <si>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</si>
  <si>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</si>
  <si>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</si>
  <si>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</si>
  <si>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</si>
  <si>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</si>
  <si>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</si>
  <si>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</si>
  <si>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</si>
  <si>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</si>
  <si>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</si>
  <si>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</si>
  <si>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</si>
  <si>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</si>
  <si>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</si>
  <si>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</si>
  <si>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</si>
  <si>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</si>
  <si>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</si>
  <si>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</si>
  <si>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</si>
  <si>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</si>
  <si>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</si>
  <si>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</si>
  <si>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</si>
  <si>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</si>
  <si>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</si>
  <si>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</si>
  <si>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</si>
  <si>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</si>
  <si>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</si>
  <si>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</si>
  <si>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</si>
  <si>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</si>
  <si>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</si>
  <si>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</si>
  <si>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</si>
  <si>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</si>
  <si>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</si>
  <si>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</si>
  <si>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</si>
  <si>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</si>
  <si>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</si>
  <si>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</si>
  <si>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</si>
  <si>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</si>
  <si>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</si>
  <si>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</si>
  <si>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</si>
  <si>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</si>
  <si>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</si>
  <si>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</si>
  <si>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</si>
  <si>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</si>
  <si>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</si>
  <si>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</si>
  <si>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</si>
  <si>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</si>
  <si>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</si>
  <si>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</si>
  <si>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</si>
  <si>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</si>
  <si>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</si>
  <si>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</si>
  <si>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</si>
  <si>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</si>
  <si>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</si>
  <si>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</si>
  <si>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</si>
  <si>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</si>
  <si>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</si>
  <si>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</si>
  <si>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</si>
  <si>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</si>
  <si>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</si>
  <si>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</si>
  <si>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</si>
  <si>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</si>
  <si>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</si>
  <si>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</si>
  <si>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</si>
  <si>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</si>
  <si>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</si>
  <si>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</si>
  <si>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</si>
  <si>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</si>
  <si>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</si>
  <si>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</si>
  <si>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</si>
  <si>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</si>
  <si>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</si>
  <si>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</si>
  <si>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</si>
  <si>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</si>
  <si>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</si>
  <si>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</si>
  <si>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</si>
  <si>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</si>
  <si>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</si>
  <si>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</si>
  <si>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</si>
  <si>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</si>
  <si>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</si>
  <si>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</si>
  <si>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</si>
  <si>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</si>
  <si>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</si>
  <si>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</si>
  <si>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</si>
  <si>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</si>
  <si>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</si>
  <si>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</si>
  <si>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</si>
  <si>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</si>
  <si>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</si>
  <si>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</si>
  <si>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</si>
  <si>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</si>
  <si>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</si>
  <si>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</si>
  <si>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</si>
  <si>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</si>
  <si>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</si>
  <si>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</si>
  <si>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</si>
  <si>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</si>
  <si>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</si>
  <si>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</si>
  <si>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</si>
  <si>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</si>
  <si>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</si>
  <si>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</si>
  <si>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</si>
  <si>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</si>
  <si>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</si>
  <si>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</si>
  <si>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</si>
  <si>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</si>
  <si>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</si>
  <si>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</si>
  <si>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</si>
  <si>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</si>
  <si>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</si>
  <si>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</si>
  <si>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</si>
  <si>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</si>
  <si>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</si>
  <si>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</si>
  <si>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</si>
  <si>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</si>
  <si>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</si>
  <si>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</si>
  <si>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</si>
  <si>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</si>
  <si>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</si>
  <si>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</si>
  <si>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</si>
  <si>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</si>
  <si>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</si>
  <si>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</si>
  <si>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</si>
  <si>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</si>
  <si>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</si>
  <si>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</si>
  <si>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</si>
  <si>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</si>
  <si>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</si>
  <si>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</si>
  <si>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</si>
  <si>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</si>
  <si>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</si>
  <si>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</si>
  <si>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</si>
  <si>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</si>
  <si>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</si>
  <si>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</si>
  <si>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</si>
  <si>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</si>
  <si>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</si>
  <si>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</si>
  <si>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</si>
  <si>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</si>
  <si>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</si>
  <si>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</si>
  <si>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</si>
  <si>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</si>
  <si>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</si>
  <si>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</si>
  <si>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</si>
  <si>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</si>
  <si>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</si>
  <si>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</si>
  <si>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</si>
  <si>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</si>
  <si>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</si>
  <si>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</si>
  <si>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</si>
  <si>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</si>
  <si>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</si>
  <si>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</si>
  <si>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</si>
  <si>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</si>
  <si>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</si>
  <si>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</si>
  <si>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</si>
  <si>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</si>
  <si>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</si>
  <si>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</si>
  <si>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</si>
  <si>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</si>
  <si>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</si>
  <si>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</si>
  <si>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</si>
  <si>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</si>
  <si>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</si>
  <si>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</si>
  <si>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</si>
  <si>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</si>
  <si>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</si>
  <si>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</si>
  <si>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</si>
  <si>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</si>
  <si>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</si>
  <si>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</si>
  <si>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</si>
  <si>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</si>
  <si>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</si>
  <si>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</si>
  <si>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</si>
  <si>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</si>
  <si>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</si>
  <si>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</si>
  <si>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</si>
  <si>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</si>
  <si>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</si>
  <si>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</si>
  <si>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</si>
  <si>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</si>
  <si>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</si>
  <si>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</si>
  <si>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</si>
  <si>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</si>
  <si>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</si>
  <si>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</si>
  <si>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</si>
  <si>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</si>
  <si>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</si>
  <si>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</si>
  <si>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</si>
  <si>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</si>
  <si>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</si>
  <si>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</si>
  <si>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</si>
  <si>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</si>
  <si>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</si>
  <si>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</si>
  <si>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</si>
  <si>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</si>
  <si>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</si>
  <si>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</si>
  <si>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</si>
  <si>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</si>
  <si>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</si>
  <si>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</si>
  <si>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</si>
  <si>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</si>
  <si>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</si>
  <si>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</si>
  <si>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</si>
  <si>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</si>
  <si>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</si>
  <si>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</si>
  <si>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</si>
  <si>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</si>
  <si>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</si>
  <si>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</si>
  <si>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</si>
  <si>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</si>
  <si>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</si>
  <si>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</si>
  <si>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</si>
  <si>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</si>
  <si>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</si>
  <si>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</si>
  <si>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</si>
  <si>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</si>
  <si>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</si>
  <si>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</si>
  <si>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</si>
  <si>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</si>
  <si>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</si>
  <si>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</si>
  <si>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</si>
  <si>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</si>
  <si>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</si>
  <si>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</si>
  <si>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</si>
  <si>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</si>
  <si>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</si>
  <si>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</si>
  <si>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</si>
  <si>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</si>
  <si>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</si>
  <si>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</si>
  <si>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</si>
  <si>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</si>
  <si>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</si>
  <si>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</si>
  <si>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</si>
  <si>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</si>
  <si>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</si>
  <si>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</si>
  <si>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</si>
  <si>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</si>
  <si>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</si>
  <si>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</si>
  <si>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</si>
  <si>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</si>
  <si>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</si>
  <si>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</si>
  <si>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</si>
  <si>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</si>
  <si>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</si>
  <si>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</si>
  <si>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</si>
  <si>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</si>
  <si>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</si>
  <si>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</si>
  <si>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</si>
  <si>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</si>
  <si>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</si>
  <si>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</si>
  <si>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</si>
  <si>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</si>
  <si>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</si>
  <si>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</si>
  <si>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</si>
  <si>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</si>
  <si>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</si>
  <si>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</si>
  <si>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</si>
  <si>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</si>
  <si>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</si>
  <si>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</si>
  <si>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</si>
  <si>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</si>
  <si>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</si>
  <si>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</si>
  <si>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</si>
  <si>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</si>
  <si>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</si>
  <si>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</si>
  <si>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</si>
  <si>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</si>
  <si>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</si>
  <si>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</si>
  <si>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</si>
  <si>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</si>
  <si>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</si>
  <si>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</si>
  <si>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</si>
  <si>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</si>
  <si>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</si>
  <si>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</si>
  <si>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</si>
  <si>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</si>
  <si>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</si>
  <si>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</si>
  <si>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</si>
  <si>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</si>
  <si>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</si>
  <si>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</si>
  <si>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</si>
  <si>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</si>
  <si>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</si>
  <si>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</si>
  <si>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</si>
  <si>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</si>
  <si>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</si>
  <si>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</si>
  <si>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</si>
  <si>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</si>
  <si>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</si>
  <si>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</si>
  <si>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</si>
  <si>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</si>
  <si>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</si>
  <si>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</si>
  <si>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</si>
  <si>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</si>
  <si>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</si>
  <si>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</si>
  <si>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</si>
  <si>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</si>
  <si>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</si>
  <si>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</si>
  <si>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</si>
  <si>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</si>
  <si>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</si>
  <si>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</si>
  <si>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</si>
  <si>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</si>
  <si>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</si>
  <si>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</si>
  <si>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</si>
  <si>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</si>
  <si>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</si>
  <si>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</si>
  <si>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</si>
  <si>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</si>
  <si>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</si>
  <si>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</si>
  <si>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</si>
  <si>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</si>
  <si>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</si>
  <si>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</si>
  <si>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</si>
  <si>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</si>
  <si>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</si>
  <si>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</si>
  <si>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</si>
  <si>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</si>
  <si>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</si>
  <si>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</si>
  <si>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</si>
  <si>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</si>
  <si>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</si>
  <si>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</si>
  <si>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</si>
  <si>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</si>
  <si>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</si>
  <si>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</si>
  <si>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</si>
  <si>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</si>
  <si>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</si>
  <si>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</si>
  <si>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</si>
  <si>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</si>
  <si>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</si>
  <si>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</si>
  <si>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</si>
  <si>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</si>
  <si>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</si>
  <si>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</si>
  <si>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</si>
  <si>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</si>
  <si>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</si>
  <si>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</si>
  <si>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</si>
  <si>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</si>
  <si>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</si>
  <si>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</si>
  <si>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</si>
  <si>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</si>
  <si>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</si>
  <si>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</si>
  <si>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</si>
  <si>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</si>
  <si>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</si>
  <si>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</si>
  <si>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</si>
  <si>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</si>
  <si>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</si>
  <si>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</si>
  <si>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</si>
  <si>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</si>
  <si>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</si>
  <si>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</si>
  <si>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</si>
  <si>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</si>
  <si>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</si>
  <si>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</si>
  <si>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</si>
  <si>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</si>
  <si>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</si>
  <si>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</si>
  <si>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</si>
  <si>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</si>
  <si>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</si>
  <si>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</si>
  <si>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</si>
  <si>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</si>
  <si>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</si>
  <si>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</si>
  <si>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</si>
  <si>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</si>
  <si>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</si>
  <si>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</si>
  <si>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</si>
  <si>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</si>
  <si>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</si>
  <si>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</si>
  <si>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</si>
  <si>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</si>
  <si>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</si>
  <si>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</si>
  <si>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</si>
  <si>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</si>
  <si>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</si>
  <si>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</si>
  <si>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</si>
  <si>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</si>
  <si>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</si>
  <si>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</si>
  <si>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</si>
  <si>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</si>
  <si>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</si>
  <si>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</si>
  <si>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</si>
  <si>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</si>
  <si>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</si>
  <si>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</si>
  <si>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</si>
  <si>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</si>
  <si>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</si>
  <si>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</si>
  <si>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</si>
  <si>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</si>
  <si>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</si>
  <si>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</si>
  <si>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</si>
  <si>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</si>
  <si>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</si>
  <si>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</si>
  <si>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</si>
  <si>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</si>
  <si>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</si>
  <si>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</si>
  <si>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</si>
  <si>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</si>
  <si>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</si>
  <si>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</si>
  <si>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</si>
  <si>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</si>
  <si>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</si>
  <si>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</si>
  <si>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</si>
  <si>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</si>
  <si>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</si>
  <si>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</si>
  <si>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</si>
  <si>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</si>
  <si>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</si>
  <si>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</si>
  <si>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</si>
  <si>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</si>
  <si>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</si>
  <si>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</si>
  <si>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</si>
  <si>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</si>
  <si>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</si>
  <si>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</si>
  <si>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</si>
  <si>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</si>
  <si>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</si>
  <si>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</si>
  <si>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</si>
  <si>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</si>
  <si>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</si>
  <si>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</si>
  <si>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</si>
  <si>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</si>
  <si>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</si>
  <si>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</si>
  <si>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</si>
  <si>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</si>
  <si>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</si>
  <si>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</si>
  <si>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</si>
  <si>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</si>
  <si>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</si>
  <si>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</si>
  <si>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</si>
  <si>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</si>
  <si>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</si>
  <si>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</si>
  <si>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</si>
  <si>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</si>
  <si>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</si>
  <si>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</si>
  <si>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</si>
  <si>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</si>
  <si>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</si>
  <si>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</si>
  <si>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</si>
  <si>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</si>
  <si>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</si>
  <si>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</si>
  <si>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</si>
  <si>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</si>
  <si>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</si>
  <si>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</si>
  <si>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</si>
  <si>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</si>
  <si>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</si>
  <si>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</si>
  <si>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</si>
  <si>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</si>
  <si>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</si>
  <si>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</si>
  <si>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</si>
  <si>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</si>
  <si>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</si>
  <si>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</si>
  <si>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</si>
  <si>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</si>
  <si>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</si>
  <si>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</si>
  <si>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</si>
  <si>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</si>
  <si>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</si>
  <si>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</si>
  <si>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</si>
  <si>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</si>
  <si>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</si>
  <si>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</si>
  <si>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</si>
  <si>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</si>
  <si>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</si>
  <si>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</si>
  <si>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</si>
  <si>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</si>
  <si>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</si>
  <si>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</si>
  <si>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</si>
  <si>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</si>
  <si>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</si>
  <si>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</si>
  <si>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</si>
  <si>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</si>
  <si>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</si>
  <si>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</si>
  <si>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</si>
  <si>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</si>
  <si>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</si>
  <si>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</si>
  <si>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</si>
  <si>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</si>
  <si>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</si>
  <si>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</si>
  <si>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</si>
  <si>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</si>
  <si>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</si>
  <si>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</si>
  <si>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</si>
  <si>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</si>
  <si>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</si>
  <si>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</si>
  <si>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</si>
  <si>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</si>
  <si>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</si>
  <si>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</si>
  <si>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</si>
  <si>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</si>
  <si>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</si>
  <si>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</si>
  <si>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</si>
  <si>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</si>
  <si>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</si>
  <si>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</si>
  <si>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</si>
  <si>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</si>
  <si>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</si>
  <si>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</si>
  <si>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</si>
  <si>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</si>
  <si>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</si>
  <si>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</si>
  <si>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</si>
  <si>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</si>
  <si>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</si>
  <si>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</si>
  <si>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</si>
  <si>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</si>
  <si>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</si>
  <si>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</si>
  <si>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</si>
  <si>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</si>
  <si>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</si>
  <si>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</si>
  <si>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</si>
  <si>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</si>
  <si>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</si>
  <si>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</si>
  <si>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</si>
  <si>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</si>
  <si>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</si>
  <si>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</si>
  <si>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</si>
  <si>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</si>
  <si>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</si>
  <si>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</si>
  <si>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</si>
  <si>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</si>
  <si>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</si>
  <si>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</si>
  <si>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</si>
  <si>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</si>
  <si>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</si>
  <si>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</si>
  <si>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</si>
  <si>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</si>
  <si>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</si>
  <si>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</si>
  <si>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</si>
  <si>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</si>
  <si>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</si>
  <si>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</si>
  <si>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</si>
  <si>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</si>
  <si>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</si>
  <si>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</si>
  <si>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</si>
  <si>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</si>
  <si>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</si>
  <si>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</si>
  <si>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</si>
  <si>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</si>
  <si>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</si>
  <si>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</si>
  <si>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</si>
  <si>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</si>
  <si>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</si>
  <si>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</si>
  <si>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</si>
  <si>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</si>
  <si>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</si>
  <si>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</si>
  <si>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</si>
  <si>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</si>
  <si>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</si>
  <si>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</si>
  <si>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</si>
  <si>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</si>
  <si>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</si>
  <si>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</si>
  <si>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</si>
  <si>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</si>
  <si>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</si>
  <si>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</si>
  <si>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</si>
  <si>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</si>
  <si>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</si>
  <si>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</si>
  <si>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</si>
  <si>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</si>
  <si>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</si>
  <si>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</si>
  <si>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</si>
  <si>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</si>
  <si>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</si>
  <si>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</si>
  <si>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</si>
  <si>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</si>
  <si>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</si>
  <si>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</si>
  <si>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</si>
  <si>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</si>
  <si>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</si>
  <si>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</si>
  <si>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</si>
  <si>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</si>
  <si>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</si>
  <si>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</si>
  <si>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</si>
  <si>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</si>
  <si>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</si>
  <si>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</si>
  <si>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</si>
  <si>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</si>
  <si>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</si>
  <si>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</si>
  <si>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</si>
  <si>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</si>
  <si>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</si>
  <si>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</si>
  <si>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</si>
  <si>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</si>
  <si>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</si>
  <si>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</si>
  <si>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</si>
  <si>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</si>
  <si>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</si>
  <si>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</si>
  <si>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</si>
  <si>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</si>
  <si>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</si>
  <si>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</si>
  <si>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</si>
  <si>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</si>
  <si>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</si>
  <si>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</si>
  <si>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</si>
  <si>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</si>
  <si>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</si>
  <si>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</si>
  <si>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</si>
  <si>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</si>
  <si>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</si>
  <si>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</si>
  <si>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</si>
  <si>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</si>
  <si>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</si>
  <si>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</si>
  <si>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</si>
  <si>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</si>
  <si>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</si>
  <si>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</si>
  <si>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</si>
  <si>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</si>
  <si>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</si>
  <si>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</si>
  <si>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</si>
  <si>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</si>
  <si>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</si>
  <si>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</si>
  <si>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</si>
  <si>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</si>
  <si>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</si>
  <si>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</si>
  <si>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</si>
  <si>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</si>
  <si>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</si>
  <si>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</si>
  <si>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</si>
  <si>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</si>
  <si>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</si>
  <si>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</si>
  <si>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</si>
  <si>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</si>
  <si>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</si>
  <si>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</si>
  <si>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</si>
  <si>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</si>
  <si>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</si>
  <si>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</si>
  <si>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</si>
  <si>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</si>
  <si>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</si>
  <si>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</si>
  <si>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</si>
  <si>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</si>
  <si>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</si>
  <si>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</si>
  <si>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</si>
  <si>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</si>
  <si>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</si>
  <si>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</si>
  <si>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</si>
  <si>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</si>
  <si>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</si>
  <si>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</si>
  <si>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</si>
  <si>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</si>
  <si>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</si>
  <si>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</si>
  <si>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</si>
  <si>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</si>
  <si>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</si>
  <si>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</si>
  <si>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</si>
  <si>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</si>
  <si>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</si>
  <si>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</si>
  <si>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</si>
  <si>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</si>
  <si>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</si>
  <si>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</si>
  <si>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</si>
  <si>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</si>
  <si>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</si>
  <si>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</si>
  <si>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</si>
  <si>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</si>
  <si>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</si>
  <si>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</si>
  <si>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</si>
  <si>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</si>
  <si>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</si>
  <si>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</si>
  <si>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</si>
  <si>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</si>
  <si>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</si>
  <si>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</si>
  <si>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</si>
  <si>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</si>
  <si>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</si>
  <si>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</si>
  <si>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</si>
  <si>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</si>
  <si>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</si>
  <si>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</si>
  <si>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</si>
  <si>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</si>
  <si>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</si>
  <si>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</si>
  <si>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</si>
  <si>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</si>
  <si>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</si>
  <si>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</si>
  <si>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</si>
  <si>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</si>
  <si>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</si>
  <si>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</si>
  <si>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</si>
  <si>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</si>
  <si>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</si>
  <si>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</si>
  <si>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</si>
  <si>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</si>
  <si>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</si>
  <si>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</si>
  <si>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</si>
  <si>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</si>
  <si>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</si>
  <si>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</si>
  <si>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</si>
  <si>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</si>
  <si>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</si>
  <si>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</si>
  <si>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</si>
  <si>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</si>
  <si>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</si>
  <si>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</si>
  <si>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</si>
  <si>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</si>
  <si>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</si>
  <si>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</si>
  <si>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</si>
  <si>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</si>
  <si>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</si>
  <si>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</si>
  <si>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</si>
  <si>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</si>
  <si>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</si>
  <si>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</si>
  <si>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</si>
  <si>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</si>
  <si>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</si>
  <si>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</si>
  <si>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</si>
  <si>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</si>
  <si>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</si>
  <si>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</si>
  <si>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</si>
  <si>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</si>
  <si>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</si>
  <si>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</si>
  <si>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</si>
  <si>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</si>
  <si>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</si>
  <si>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</si>
  <si>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</si>
  <si>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</si>
  <si>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</si>
  <si>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</si>
  <si>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</si>
  <si>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</si>
  <si>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</si>
  <si>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</si>
  <si>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</si>
  <si>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</si>
  <si>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</si>
  <si>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</si>
  <si>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</si>
  <si>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</si>
  <si>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</si>
  <si>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</si>
  <si>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</si>
  <si>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</si>
  <si>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</si>
  <si>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</si>
  <si>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</si>
  <si>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</si>
  <si>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</si>
  <si>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</si>
  <si>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</si>
  <si>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</si>
  <si>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</si>
  <si>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</si>
  <si>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</si>
  <si>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</si>
  <si>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</si>
  <si>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</si>
  <si>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</si>
  <si>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</si>
  <si>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</si>
  <si>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</si>
  <si>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</si>
  <si>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</si>
  <si>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</si>
  <si>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</si>
  <si>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</si>
  <si>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</si>
  <si>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</si>
  <si>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</si>
  <si>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</si>
  <si>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</si>
  <si>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</si>
  <si>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</si>
  <si>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</si>
  <si>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</si>
  <si>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</si>
  <si>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</si>
  <si>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</si>
  <si>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</si>
  <si>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</si>
  <si>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</si>
  <si>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</si>
  <si>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</si>
  <si>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</si>
  <si>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</si>
  <si>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</si>
  <si>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</si>
  <si>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</si>
  <si>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</si>
  <si>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</si>
  <si>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</si>
  <si>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</si>
  <si>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</si>
  <si>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</si>
  <si>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</si>
  <si>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</si>
  <si>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</si>
  <si>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</si>
  <si>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</si>
  <si>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</si>
  <si>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</si>
  <si>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</si>
  <si>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</si>
  <si>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</si>
  <si>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</si>
  <si>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</si>
  <si>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</si>
  <si>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</si>
  <si>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</si>
  <si>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</si>
  <si>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</si>
  <si>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</si>
  <si>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</si>
  <si>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</si>
  <si>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</si>
  <si>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</si>
  <si>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</si>
  <si>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</si>
  <si>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</si>
  <si>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</si>
  <si>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</si>
  <si>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</si>
  <si>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</si>
  <si>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</si>
  <si>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</si>
  <si>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</si>
  <si>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</si>
  <si>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</si>
  <si>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</si>
  <si>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</si>
  <si>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</si>
  <si>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</si>
  <si>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</si>
  <si>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</si>
  <si>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</si>
  <si>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</si>
  <si>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</si>
  <si>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</si>
  <si>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</si>
  <si>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</si>
  <si>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</si>
  <si>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</si>
  <si>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</si>
  <si>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</si>
  <si>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</si>
  <si>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</si>
  <si>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</si>
  <si>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</si>
  <si>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</si>
  <si>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</si>
  <si>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</si>
  <si>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</si>
  <si>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</si>
  <si>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</si>
  <si>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</si>
  <si>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</si>
  <si>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</si>
  <si>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</si>
  <si>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</si>
  <si>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</si>
  <si>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</si>
  <si>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</si>
  <si>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</si>
  <si>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</si>
  <si>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</si>
  <si>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</si>
  <si>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</si>
  <si>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</si>
  <si>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</si>
  <si>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</si>
  <si>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</si>
  <si>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</si>
  <si>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</si>
  <si>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</si>
  <si>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</si>
  <si>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</si>
  <si>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</si>
  <si>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</si>
  <si>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</si>
  <si>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</si>
  <si>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</si>
  <si>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</si>
  <si>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</si>
  <si>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</si>
  <si>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</si>
  <si>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</si>
  <si>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</si>
  <si>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</si>
  <si>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</si>
  <si>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</si>
  <si>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</si>
  <si>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</si>
  <si>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</si>
  <si>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</si>
  <si>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</si>
  <si>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</si>
  <si>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</si>
  <si>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</si>
  <si>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</si>
  <si>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</si>
  <si>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</si>
  <si>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</si>
  <si>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</si>
  <si>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</si>
  <si>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</si>
  <si>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</si>
  <si>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</si>
  <si>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</si>
  <si>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</si>
  <si>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</si>
  <si>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</si>
  <si>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</si>
  <si>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</si>
  <si>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</si>
  <si>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</si>
  <si>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</si>
  <si>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</si>
  <si>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</si>
  <si>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</si>
  <si>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</si>
  <si>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</si>
  <si>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</si>
  <si>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</si>
  <si>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</si>
  <si>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</si>
  <si>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</si>
  <si>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</si>
  <si>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</si>
  <si>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</si>
  <si>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</si>
  <si>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</si>
  <si>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</si>
  <si>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</si>
  <si>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</si>
  <si>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</si>
  <si>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</si>
  <si>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</si>
  <si>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</si>
  <si>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</si>
  <si>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</si>
  <si>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</si>
  <si>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</si>
  <si>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</si>
  <si>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</si>
  <si>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</si>
  <si>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</si>
  <si>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</si>
  <si>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</si>
  <si>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</si>
  <si>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</si>
  <si>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</si>
  <si>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</si>
  <si>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</si>
  <si>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</si>
  <si>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</si>
  <si>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</si>
  <si>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</si>
  <si>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</si>
  <si>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</si>
  <si>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</si>
  <si>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</si>
  <si>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</si>
  <si>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</si>
  <si>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</si>
  <si>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</si>
  <si>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</si>
  <si>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</si>
  <si>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</si>
  <si>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</si>
  <si>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</si>
  <si>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</si>
  <si>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</si>
  <si>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</si>
  <si>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</si>
  <si>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</si>
  <si>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</si>
  <si>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</si>
  <si>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</si>
  <si>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</si>
  <si>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</si>
  <si>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</si>
  <si>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</si>
  <si>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</si>
  <si>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</si>
  <si>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</si>
  <si>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</si>
  <si>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</si>
  <si>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</si>
  <si>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</si>
  <si>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</si>
  <si>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</si>
  <si>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</si>
  <si>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</si>
  <si>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</si>
  <si>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</si>
  <si>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</si>
  <si>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</si>
  <si>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</si>
  <si>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</si>
  <si>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</si>
  <si>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</si>
  <si>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</si>
  <si>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</si>
  <si>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</si>
  <si>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</si>
  <si>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</si>
  <si>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</si>
  <si>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</si>
  <si>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</si>
  <si>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</si>
  <si>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</si>
  <si>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</si>
  <si>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</si>
  <si>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</si>
  <si>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</si>
  <si>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</si>
  <si>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</si>
  <si>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</si>
  <si>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</si>
  <si>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</si>
  <si>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</si>
  <si>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</si>
  <si>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</si>
  <si>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</si>
  <si>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</si>
  <si>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</si>
  <si>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</si>
  <si>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</si>
  <si>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</si>
  <si>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</si>
  <si>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</si>
  <si>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</si>
  <si>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</si>
  <si>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</si>
  <si>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</si>
  <si>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</si>
  <si>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</si>
  <si>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</si>
  <si>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</si>
  <si>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</si>
  <si>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</si>
  <si>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</si>
  <si>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</si>
  <si>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</si>
  <si>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</si>
  <si>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</si>
  <si>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</si>
  <si>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</si>
  <si>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</si>
  <si>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</si>
  <si>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</si>
  <si>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</si>
  <si>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</si>
  <si>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</si>
  <si>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</si>
  <si>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</si>
  <si>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</si>
  <si>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</si>
  <si>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</si>
  <si>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</si>
  <si>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</si>
  <si>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</si>
  <si>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</si>
  <si>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</si>
  <si>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</si>
  <si>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</si>
  <si>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</si>
  <si>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</si>
  <si>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</si>
  <si>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</si>
  <si>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</si>
  <si>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</si>
  <si>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</si>
  <si>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</si>
  <si>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</si>
  <si>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</si>
  <si>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</si>
  <si>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</si>
  <si>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</si>
  <si>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</si>
  <si>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</si>
  <si>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</si>
  <si>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</si>
  <si>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</si>
  <si>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</si>
  <si>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</si>
  <si>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</si>
  <si>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</si>
  <si>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</si>
  <si>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</si>
  <si>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</si>
  <si>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</si>
  <si>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</si>
  <si>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</si>
  <si>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</si>
  <si>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</si>
  <si>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</si>
  <si>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</si>
  <si>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</si>
  <si>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</si>
  <si>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</si>
  <si>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</si>
  <si>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</si>
  <si>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</si>
  <si>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</si>
  <si>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</si>
  <si>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</si>
  <si>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</si>
  <si>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</si>
  <si>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</si>
  <si>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</si>
  <si>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</si>
  <si>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</si>
  <si>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</si>
  <si>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</si>
  <si>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</si>
  <si>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</si>
  <si>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</si>
  <si>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</si>
  <si>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</si>
  <si>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</si>
  <si>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</si>
  <si>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</si>
  <si>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</si>
  <si>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</si>
  <si>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</si>
  <si>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</si>
  <si>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</si>
  <si>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</si>
  <si>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</si>
  <si>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</si>
  <si>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</si>
  <si>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</si>
  <si>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</si>
  <si>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</si>
  <si>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</si>
  <si>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</si>
  <si>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</si>
  <si>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</si>
  <si>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</si>
  <si>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</si>
  <si>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</si>
  <si>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</si>
  <si>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</si>
  <si>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</si>
  <si>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</si>
  <si>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</si>
  <si>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</si>
  <si>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</si>
  <si>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</si>
  <si>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</si>
  <si>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</si>
  <si>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</si>
  <si>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</si>
  <si>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</si>
  <si>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</si>
  <si>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</si>
  <si>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</si>
  <si>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</si>
  <si>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</si>
  <si>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</si>
  <si>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</si>
  <si>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</si>
  <si>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</si>
  <si>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</si>
  <si>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</si>
  <si>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</si>
  <si>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</si>
  <si>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</si>
  <si>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</si>
  <si>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</si>
  <si>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</si>
  <si>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</si>
  <si>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</si>
  <si>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</si>
  <si>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</si>
  <si>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</si>
  <si>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</si>
  <si>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</si>
  <si>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</si>
  <si>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</si>
  <si>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</si>
  <si>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</si>
  <si>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</si>
  <si>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</si>
  <si>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</si>
  <si>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</si>
  <si>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</si>
  <si>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</si>
  <si>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</si>
  <si>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</si>
  <si>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</si>
  <si>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</si>
  <si>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</si>
  <si>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</si>
  <si>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</si>
  <si>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</si>
  <si>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</si>
  <si>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</si>
  <si>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</si>
  <si>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</si>
  <si>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</si>
  <si>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</si>
  <si>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</si>
  <si>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</si>
  <si>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</si>
  <si>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</si>
  <si>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</si>
  <si>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</si>
  <si>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</si>
  <si>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</si>
  <si>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</si>
  <si>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</si>
  <si>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</si>
  <si>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</si>
  <si>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</si>
  <si>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</si>
  <si>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</si>
  <si>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</si>
  <si>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</si>
  <si>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</si>
  <si>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</si>
  <si>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</si>
  <si>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</si>
  <si>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</si>
  <si>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</si>
  <si>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</si>
  <si>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</si>
  <si>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</si>
  <si>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</si>
  <si>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</si>
  <si>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</si>
  <si>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</si>
  <si>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</si>
  <si>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</si>
  <si>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</si>
  <si>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</si>
  <si>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</si>
  <si>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</si>
  <si>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</si>
  <si>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</si>
  <si>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</si>
  <si>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</si>
  <si>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</si>
  <si>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</si>
  <si>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</si>
  <si>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</si>
  <si>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</si>
  <si>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</si>
  <si>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</si>
  <si>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</si>
  <si>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</si>
  <si>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</si>
  <si>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</si>
  <si>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</si>
  <si>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</si>
  <si>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</si>
  <si>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</si>
  <si>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</si>
  <si>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</si>
  <si>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</si>
  <si>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</si>
  <si>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</si>
  <si>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</si>
  <si>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</si>
  <si>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</si>
  <si>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</si>
  <si>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</si>
  <si>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</si>
  <si>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</si>
  <si>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</si>
  <si>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</si>
  <si>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</si>
  <si>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</si>
  <si>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</si>
  <si>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</si>
  <si>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</si>
  <si>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</si>
  <si>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</si>
  <si>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</si>
  <si>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</si>
  <si>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</si>
  <si>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</si>
  <si>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</si>
  <si>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</si>
  <si>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</si>
  <si>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</si>
  <si>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</si>
  <si>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</si>
  <si>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</si>
  <si>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</si>
  <si>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</si>
  <si>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</si>
  <si>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</si>
  <si>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</si>
  <si>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</si>
  <si>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</si>
  <si>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</si>
  <si>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</si>
  <si>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</si>
  <si>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</si>
  <si>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</si>
  <si>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</si>
  <si>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</si>
  <si>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</si>
  <si>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</si>
  <si>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</si>
  <si>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</si>
  <si>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</si>
  <si>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</si>
  <si>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</si>
  <si>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</si>
  <si>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</si>
  <si>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</si>
  <si>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</si>
  <si>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</si>
  <si>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</si>
  <si>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</si>
  <si>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</si>
  <si>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</si>
  <si>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</si>
  <si>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</si>
  <si>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</si>
  <si>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</si>
  <si>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</si>
  <si>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</si>
  <si>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</si>
  <si>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</si>
  <si>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</si>
  <si>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</si>
  <si>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</si>
  <si>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</si>
  <si>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</si>
  <si>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</si>
  <si>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</si>
  <si>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</si>
  <si>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</si>
  <si>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</si>
  <si>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</si>
  <si>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</si>
  <si>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</si>
  <si>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</si>
  <si>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</si>
  <si>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</si>
  <si>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</si>
  <si>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</si>
  <si>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</si>
  <si>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</si>
  <si>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</si>
  <si>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</si>
  <si>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</si>
  <si>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</si>
  <si>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</si>
  <si>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</si>
  <si>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</si>
  <si>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</si>
  <si>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</si>
  <si>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</si>
  <si>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</si>
  <si>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</si>
  <si>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</si>
  <si>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</si>
  <si>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</si>
  <si>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</si>
  <si>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</si>
  <si>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</si>
  <si>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</si>
  <si>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</si>
  <si>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</si>
  <si>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</si>
  <si>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</si>
  <si>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</si>
  <si>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</si>
  <si>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</si>
  <si>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</si>
  <si>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</si>
  <si>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</si>
  <si>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</si>
  <si>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</si>
  <si>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</si>
  <si>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</si>
  <si>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</si>
  <si>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</si>
  <si>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</si>
  <si>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</si>
  <si>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</si>
  <si>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</si>
  <si>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</si>
  <si>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</si>
  <si>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</si>
  <si>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</si>
  <si>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</si>
  <si>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</si>
  <si>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</si>
  <si>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</si>
  <si>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</si>
  <si>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</si>
  <si>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</si>
  <si>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</si>
  <si>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</si>
  <si>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</si>
  <si>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</si>
  <si>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</si>
  <si>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</si>
  <si>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</si>
  <si>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</si>
  <si>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</si>
  <si>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</si>
  <si>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</si>
  <si>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</si>
  <si>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</si>
  <si>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</si>
  <si>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</si>
  <si>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</si>
  <si>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</si>
  <si>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</si>
  <si>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</si>
  <si>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</si>
  <si>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</si>
  <si>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</si>
  <si>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</si>
  <si>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</si>
  <si>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</si>
  <si>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</si>
  <si>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</si>
  <si>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</si>
  <si>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</si>
  <si>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</si>
  <si>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</si>
  <si>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</si>
  <si>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</si>
  <si>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</si>
  <si>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</si>
  <si>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</si>
  <si>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</si>
  <si>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</si>
  <si>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</si>
  <si>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</si>
  <si>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</si>
  <si>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</si>
  <si>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</si>
  <si>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</si>
  <si>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</si>
  <si>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</si>
  <si>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</si>
  <si>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</si>
  <si>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</si>
  <si>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</si>
  <si>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</si>
  <si>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</si>
  <si>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</si>
  <si>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</si>
  <si>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</si>
  <si>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</si>
  <si>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</si>
  <si>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</si>
  <si>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</si>
  <si>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</si>
  <si>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</si>
  <si>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</si>
  <si>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</si>
  <si>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</si>
  <si>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</si>
  <si>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</si>
  <si>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</si>
  <si>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</si>
  <si>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</si>
  <si>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</si>
  <si>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</si>
  <si>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</si>
  <si>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</si>
  <si>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</si>
  <si>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</si>
  <si>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</si>
  <si>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</si>
  <si>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</si>
  <si>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</si>
  <si>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</si>
  <si>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</si>
  <si>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</si>
  <si>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</si>
  <si>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</si>
  <si>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</si>
  <si>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</si>
  <si>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</si>
  <si>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</si>
  <si>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</si>
  <si>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</si>
  <si>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</si>
  <si>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</si>
  <si>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</si>
  <si>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</si>
  <si>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</si>
  <si>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</si>
  <si>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</si>
  <si>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</si>
  <si>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</si>
  <si>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</si>
  <si>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</si>
  <si>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</si>
  <si>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</si>
  <si>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</si>
  <si>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</si>
  <si>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</si>
  <si>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</si>
  <si>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</si>
  <si>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</si>
  <si>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</si>
  <si>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</si>
  <si>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</si>
  <si>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</si>
  <si>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</si>
  <si>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</si>
  <si>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</si>
  <si>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</si>
  <si>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</si>
  <si>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</si>
  <si>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</si>
  <si>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</si>
  <si>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</si>
  <si>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</si>
  <si>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</si>
  <si>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</si>
  <si>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</si>
  <si>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</si>
  <si>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</si>
  <si>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</si>
  <si>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</si>
  <si>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</si>
  <si>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</si>
  <si>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</si>
  <si>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</si>
  <si>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</si>
  <si>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</si>
  <si>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</si>
  <si>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</si>
  <si>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</si>
  <si>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</si>
  <si>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</si>
  <si>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</si>
  <si>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</si>
  <si>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</si>
  <si>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</si>
  <si>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</si>
  <si>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</si>
  <si>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</si>
  <si>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</si>
  <si>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</si>
  <si>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</si>
  <si>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</si>
  <si>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</si>
  <si>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</si>
  <si>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</si>
  <si>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</si>
  <si>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</si>
  <si>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</si>
  <si>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</si>
  <si>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</si>
  <si>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</si>
  <si>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</si>
  <si>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</si>
  <si>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</si>
  <si>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</si>
  <si>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</si>
  <si>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</si>
  <si>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</si>
  <si>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</si>
  <si>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</si>
  <si>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</si>
  <si>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</si>
  <si>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</si>
  <si>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</si>
  <si>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</si>
  <si>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</si>
  <si>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</si>
  <si>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</si>
  <si>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</si>
  <si>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</si>
  <si>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</si>
  <si>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</si>
  <si>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</si>
  <si>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</si>
  <si>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</si>
  <si>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</si>
  <si>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</si>
  <si>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</si>
  <si>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</si>
  <si>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</si>
  <si>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</si>
  <si>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</si>
  <si>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</si>
  <si>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</si>
  <si>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</si>
  <si>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</si>
  <si>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</si>
  <si>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</si>
  <si>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</si>
  <si>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</si>
  <si>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</si>
  <si>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</si>
  <si>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</si>
  <si>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</si>
  <si>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</si>
  <si>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</si>
  <si>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</si>
  <si>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</si>
  <si>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</si>
  <si>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</si>
  <si>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</si>
  <si>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</si>
  <si>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</si>
  <si>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</si>
  <si>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</si>
  <si>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</si>
  <si>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</si>
  <si>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</si>
  <si>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</si>
  <si>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</si>
  <si>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</si>
  <si>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</si>
  <si>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</si>
  <si>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</si>
  <si>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</si>
  <si>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</si>
  <si>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</si>
  <si>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</si>
  <si>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</si>
  <si>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</si>
  <si>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</si>
  <si>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</si>
  <si>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</si>
  <si>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</si>
  <si>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</si>
  <si>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</si>
  <si>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</si>
  <si>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</si>
  <si>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</si>
  <si>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</si>
  <si>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</si>
  <si>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</si>
  <si>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</si>
  <si>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</si>
  <si>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</si>
  <si>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</si>
  <si>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</si>
  <si>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</si>
  <si>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</si>
  <si>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</si>
  <si>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</si>
  <si>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</si>
  <si>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</si>
  <si>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</si>
  <si>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</si>
  <si>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</si>
  <si>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</si>
  <si>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</si>
  <si>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</si>
  <si>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</si>
  <si>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</si>
  <si>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</si>
  <si>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</si>
  <si>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</si>
  <si>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</si>
  <si>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</si>
  <si>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</si>
  <si>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</si>
  <si>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</si>
  <si>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</si>
  <si>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</si>
  <si>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</si>
  <si>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</si>
  <si>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</si>
  <si>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</si>
  <si>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</si>
  <si>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</si>
  <si>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</si>
  <si>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</si>
  <si>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</si>
  <si>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</si>
  <si>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</si>
  <si>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</si>
  <si>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</si>
  <si>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</si>
  <si>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</si>
  <si>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</si>
  <si>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</si>
  <si>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</si>
  <si>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</si>
  <si>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</si>
  <si>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</si>
  <si>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</si>
  <si>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</si>
  <si>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</si>
  <si>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</si>
  <si>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</si>
  <si>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</si>
  <si>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</si>
  <si>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</si>
  <si>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</si>
  <si>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</si>
  <si>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</si>
  <si>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</si>
  <si>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</si>
  <si>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</si>
  <si>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</si>
  <si>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</si>
  <si>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</si>
  <si>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</si>
  <si>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</si>
  <si>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</si>
  <si>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</si>
  <si>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</si>
  <si>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</si>
  <si>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</si>
  <si>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</si>
  <si>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</si>
  <si>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</si>
  <si>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</si>
  <si>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</si>
  <si>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</si>
  <si>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</si>
  <si>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</si>
  <si>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</si>
  <si>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</si>
  <si>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</si>
  <si>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</si>
  <si>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</si>
  <si>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</si>
  <si>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</si>
  <si>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</si>
  <si>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</si>
  <si>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</si>
  <si>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</si>
  <si>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</si>
  <si>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</si>
  <si>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</si>
  <si>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</si>
  <si>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</si>
  <si>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</si>
  <si>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</si>
  <si>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</si>
  <si>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</si>
  <si>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</si>
  <si>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</si>
  <si>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</si>
  <si>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</si>
  <si>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</si>
  <si>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</si>
  <si>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</si>
  <si>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</si>
  <si>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</si>
  <si>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</si>
  <si>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</si>
  <si>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</si>
  <si>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</si>
  <si>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</si>
  <si>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</si>
  <si>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</si>
  <si>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</si>
  <si>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</si>
  <si>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</si>
  <si>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</si>
  <si>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</si>
  <si>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</si>
  <si>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</si>
  <si>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</si>
  <si>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</si>
  <si>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</si>
  <si>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</si>
  <si>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</si>
  <si>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</si>
  <si>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</si>
  <si>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</si>
  <si>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</si>
  <si>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</si>
  <si>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</si>
  <si>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</si>
  <si>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</si>
  <si>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</si>
  <si>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</si>
  <si>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</si>
  <si>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</si>
  <si>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</si>
  <si>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</si>
  <si>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</si>
  <si>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</si>
  <si>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</si>
  <si>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</si>
  <si>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</si>
  <si>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</si>
  <si>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</si>
  <si>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</si>
  <si>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</si>
  <si>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</si>
  <si>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</si>
  <si>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</si>
  <si>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</si>
  <si>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</si>
  <si>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</si>
  <si>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</si>
  <si>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</si>
  <si>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</si>
  <si>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</si>
  <si>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</si>
  <si>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</si>
  <si>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</si>
  <si>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</si>
  <si>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</si>
  <si>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</si>
  <si>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</si>
  <si>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</si>
  <si>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</si>
  <si>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</si>
  <si>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</si>
  <si>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</si>
  <si>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</si>
  <si>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</si>
  <si>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</si>
  <si>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</si>
  <si>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</si>
  <si>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</si>
  <si>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</si>
  <si>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</si>
  <si>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</si>
  <si>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</si>
  <si>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</si>
  <si>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</si>
  <si>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</si>
  <si>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</si>
  <si>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</si>
  <si>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</si>
  <si>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</si>
  <si>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</si>
  <si>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</si>
  <si>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</si>
  <si>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</si>
  <si>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</si>
  <si>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</si>
  <si>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</si>
  <si>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</si>
  <si>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</si>
  <si>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</si>
  <si>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</si>
  <si>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</si>
  <si>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</si>
  <si>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</si>
  <si>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</si>
  <si>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</si>
  <si>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</si>
  <si>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</si>
  <si>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</si>
  <si>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</si>
  <si>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</si>
  <si>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</si>
  <si>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</si>
  <si>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</si>
  <si>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</si>
  <si>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</si>
  <si>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</si>
  <si>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</si>
  <si>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</si>
  <si>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</si>
  <si>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</si>
  <si>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</si>
  <si>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</si>
  <si>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</si>
  <si>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</si>
  <si>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</si>
  <si>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</si>
  <si>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</si>
  <si>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</si>
  <si>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</si>
  <si>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</si>
  <si>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</si>
  <si>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</si>
  <si>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</si>
  <si>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</si>
  <si>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</si>
  <si>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</si>
  <si>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</si>
  <si>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</si>
  <si>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</si>
  <si>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</si>
  <si>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</si>
  <si>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</si>
  <si>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</si>
  <si>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</si>
  <si>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</si>
  <si>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</si>
  <si>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</si>
  <si>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</si>
  <si>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</si>
  <si>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</si>
  <si>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</si>
  <si>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</si>
  <si>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</si>
  <si>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</si>
  <si>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</si>
  <si>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</si>
  <si>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</si>
  <si>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</si>
  <si>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</si>
  <si>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</si>
  <si>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</si>
  <si>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</si>
  <si>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</si>
  <si>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</si>
  <si>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</si>
  <si>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</si>
  <si>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</si>
  <si>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</si>
  <si>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</si>
  <si>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</si>
  <si>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</si>
  <si>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</si>
  <si>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</si>
  <si>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</si>
  <si>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</si>
  <si>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</si>
  <si>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</si>
  <si>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</si>
  <si>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</si>
  <si>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</si>
  <si>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</si>
  <si>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</si>
  <si>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</si>
  <si>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</si>
  <si>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</si>
  <si>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</si>
  <si>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</si>
  <si>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</si>
  <si>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</si>
  <si>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</si>
  <si>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</si>
  <si>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</si>
  <si>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</si>
  <si>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</si>
  <si>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</si>
  <si>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</si>
  <si>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</si>
  <si>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</si>
  <si>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</si>
  <si>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</si>
  <si>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</si>
  <si>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</si>
  <si>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</si>
  <si>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</si>
  <si>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</si>
  <si>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</si>
  <si>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</si>
  <si>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</si>
  <si>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</si>
  <si>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</si>
  <si>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</si>
  <si>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</si>
  <si>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</si>
  <si>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</si>
  <si>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</si>
  <si>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</si>
  <si>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</si>
  <si>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</si>
  <si>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</si>
  <si>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</si>
  <si>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</si>
  <si>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</si>
  <si>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</si>
  <si>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</si>
  <si>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</si>
  <si>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</si>
  <si>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</si>
  <si>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</si>
  <si>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</si>
  <si>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</si>
  <si>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</si>
  <si>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</si>
  <si>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</si>
  <si>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</si>
  <si>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</si>
  <si>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</si>
  <si>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</si>
  <si>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</si>
  <si>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</si>
  <si>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</si>
  <si>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</si>
  <si>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</si>
  <si>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</si>
  <si>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</si>
  <si>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</si>
  <si>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</si>
  <si>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</si>
  <si>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</si>
  <si>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</si>
  <si>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</si>
  <si>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</si>
  <si>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</si>
  <si>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</si>
  <si>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</si>
  <si>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</si>
  <si>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</si>
  <si>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</si>
  <si>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</si>
  <si>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</si>
  <si>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</si>
  <si>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</si>
  <si>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</si>
  <si>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</si>
  <si>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</si>
  <si>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</si>
  <si>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</si>
  <si>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</si>
  <si>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</si>
  <si>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</si>
  <si>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</si>
  <si>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</si>
  <si>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</si>
  <si>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</si>
  <si>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</si>
  <si>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</si>
  <si>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</si>
  <si>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</si>
  <si>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</si>
  <si>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</si>
  <si>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</si>
  <si>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</si>
  <si>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</si>
  <si>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</si>
  <si>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</si>
  <si>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</si>
  <si>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</si>
  <si>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</si>
  <si>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</si>
  <si>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</si>
  <si>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</si>
  <si>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</si>
  <si>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</si>
  <si>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</si>
  <si>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</si>
  <si>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</si>
  <si>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</si>
  <si>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</si>
  <si>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</si>
  <si>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</si>
  <si>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</si>
  <si>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</si>
  <si>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</si>
  <si>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</si>
  <si>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</si>
  <si>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</si>
  <si>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</si>
  <si>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</si>
  <si>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</si>
  <si>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</si>
  <si>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</si>
  <si>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</si>
  <si>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</si>
  <si>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</si>
  <si>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</si>
  <si>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</si>
  <si>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</si>
  <si>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</si>
  <si>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</si>
  <si>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</si>
  <si>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</si>
  <si>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</si>
  <si>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</si>
  <si>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</si>
  <si>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</si>
  <si>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</si>
  <si>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</si>
  <si>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</si>
  <si>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</si>
  <si>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</si>
  <si>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</si>
  <si>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</si>
  <si>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</si>
  <si>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</si>
  <si>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</si>
  <si>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</si>
  <si>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</si>
  <si>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</si>
  <si>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</si>
  <si>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</si>
  <si>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</si>
  <si>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</si>
  <si>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</si>
  <si>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</si>
  <si>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</si>
  <si>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</si>
  <si>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</si>
  <si>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</si>
  <si>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</si>
  <si>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</si>
  <si>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</si>
  <si>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</si>
  <si>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</si>
  <si>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</si>
  <si>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</si>
  <si>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</si>
  <si>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</si>
  <si>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</si>
  <si>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</si>
  <si>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</si>
  <si>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</si>
  <si>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</si>
  <si>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</si>
  <si>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</si>
  <si>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</si>
  <si>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</si>
  <si>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</si>
  <si>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</si>
  <si>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</si>
  <si>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</si>
  <si>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</si>
  <si>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</si>
  <si>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</si>
  <si>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</si>
  <si>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</si>
  <si>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</si>
  <si>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</si>
  <si>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</si>
  <si>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</si>
  <si>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</si>
  <si>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</si>
  <si>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</si>
  <si>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</si>
  <si>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</si>
  <si>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</si>
  <si>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</si>
  <si>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</si>
  <si>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</si>
  <si>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</si>
  <si>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</si>
  <si>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</si>
  <si>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</si>
  <si>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</si>
  <si>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</si>
  <si>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</si>
  <si>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</si>
  <si>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</si>
  <si>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</si>
  <si>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</si>
  <si>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</si>
  <si>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</si>
  <si>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</si>
  <si>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</si>
  <si>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</si>
  <si>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</si>
  <si>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</si>
  <si>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</si>
  <si>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</si>
  <si>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</si>
  <si>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</si>
  <si>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</si>
  <si>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</si>
  <si>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</si>
  <si>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</si>
  <si>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</si>
  <si>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</si>
  <si>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</si>
  <si>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</si>
  <si>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</si>
  <si>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</si>
  <si>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</si>
  <si>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</si>
  <si>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</si>
  <si>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</si>
  <si>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</si>
  <si>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</si>
  <si>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</si>
  <si>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</si>
  <si>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</si>
  <si>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</si>
  <si>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</si>
  <si>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</si>
  <si>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</si>
  <si>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</si>
  <si>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</si>
  <si>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</si>
  <si>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</si>
  <si>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</si>
  <si>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</si>
  <si>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</si>
  <si>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</si>
  <si>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</si>
  <si>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</si>
  <si>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</si>
  <si>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</si>
  <si>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</si>
  <si>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</si>
  <si>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</si>
  <si>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</si>
  <si>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</si>
  <si>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</si>
  <si>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</si>
  <si>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</si>
  <si>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</si>
  <si>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</si>
  <si>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</si>
  <si>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</si>
  <si>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</si>
  <si>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</si>
  <si>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</si>
  <si>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</si>
  <si>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</si>
  <si>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</si>
  <si>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</si>
  <si>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</si>
  <si>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</si>
  <si>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</si>
  <si>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</si>
  <si>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</si>
  <si>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</si>
  <si>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</si>
  <si>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</si>
  <si>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</si>
  <si>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</si>
  <si>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</si>
  <si>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</si>
  <si>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</si>
  <si>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</si>
  <si>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</si>
  <si>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</si>
  <si>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</si>
  <si>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</si>
  <si>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</si>
  <si>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</si>
  <si>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</si>
  <si>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</si>
  <si>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</si>
  <si>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</si>
  <si>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</si>
  <si>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</si>
  <si>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</si>
  <si>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</si>
  <si>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</si>
  <si>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</si>
  <si>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</si>
  <si>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</si>
  <si>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</si>
  <si>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</si>
  <si>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</si>
  <si>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</si>
  <si>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</si>
  <si>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</si>
  <si>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</si>
  <si>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</si>
  <si>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</si>
  <si>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</si>
  <si>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</si>
  <si>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</si>
  <si>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</si>
  <si>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</si>
  <si>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</si>
  <si>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</si>
  <si>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</si>
  <si>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</si>
  <si>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</si>
  <si>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</si>
  <si>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</si>
  <si>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</si>
  <si>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</si>
  <si>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</si>
  <si>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</si>
  <si>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</si>
  <si>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</si>
  <si>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</si>
  <si>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</si>
  <si>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</si>
  <si>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</si>
  <si>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</si>
  <si>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</si>
  <si>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</si>
  <si>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</si>
  <si>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</si>
  <si>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</si>
  <si>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</si>
  <si>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</si>
  <si>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</si>
  <si>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</si>
  <si>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</si>
  <si>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</si>
  <si>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</si>
  <si>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</si>
  <si>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</si>
  <si>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</si>
  <si>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</si>
  <si>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</si>
  <si>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</si>
  <si>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</si>
  <si>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</si>
  <si>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</si>
  <si>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</si>
  <si>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</si>
  <si>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</si>
  <si>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</si>
  <si>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</si>
  <si>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</si>
  <si>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</si>
  <si>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</si>
  <si>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</si>
  <si>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</si>
  <si>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</si>
  <si>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</si>
  <si>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</si>
  <si>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</si>
  <si>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</si>
  <si>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</si>
  <si>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</si>
  <si>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</si>
  <si>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</si>
  <si>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</si>
  <si>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</si>
  <si>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</si>
  <si>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</si>
  <si>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</si>
  <si>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</si>
  <si>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</si>
  <si>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</si>
  <si>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</si>
  <si>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</si>
  <si>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</si>
  <si>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</si>
  <si>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</si>
  <si>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</si>
  <si>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</si>
  <si>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</si>
  <si>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</si>
  <si>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</si>
  <si>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</si>
  <si>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</si>
  <si>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</si>
  <si>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</si>
  <si>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</si>
  <si>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</si>
  <si>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</si>
  <si>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</si>
  <si>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</si>
  <si>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</si>
  <si>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</si>
  <si>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</si>
  <si>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</si>
  <si>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</si>
  <si>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</si>
  <si>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</si>
  <si>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</si>
  <si>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</si>
  <si>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</si>
  <si>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</si>
  <si>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</si>
  <si>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</si>
  <si>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</si>
  <si>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</si>
  <si>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</si>
  <si>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</si>
  <si>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</si>
  <si>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</si>
  <si>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</si>
  <si>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</si>
  <si>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</si>
  <si>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</si>
  <si>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</si>
  <si>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</si>
  <si>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</si>
  <si>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</si>
  <si>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</si>
  <si>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</si>
  <si>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</si>
  <si>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</si>
  <si>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</si>
  <si>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</si>
  <si>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</si>
  <si>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</si>
  <si>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</si>
  <si>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</si>
  <si>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</si>
  <si>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</si>
  <si>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</si>
  <si>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</si>
  <si>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</si>
  <si>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</si>
  <si>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</si>
  <si>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</si>
  <si>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</si>
  <si>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</si>
  <si>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</si>
  <si>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</si>
  <si>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</si>
  <si>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</si>
  <si>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</si>
  <si>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</si>
  <si>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</si>
  <si>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</si>
  <si>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</si>
  <si>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</si>
  <si>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</si>
  <si>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</si>
  <si>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</si>
  <si>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</si>
  <si>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</si>
  <si>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</si>
  <si>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</si>
  <si>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</si>
  <si>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</si>
  <si>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</si>
  <si>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</si>
  <si>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</si>
  <si>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</si>
  <si>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</si>
  <si>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</si>
  <si>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</si>
  <si>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</si>
  <si>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</si>
  <si>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</si>
  <si>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</si>
  <si>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</si>
  <si>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</si>
  <si>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</si>
  <si>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</si>
  <si>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</si>
  <si>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</si>
  <si>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</si>
  <si>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</si>
  <si>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</si>
  <si>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</si>
  <si>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</si>
  <si>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</si>
  <si>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</si>
  <si>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</si>
  <si>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</si>
  <si>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</si>
  <si>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</si>
  <si>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</si>
  <si>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</si>
  <si>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</si>
  <si>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</si>
  <si>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</si>
  <si>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</si>
  <si>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</si>
  <si>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</si>
  <si>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</si>
  <si>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</si>
  <si>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</si>
  <si>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</si>
  <si>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</si>
  <si>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</si>
  <si>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</si>
  <si>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</si>
  <si>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</si>
  <si>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</si>
  <si>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</si>
  <si>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</si>
  <si>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</si>
  <si>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</si>
  <si>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</si>
  <si>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</si>
  <si>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</si>
  <si>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</si>
  <si>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</si>
  <si>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</si>
  <si>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</si>
  <si>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</si>
  <si>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</si>
  <si>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</si>
  <si>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</si>
  <si>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</si>
  <si>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</si>
  <si>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</si>
  <si>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</si>
  <si>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</si>
  <si>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</si>
  <si>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</si>
  <si>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</si>
  <si>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</si>
  <si>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</si>
  <si>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</si>
  <si>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</si>
  <si>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</si>
  <si>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</si>
  <si>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</si>
  <si>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</si>
  <si>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</si>
  <si>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</si>
  <si>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</si>
  <si>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</si>
  <si>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</si>
  <si>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</si>
  <si>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</si>
  <si>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</si>
  <si>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</si>
  <si>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</si>
  <si>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</si>
  <si>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</si>
  <si>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</si>
  <si>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</si>
  <si>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</si>
  <si>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</si>
  <si>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</si>
  <si>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</si>
  <si>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</si>
  <si>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</si>
  <si>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</si>
  <si>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</si>
  <si>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</si>
  <si>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</si>
  <si>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</si>
  <si>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</si>
  <si>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</si>
  <si>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</si>
  <si>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</si>
  <si>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</si>
  <si>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</si>
  <si>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</si>
  <si>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</si>
  <si>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</si>
  <si>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</si>
  <si>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</si>
  <si>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</si>
  <si>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</si>
  <si>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</si>
  <si>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</si>
  <si>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</si>
  <si>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</si>
  <si>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</si>
  <si>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</si>
  <si>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</si>
  <si>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</si>
  <si>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</si>
  <si>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</si>
  <si>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</si>
  <si>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</si>
  <si>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</si>
  <si>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</si>
  <si>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</si>
  <si>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</si>
  <si>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</si>
  <si>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</si>
  <si>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</si>
  <si>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</si>
  <si>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</si>
  <si>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</si>
  <si>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</si>
  <si>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</si>
  <si>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</si>
  <si>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</si>
  <si>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</si>
  <si>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</si>
  <si>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</si>
  <si>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</si>
  <si>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</si>
  <si>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</si>
  <si>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</si>
  <si>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</si>
  <si>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</si>
  <si>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</si>
  <si>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</si>
  <si>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</si>
  <si>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</si>
  <si>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</si>
  <si>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</si>
  <si>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</si>
  <si>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</si>
  <si>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</si>
  <si>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</si>
  <si>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</si>
  <si>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</si>
  <si>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</si>
  <si>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</si>
  <si>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</si>
  <si>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</si>
  <si>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</si>
  <si>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</si>
  <si>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</si>
  <si>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</si>
  <si>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</si>
  <si>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</si>
  <si>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</si>
  <si>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</si>
  <si>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</si>
  <si>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</si>
  <si>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</si>
  <si>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</si>
  <si>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</si>
  <si>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</si>
  <si>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</si>
  <si>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</si>
  <si>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</si>
  <si>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</si>
  <si>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</si>
  <si>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</si>
  <si>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</si>
  <si>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</si>
  <si>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</si>
  <si>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</si>
  <si>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</si>
  <si>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</si>
  <si>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</si>
  <si>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</si>
  <si>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</si>
  <si>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</si>
  <si>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</si>
  <si>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</si>
  <si>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</si>
  <si>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</si>
  <si>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</si>
  <si>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</si>
  <si>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</si>
  <si>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</si>
  <si>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</si>
  <si>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</si>
  <si>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</si>
  <si>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</si>
  <si>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</si>
  <si>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</si>
  <si>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</si>
  <si>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</si>
  <si>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</si>
  <si>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</si>
  <si>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</si>
  <si>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</si>
  <si>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</si>
  <si>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</si>
  <si>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</si>
  <si>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</si>
  <si>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</si>
  <si>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</si>
  <si>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</si>
  <si>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</si>
  <si>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</si>
  <si>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</si>
  <si>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</si>
  <si>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</si>
  <si>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</si>
  <si>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</si>
  <si>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</si>
  <si>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</si>
  <si>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</si>
  <si>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</si>
  <si>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</si>
  <si>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</si>
  <si>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</si>
  <si>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</si>
  <si>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</si>
  <si>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</si>
  <si>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</si>
  <si>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</si>
  <si>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</si>
  <si>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</si>
  <si>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</si>
  <si>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</si>
  <si>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</si>
  <si>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</si>
  <si>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</si>
  <si>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</si>
  <si>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</si>
  <si>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</si>
  <si>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</si>
  <si>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</si>
  <si>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</si>
  <si>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</si>
  <si>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</si>
  <si>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</si>
  <si>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</si>
  <si>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</si>
  <si>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</si>
  <si>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</si>
  <si>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</si>
  <si>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</si>
  <si>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</si>
  <si>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</si>
  <si>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</si>
  <si>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</si>
  <si>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</si>
  <si>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</si>
  <si>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</si>
  <si>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</si>
  <si>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</si>
  <si>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</si>
  <si>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</si>
  <si>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</si>
  <si>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</si>
  <si>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</si>
  <si>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</si>
  <si>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</si>
  <si>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</si>
  <si>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</si>
  <si>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</si>
  <si>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</si>
  <si>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</si>
  <si>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</si>
  <si>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</si>
  <si>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</si>
  <si>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</si>
  <si>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</si>
  <si>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</si>
  <si>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</si>
  <si>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</si>
  <si>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</si>
  <si>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</si>
  <si>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</si>
  <si>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</si>
  <si>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</si>
  <si>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</si>
  <si>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</si>
  <si>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</si>
  <si>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</si>
  <si>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</si>
  <si>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</si>
  <si>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</si>
  <si>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</si>
  <si>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</si>
  <si>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</si>
  <si>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</si>
  <si>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</si>
  <si>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</si>
  <si>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</si>
  <si>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</si>
  <si>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</si>
  <si>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</si>
  <si>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</si>
  <si>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</si>
  <si>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</si>
  <si>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</si>
  <si>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</si>
  <si>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</si>
  <si>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</si>
  <si>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</si>
  <si>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</si>
  <si>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</si>
  <si>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</si>
  <si>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</si>
  <si>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</si>
  <si>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</si>
  <si>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</si>
  <si>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</si>
  <si>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</si>
  <si>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</si>
  <si>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</si>
  <si>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</si>
  <si>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</si>
  <si>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</si>
  <si>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</si>
  <si>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</si>
  <si>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</si>
  <si>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</si>
  <si>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</si>
  <si>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</si>
  <si>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</si>
  <si>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</si>
  <si>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</si>
  <si>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</si>
  <si>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</si>
  <si>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</si>
  <si>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</si>
  <si>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</si>
  <si>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</si>
  <si>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</si>
  <si>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</si>
  <si>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</si>
  <si>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</si>
  <si>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</si>
  <si>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</si>
  <si>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</si>
  <si>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</si>
  <si>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</si>
  <si>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</si>
  <si>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</si>
  <si>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</si>
  <si>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</si>
  <si>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</si>
  <si>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</si>
  <si>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</si>
  <si>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</si>
  <si>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</si>
  <si>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</si>
  <si>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</si>
  <si>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</si>
  <si>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</si>
  <si>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</si>
  <si>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</si>
  <si>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</si>
  <si>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</si>
  <si>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</si>
  <si>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</si>
  <si>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</si>
  <si>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</si>
  <si>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</si>
  <si>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</si>
  <si>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</si>
  <si>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</si>
  <si>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</si>
  <si>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</si>
  <si>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</si>
  <si>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</si>
  <si>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</si>
  <si>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</si>
  <si>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</si>
  <si>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</si>
  <si>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</si>
  <si>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</si>
  <si>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</si>
  <si>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</si>
  <si>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</si>
  <si>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</si>
  <si>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</si>
  <si>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</si>
  <si>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</si>
  <si>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</si>
  <si>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</si>
  <si>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</si>
  <si>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</si>
  <si>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</si>
  <si>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</si>
  <si>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</si>
  <si>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</si>
  <si>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</si>
  <si>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</si>
  <si>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</si>
  <si>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</si>
  <si>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</si>
  <si>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</si>
  <si>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</si>
  <si>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</si>
  <si>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</si>
  <si>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</si>
  <si>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</si>
  <si>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</si>
  <si>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</si>
  <si>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</si>
  <si>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</si>
  <si>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</si>
  <si>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</si>
  <si>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</si>
  <si>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</si>
  <si>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</si>
  <si>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</si>
  <si>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</si>
  <si>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</si>
  <si>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</si>
  <si>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</si>
  <si>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</si>
  <si>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</si>
  <si>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</si>
  <si>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</si>
  <si>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</si>
  <si>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</si>
  <si>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</si>
  <si>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</si>
  <si>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</si>
  <si>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</si>
  <si>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</si>
  <si>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</si>
  <si>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</si>
  <si>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</si>
  <si>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</si>
  <si>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</si>
  <si>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</si>
  <si>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</si>
  <si>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</si>
  <si>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</si>
  <si>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</si>
  <si>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</si>
  <si>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</si>
  <si>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</si>
  <si>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</si>
  <si>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</si>
  <si>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</si>
  <si>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</si>
  <si>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</si>
  <si>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</si>
  <si>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</si>
  <si>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</si>
  <si>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</si>
  <si>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</si>
  <si>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</si>
  <si>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</si>
  <si>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</si>
  <si>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</si>
  <si>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</si>
  <si>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</si>
  <si>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</si>
  <si>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</si>
  <si>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</si>
  <si>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</si>
  <si>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</si>
  <si>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</si>
  <si>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</si>
  <si>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</si>
  <si>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</si>
  <si>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</si>
  <si>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</si>
  <si>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</si>
  <si>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</si>
  <si>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</si>
  <si>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</si>
  <si>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</si>
  <si>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</si>
  <si>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</si>
  <si>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</si>
  <si>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</si>
  <si>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</si>
  <si>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</si>
  <si>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</si>
  <si>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</si>
  <si>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</si>
  <si>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</si>
  <si>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</si>
  <si>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</si>
  <si>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</si>
  <si>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</si>
  <si>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</si>
  <si>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</si>
  <si>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</si>
  <si>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</si>
  <si>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</si>
  <si>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</si>
  <si>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</si>
  <si>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</si>
  <si>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</si>
  <si>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</si>
  <si>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</si>
  <si>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</si>
  <si>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</si>
  <si>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</si>
  <si>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</si>
  <si>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</si>
  <si>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</si>
  <si>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</si>
  <si>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</si>
  <si>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</si>
  <si>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</si>
  <si>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</si>
  <si>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</si>
  <si>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</si>
  <si>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</si>
  <si>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</si>
  <si>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</si>
  <si>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</si>
  <si>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</si>
  <si>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</si>
  <si>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</si>
  <si>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</si>
  <si>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</si>
  <si>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</si>
  <si>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</si>
  <si>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</si>
  <si>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</si>
  <si>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</si>
  <si>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</si>
  <si>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</si>
  <si>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</si>
  <si>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</si>
  <si>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</si>
  <si>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</si>
  <si>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</si>
  <si>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</si>
  <si>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</si>
  <si>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</si>
  <si>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</si>
  <si>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</si>
  <si>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</si>
  <si>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</si>
  <si>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</si>
  <si>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</si>
  <si>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</si>
  <si>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</si>
  <si>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</si>
  <si>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</si>
  <si>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</si>
  <si>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</si>
  <si>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</si>
  <si>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</si>
  <si>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</si>
  <si>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</si>
  <si>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</si>
  <si>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</si>
  <si>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</si>
  <si>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</si>
  <si>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</si>
  <si>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</si>
  <si>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</si>
  <si>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</si>
  <si>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</si>
  <si>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</si>
  <si>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</si>
  <si>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</si>
  <si>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</si>
  <si>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</si>
  <si>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</si>
  <si>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</si>
  <si>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</si>
  <si>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</si>
  <si>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</si>
  <si>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</si>
  <si>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</si>
  <si>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</si>
  <si>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</si>
  <si>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</si>
  <si>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</si>
  <si>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</si>
  <si>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</si>
  <si>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</si>
  <si>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</si>
  <si>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</si>
  <si>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</si>
  <si>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</si>
  <si>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</si>
  <si>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</si>
  <si>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</si>
  <si>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</si>
  <si>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</si>
  <si>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</si>
  <si>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</si>
  <si>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</si>
  <si>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</si>
  <si>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</si>
  <si>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</si>
  <si>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</si>
  <si>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</si>
  <si>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</si>
  <si>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</si>
  <si>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</si>
  <si>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</si>
  <si>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</si>
  <si>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</si>
  <si>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</si>
  <si>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</si>
  <si>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</si>
  <si>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</si>
  <si>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</si>
  <si>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</si>
  <si>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</si>
  <si>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</si>
  <si>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</si>
  <si>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</si>
  <si>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</si>
  <si>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</si>
  <si>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</si>
  <si>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</si>
  <si>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</si>
  <si>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</si>
  <si>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</si>
  <si>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</si>
  <si>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</si>
  <si>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</si>
  <si>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</si>
  <si>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</si>
  <si>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</si>
  <si>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</si>
  <si>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</si>
  <si>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</si>
  <si>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</si>
  <si>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</si>
  <si>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</si>
  <si>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</si>
  <si>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</si>
  <si>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</si>
  <si>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</si>
  <si>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</si>
  <si>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</si>
  <si>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</si>
  <si>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</si>
  <si>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</si>
  <si>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</si>
  <si>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</si>
  <si>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</si>
  <si>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</si>
  <si>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</si>
  <si>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</si>
  <si>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</si>
  <si>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</si>
  <si>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</si>
  <si>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</si>
  <si>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</si>
  <si>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</si>
  <si>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</si>
  <si>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</si>
  <si>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</si>
  <si>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</si>
  <si>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</si>
  <si>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</si>
  <si>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</si>
  <si>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</si>
  <si>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</si>
  <si>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</si>
  <si>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</si>
  <si>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</si>
  <si>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</si>
  <si>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</si>
  <si>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</si>
  <si>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</si>
  <si>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</si>
  <si>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</si>
  <si>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</si>
  <si>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</si>
  <si>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</si>
  <si>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</si>
  <si>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</si>
  <si>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</si>
  <si>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</si>
  <si>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</si>
  <si>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</si>
  <si>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</si>
  <si>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</si>
  <si>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</si>
  <si>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</si>
  <si>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</si>
  <si>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</si>
  <si>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</si>
  <si>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</si>
  <si>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</si>
  <si>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</si>
  <si>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</si>
  <si>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</si>
  <si>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</si>
  <si>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</si>
  <si>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</si>
  <si>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</si>
  <si>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</si>
  <si>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</si>
  <si>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</si>
  <si>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</si>
  <si>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</si>
  <si>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</si>
  <si>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</si>
  <si>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</si>
  <si>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</si>
  <si>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</si>
  <si>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</si>
  <si>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</si>
  <si>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</si>
  <si>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</si>
  <si>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</si>
  <si>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</si>
  <si>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</si>
  <si>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</si>
  <si>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</si>
  <si>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</si>
  <si>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</si>
  <si>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</si>
  <si>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</si>
  <si>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</si>
  <si>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</si>
  <si>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</si>
  <si>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</si>
  <si>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</si>
  <si>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</si>
  <si>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</si>
  <si>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</si>
  <si>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</si>
  <si>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</si>
  <si>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</si>
  <si>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</si>
  <si>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</si>
  <si>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</si>
  <si>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</si>
  <si>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</si>
  <si>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</si>
  <si>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</si>
  <si>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</si>
  <si>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</si>
  <si>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</si>
  <si>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</si>
  <si>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</si>
  <si>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</si>
  <si>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</si>
  <si>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</si>
  <si>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</si>
  <si>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</si>
  <si>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</si>
  <si>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</si>
  <si>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</si>
  <si>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</si>
  <si>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</si>
  <si>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</si>
  <si>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</si>
  <si>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</si>
  <si>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</si>
  <si>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</si>
  <si>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</si>
  <si>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</si>
  <si>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</si>
  <si>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</si>
  <si>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</si>
  <si>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</si>
  <si>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</si>
  <si>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</si>
  <si>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</si>
  <si>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</si>
  <si>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</si>
  <si>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</si>
  <si>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</si>
  <si>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</si>
  <si>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</si>
  <si>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</si>
  <si>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</si>
  <si>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</si>
  <si>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</si>
  <si>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</si>
  <si>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</si>
  <si>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</si>
  <si>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</si>
  <si>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</si>
  <si>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</si>
  <si>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</si>
  <si>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</si>
  <si>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</si>
  <si>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</si>
  <si>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</si>
  <si>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</si>
  <si>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</si>
  <si>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</si>
  <si>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</si>
  <si>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</si>
  <si>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</si>
  <si>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</si>
  <si>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</si>
  <si>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</si>
  <si>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</si>
  <si>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</si>
  <si>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</si>
  <si>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</si>
  <si>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</si>
  <si>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</si>
  <si>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</si>
  <si>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</si>
  <si>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</si>
  <si>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</si>
  <si>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</si>
  <si>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</si>
  <si>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</si>
  <si>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</si>
  <si>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</si>
  <si>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</si>
  <si>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</si>
  <si>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</si>
  <si>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</si>
  <si>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</si>
  <si>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</si>
  <si>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</si>
  <si>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</si>
  <si>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</si>
  <si>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</si>
  <si>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</si>
  <si>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</si>
  <si>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</si>
  <si>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</si>
  <si>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</si>
  <si>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</si>
  <si>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</si>
  <si>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</si>
  <si>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</si>
  <si>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</si>
  <si>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</si>
  <si>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</si>
  <si>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</si>
  <si>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</si>
  <si>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</si>
  <si>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</si>
  <si>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</si>
  <si>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</si>
  <si>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</si>
  <si>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</si>
  <si>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</si>
  <si>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</si>
  <si>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</si>
  <si>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</si>
  <si>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</si>
  <si>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</si>
  <si>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</si>
  <si>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</si>
  <si>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</si>
  <si>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</si>
  <si>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</si>
  <si>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</si>
  <si>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</si>
  <si>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</si>
  <si>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</si>
  <si>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</si>
  <si>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</si>
  <si>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</si>
  <si>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</si>
  <si>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</si>
  <si>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</si>
  <si>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</si>
  <si>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</si>
  <si>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</si>
  <si>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</si>
  <si>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</si>
  <si>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</si>
  <si>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</si>
  <si>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</si>
  <si>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</si>
  <si>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</si>
  <si>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</si>
  <si>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</si>
  <si>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</si>
  <si>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</si>
  <si>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</si>
  <si>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</si>
  <si>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</si>
  <si>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</si>
  <si>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</si>
  <si>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</si>
  <si>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</si>
  <si>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</si>
  <si>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</si>
  <si>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</si>
  <si>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</si>
  <si>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</si>
  <si>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</si>
  <si>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</si>
  <si>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</si>
  <si>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</si>
  <si>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</si>
  <si>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</si>
  <si>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</si>
  <si>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</si>
  <si>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</si>
  <si>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</si>
  <si>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</si>
  <si>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</si>
  <si>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</si>
  <si>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</si>
  <si>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</si>
  <si>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</si>
  <si>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</si>
  <si>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</si>
  <si>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</si>
  <si>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</si>
  <si>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</si>
  <si>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</si>
  <si>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</si>
  <si>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</si>
  <si>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</si>
  <si>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</si>
  <si>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</si>
  <si>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</si>
  <si>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</si>
  <si>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</si>
  <si>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</si>
  <si>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</si>
  <si>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</si>
  <si>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</si>
  <si>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</si>
  <si>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</si>
  <si>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</si>
  <si>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</si>
  <si>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</si>
  <si>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</si>
  <si>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</si>
  <si>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</si>
  <si>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</si>
  <si>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</si>
  <si>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</si>
  <si>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</si>
  <si>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</si>
  <si>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</si>
  <si>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</si>
  <si>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</si>
  <si>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</si>
  <si>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</si>
  <si>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</si>
  <si>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</si>
  <si>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</si>
  <si>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</si>
  <si>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</si>
  <si>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</si>
  <si>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</si>
  <si>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</si>
  <si>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</si>
  <si>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</si>
  <si>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</si>
  <si>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</si>
  <si>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</si>
  <si>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</si>
  <si>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</si>
  <si>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</si>
  <si>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</si>
  <si>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</si>
  <si>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</si>
  <si>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</si>
  <si>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</si>
  <si>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</si>
  <si>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</si>
  <si>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</si>
  <si>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</si>
  <si>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</si>
  <si>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</si>
  <si>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</si>
  <si>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</si>
  <si>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</si>
  <si>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</si>
  <si>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</si>
  <si>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</si>
  <si>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</si>
  <si>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</si>
  <si>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</si>
  <si>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</si>
  <si>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</si>
  <si>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</si>
  <si>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</si>
  <si>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</si>
  <si>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</si>
  <si>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</si>
  <si>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</si>
  <si>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</si>
  <si>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</si>
  <si>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</si>
  <si>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</si>
  <si>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</si>
  <si>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</si>
  <si>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</si>
  <si>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</si>
  <si>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</si>
  <si>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</si>
  <si>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</si>
  <si>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</si>
  <si>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</si>
  <si>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</si>
  <si>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</si>
  <si>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</si>
  <si>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</si>
  <si>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</si>
  <si>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</si>
  <si>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</si>
  <si>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</si>
  <si>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</si>
  <si>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</si>
  <si>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</si>
  <si>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</si>
  <si>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</si>
  <si>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</si>
  <si>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</si>
  <si>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</si>
  <si>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</si>
  <si>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</si>
  <si>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</si>
  <si>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</si>
  <si>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</si>
  <si>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</si>
  <si>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</si>
  <si>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</si>
  <si>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</si>
  <si>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</si>
  <si>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</si>
  <si>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</si>
  <si>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</si>
  <si>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</si>
  <si>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</si>
  <si>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</si>
  <si>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</si>
  <si>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</si>
  <si>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</si>
  <si>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</si>
  <si>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</si>
  <si>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</si>
  <si>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</si>
  <si>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</si>
  <si>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</si>
  <si>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</si>
  <si>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</si>
  <si>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</si>
  <si>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</si>
  <si>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</si>
  <si>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</si>
  <si>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</si>
  <si>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</si>
  <si>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</si>
  <si>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</si>
  <si>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</si>
  <si>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</si>
  <si>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</si>
  <si>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</si>
  <si>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</si>
  <si>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</si>
  <si>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</si>
  <si>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</si>
  <si>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</si>
  <si>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</si>
  <si>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</si>
  <si>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</si>
  <si>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</si>
  <si>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</si>
  <si>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</si>
  <si>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</si>
  <si>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</si>
  <si>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</si>
  <si>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</si>
  <si>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</si>
  <si>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</si>
  <si>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</si>
  <si>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</si>
  <si>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</si>
  <si>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</si>
  <si>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</si>
  <si>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</si>
  <si>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</si>
  <si>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</si>
  <si>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</si>
  <si>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</si>
  <si>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</si>
  <si>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</si>
  <si>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</si>
  <si>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</si>
  <si>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</si>
  <si>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</si>
  <si>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</si>
  <si>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</si>
  <si>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</si>
  <si>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</si>
  <si>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</si>
  <si>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</si>
  <si>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</si>
  <si>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</si>
  <si>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</si>
  <si>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</si>
  <si>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</si>
  <si>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</si>
  <si>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</si>
  <si>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</si>
  <si>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</si>
  <si>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</si>
  <si>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</si>
  <si>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</si>
  <si>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</si>
  <si>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</si>
  <si>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</si>
  <si>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</si>
  <si>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</si>
  <si>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</si>
  <si>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</si>
  <si>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</si>
  <si>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</si>
  <si>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</si>
  <si>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</si>
  <si>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</si>
  <si>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</si>
  <si>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</si>
  <si>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</si>
  <si>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</si>
  <si>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</si>
  <si>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</si>
  <si>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</si>
  <si>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</si>
  <si>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</si>
  <si>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</si>
  <si>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</si>
  <si>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</si>
  <si>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</si>
  <si>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</si>
  <si>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</si>
  <si>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</si>
  <si>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</si>
  <si>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</si>
  <si>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</si>
  <si>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</si>
  <si>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</si>
  <si>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</si>
  <si>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</si>
  <si>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</si>
  <si>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</si>
  <si>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</si>
  <si>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</si>
  <si>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</si>
  <si>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</si>
  <si>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</si>
  <si>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</si>
  <si>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</si>
  <si>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</si>
  <si>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</si>
  <si>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</si>
  <si>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</si>
  <si>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</si>
  <si>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</si>
  <si>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</si>
  <si>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</si>
  <si>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</si>
  <si>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</si>
  <si>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</si>
  <si>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</si>
  <si>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</si>
  <si>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</si>
  <si>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</si>
  <si>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</si>
  <si>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</si>
  <si>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</si>
  <si>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</si>
  <si>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</si>
  <si>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</si>
  <si>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</si>
  <si>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</si>
  <si>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</si>
  <si>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</si>
  <si>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</si>
  <si>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</si>
  <si>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</si>
  <si>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</si>
  <si>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</si>
  <si>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</si>
  <si>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</si>
  <si>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</si>
  <si>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</si>
  <si>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</si>
  <si>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</si>
  <si>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</si>
  <si>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</si>
  <si>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</si>
  <si>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</si>
  <si>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</si>
  <si>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</si>
  <si>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</si>
  <si>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</si>
  <si>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</si>
  <si>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</si>
  <si>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</si>
  <si>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</si>
  <si>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</si>
  <si>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</si>
  <si>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</si>
  <si>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</si>
  <si>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</si>
  <si>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</si>
  <si>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</si>
  <si>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</si>
  <si>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</si>
  <si>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</si>
  <si>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</si>
  <si>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</si>
  <si>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</si>
  <si>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</si>
  <si>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</si>
  <si>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</si>
  <si>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</si>
  <si>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</si>
  <si>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</si>
  <si>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</si>
  <si>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</si>
  <si>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</si>
  <si>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</si>
  <si>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</si>
  <si>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</si>
  <si>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</si>
  <si>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</si>
  <si>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</si>
  <si>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</si>
  <si>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</si>
  <si>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</si>
  <si>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</si>
  <si>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</si>
  <si>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</si>
  <si>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</si>
  <si>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</si>
  <si>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</si>
  <si>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</si>
  <si>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</si>
  <si>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</si>
  <si>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</si>
  <si>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</si>
  <si>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</si>
  <si>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</si>
  <si>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</si>
  <si>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</si>
  <si>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</si>
  <si>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</si>
  <si>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</si>
  <si>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</si>
  <si>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</si>
  <si>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</si>
  <si>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</si>
  <si>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</si>
  <si>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</si>
  <si>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</si>
  <si>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</si>
  <si>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</si>
  <si>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</si>
  <si>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</si>
  <si>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</si>
  <si>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</si>
  <si>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</si>
  <si>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</si>
  <si>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</si>
  <si>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</si>
  <si>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</si>
  <si>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</si>
  <si>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</si>
  <si>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</si>
  <si>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</si>
  <si>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</si>
  <si>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</si>
  <si>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</si>
  <si>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</si>
  <si>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</si>
  <si>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</si>
  <si>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</si>
  <si>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</si>
  <si>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</si>
  <si>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</si>
  <si>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</si>
  <si>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</si>
  <si>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</si>
  <si>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</si>
  <si>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</si>
  <si>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</si>
  <si>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</si>
  <si>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</si>
  <si>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</si>
  <si>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</si>
  <si>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</si>
  <si>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</si>
  <si>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</si>
  <si>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</si>
  <si>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</si>
  <si>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</si>
  <si>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</si>
  <si>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</si>
  <si>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</si>
  <si>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</si>
  <si>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</si>
  <si>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</si>
  <si>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</si>
  <si>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</si>
  <si>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</si>
  <si>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</si>
  <si>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</si>
  <si>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</si>
  <si>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</si>
  <si>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</si>
  <si>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</si>
  <si>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</si>
  <si>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</si>
  <si>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</si>
  <si>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</si>
  <si>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</si>
  <si>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</si>
  <si>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</si>
  <si>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</si>
  <si>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</si>
  <si>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</si>
  <si>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</si>
  <si>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</si>
  <si>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</si>
  <si>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</si>
  <si>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</si>
  <si>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</si>
  <si>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</si>
  <si>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</si>
  <si>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</si>
  <si>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</si>
  <si>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</si>
  <si>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</si>
  <si>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</si>
  <si>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</si>
  <si>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</si>
  <si>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</si>
  <si>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</si>
  <si>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</si>
  <si>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</si>
  <si>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</si>
  <si>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</si>
  <si>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</si>
  <si>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</si>
  <si>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</si>
  <si>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</si>
  <si>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</si>
  <si>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</si>
  <si>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</si>
  <si>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</si>
  <si>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</si>
  <si>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</si>
  <si>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</si>
  <si>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</si>
  <si>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</si>
  <si>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</si>
  <si>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</si>
  <si>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</si>
  <si>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</si>
  <si>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</si>
  <si>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</si>
  <si>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</si>
  <si>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</si>
  <si>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</si>
  <si>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</si>
  <si>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</si>
  <si>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</si>
  <si>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</si>
  <si>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</si>
  <si>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</si>
  <si>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</si>
  <si>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</si>
  <si>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</si>
  <si>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</si>
  <si>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</si>
  <si>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</si>
  <si>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</si>
  <si>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</si>
  <si>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</si>
  <si>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</si>
  <si>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</si>
  <si>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</si>
  <si>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</si>
  <si>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</si>
  <si>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</si>
  <si>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</si>
  <si>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</si>
  <si>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</si>
  <si>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</si>
  <si>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</si>
  <si>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</si>
  <si>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</si>
  <si>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</si>
  <si>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</si>
  <si>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</si>
  <si>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</si>
  <si>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</si>
  <si>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</si>
  <si>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</si>
  <si>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</si>
  <si>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</si>
  <si>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</si>
  <si>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</si>
  <si>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</si>
  <si>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</si>
  <si>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</si>
  <si>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</si>
  <si>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</si>
  <si>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</si>
  <si>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</si>
  <si>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</si>
  <si>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</si>
  <si>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</si>
  <si>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</si>
  <si>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</si>
  <si>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</si>
  <si>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</si>
  <si>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</si>
  <si>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</si>
  <si>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</si>
  <si>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</si>
  <si>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</si>
  <si>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</si>
  <si>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</si>
  <si>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</si>
  <si>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</si>
  <si>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</si>
  <si>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</si>
  <si>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</si>
  <si>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</si>
  <si>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</si>
  <si>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</si>
  <si>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</si>
  <si>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</si>
  <si>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</si>
  <si>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</si>
  <si>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</si>
  <si>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</si>
  <si>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</si>
  <si>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</si>
  <si>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</si>
  <si>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</si>
  <si>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</si>
  <si>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</si>
  <si>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</si>
  <si>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</si>
  <si>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</si>
  <si>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</si>
  <si>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</si>
  <si>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</si>
  <si>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</si>
  <si>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</si>
  <si>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</si>
  <si>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</si>
  <si>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</si>
  <si>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</si>
  <si>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</si>
  <si>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</si>
  <si>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</si>
  <si>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</si>
  <si>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</si>
  <si>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</si>
  <si>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</si>
  <si>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</si>
  <si>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</si>
  <si>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</si>
  <si>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</si>
  <si>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</si>
  <si>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</si>
  <si>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</si>
  <si>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</si>
  <si>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</si>
  <si>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</si>
  <si>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</si>
  <si>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</si>
  <si>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</si>
  <si>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</si>
  <si>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</si>
  <si>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</si>
  <si>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</si>
  <si>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</si>
  <si>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</si>
  <si>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</si>
  <si>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</si>
  <si>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</si>
  <si>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</si>
  <si>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</si>
  <si>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</si>
  <si>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</si>
  <si>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</si>
  <si>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</si>
  <si>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</si>
  <si>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</si>
  <si>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</si>
  <si>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</si>
  <si>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</si>
  <si>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</si>
  <si>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</si>
  <si>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</si>
  <si>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</si>
  <si>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</si>
  <si>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</si>
  <si>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</si>
  <si>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</si>
  <si>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</si>
  <si>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</si>
  <si>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</si>
  <si>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</si>
  <si>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</si>
  <si>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</si>
  <si>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</si>
  <si>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</si>
  <si>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</si>
  <si>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</si>
  <si>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</si>
  <si>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</si>
  <si>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</si>
  <si>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</si>
  <si>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</si>
  <si>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</si>
  <si>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</si>
  <si>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</si>
  <si>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</si>
  <si>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</si>
  <si>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</si>
  <si>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</si>
  <si>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</si>
  <si>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</si>
  <si>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</si>
  <si>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</si>
  <si>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</si>
  <si>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</si>
  <si>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</si>
  <si>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</si>
  <si>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</si>
  <si>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</si>
  <si>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</si>
  <si>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</si>
  <si>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</si>
  <si>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</si>
  <si>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</si>
  <si>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</si>
  <si>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</si>
  <si>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</si>
  <si>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</si>
  <si>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</si>
  <si>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</si>
  <si>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</si>
  <si>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</si>
  <si>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</si>
  <si>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</si>
  <si>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</si>
  <si>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</si>
  <si>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</si>
  <si>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</si>
  <si>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</si>
  <si>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</si>
  <si>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</si>
  <si>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</si>
  <si>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</si>
  <si>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</si>
  <si>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</si>
  <si>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</si>
  <si>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</si>
  <si>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</si>
  <si>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</si>
  <si>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</si>
  <si>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</si>
  <si>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</si>
  <si>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</si>
  <si>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</si>
  <si>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</si>
  <si>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</si>
  <si>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</si>
  <si>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</si>
  <si>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</si>
  <si>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</si>
  <si>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</si>
  <si>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</si>
  <si>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</si>
  <si>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</si>
  <si>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</si>
  <si>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</si>
  <si>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</si>
  <si>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</si>
  <si>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</si>
  <si>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</si>
  <si>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</si>
  <si>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</si>
  <si>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</si>
  <si>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</si>
  <si>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</si>
  <si>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</si>
  <si>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</si>
  <si>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</si>
  <si>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</si>
  <si>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</si>
  <si>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</si>
  <si>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</si>
  <si>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</si>
  <si>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</si>
  <si>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</si>
  <si>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</si>
  <si>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</si>
  <si>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</si>
  <si>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</si>
  <si>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</si>
  <si>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</si>
  <si>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</si>
  <si>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</si>
  <si>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</si>
  <si>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</si>
  <si>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</si>
  <si>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</si>
  <si>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</si>
  <si>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</si>
  <si>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</si>
  <si>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</si>
  <si>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</si>
  <si>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</si>
  <si>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</si>
  <si>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</si>
  <si>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</si>
  <si>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</si>
  <si>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</si>
  <si>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</si>
  <si>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</si>
  <si>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</si>
  <si>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</si>
  <si>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</si>
  <si>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</si>
  <si>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</si>
  <si>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</si>
  <si>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</si>
  <si>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</si>
  <si>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</si>
  <si>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</si>
  <si>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</si>
  <si>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</si>
  <si>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</si>
  <si>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</si>
  <si>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</si>
  <si>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</si>
  <si>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</si>
  <si>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</si>
  <si>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</si>
  <si>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</si>
  <si>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</si>
  <si>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</si>
  <si>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</si>
  <si>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</si>
  <si>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</si>
  <si>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</si>
  <si>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</si>
  <si>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</si>
  <si>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</si>
  <si>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</si>
  <si>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</si>
  <si>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</si>
  <si>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</si>
  <si>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</si>
  <si>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</si>
  <si>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</si>
  <si>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</si>
  <si>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</si>
  <si>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</si>
  <si>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</si>
  <si>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</si>
  <si>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</si>
  <si>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</si>
  <si>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</si>
  <si>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</si>
  <si>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</si>
  <si>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</si>
  <si>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</si>
  <si>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</si>
  <si>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</si>
  <si>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</si>
  <si>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</si>
  <si>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</si>
  <si>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</si>
  <si>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</si>
  <si>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</si>
  <si>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</si>
  <si>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</si>
  <si>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</si>
  <si>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</si>
  <si>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</si>
  <si>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</si>
  <si>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</si>
  <si>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</si>
  <si>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</si>
  <si>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</si>
  <si>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</si>
  <si>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</si>
  <si>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</si>
  <si>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</si>
  <si>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</si>
  <si>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</si>
  <si>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</si>
  <si>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</si>
  <si>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</si>
  <si>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</si>
  <si>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</si>
  <si>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</si>
  <si>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</si>
  <si>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</si>
  <si>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</si>
  <si>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</si>
  <si>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</si>
  <si>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</si>
  <si>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</si>
  <si>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</si>
  <si>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</si>
  <si>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</si>
  <si>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</si>
  <si>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</si>
  <si>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</si>
  <si>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</si>
  <si>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</si>
  <si>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</si>
  <si>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</si>
  <si>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</si>
  <si>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</si>
  <si>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</si>
  <si>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</si>
  <si>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</si>
  <si>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</si>
  <si>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</si>
  <si>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</si>
  <si>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</si>
  <si>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</si>
  <si>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</si>
  <si>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</si>
  <si>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</si>
  <si>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</si>
  <si>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</si>
  <si>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</si>
  <si>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</si>
  <si>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</si>
  <si>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</si>
  <si>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</si>
  <si>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</si>
  <si>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</si>
  <si>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</si>
  <si>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</si>
  <si>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</si>
  <si>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</si>
  <si>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</si>
  <si>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</si>
  <si>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</si>
  <si>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</si>
  <si>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</si>
  <si>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</si>
  <si>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</si>
  <si>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</si>
  <si>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</si>
  <si>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</si>
  <si>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</si>
  <si>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</si>
  <si>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</si>
  <si>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</si>
  <si>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</si>
  <si>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</si>
  <si>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</si>
  <si>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</si>
  <si>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</si>
  <si>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</si>
  <si>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</si>
  <si>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</si>
  <si>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</si>
  <si>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</si>
  <si>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</si>
  <si>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</si>
  <si>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</si>
  <si>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</si>
  <si>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</si>
  <si>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</si>
  <si>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</si>
  <si>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</si>
  <si>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</si>
  <si>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</si>
  <si>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</si>
  <si>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</si>
  <si>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</si>
  <si>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</si>
  <si>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</si>
  <si>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</si>
  <si>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</si>
  <si>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</si>
  <si>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</si>
  <si>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</si>
  <si>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</si>
  <si>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</si>
  <si>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</si>
  <si>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</si>
  <si>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</si>
  <si>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</si>
  <si>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</si>
  <si>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</si>
  <si>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</si>
  <si>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</si>
  <si>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</si>
  <si>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</si>
  <si>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</si>
  <si>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</si>
  <si>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</si>
  <si>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</si>
  <si>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</si>
  <si>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</si>
  <si>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</si>
  <si>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</si>
  <si>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</si>
  <si>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</si>
  <si>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</si>
  <si>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</si>
  <si>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</si>
  <si>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</si>
  <si>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</si>
  <si>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</si>
  <si>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</si>
  <si>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</si>
  <si>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</si>
  <si>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</si>
  <si>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</si>
  <si>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</si>
  <si>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</si>
  <si>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</si>
  <si>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</si>
  <si>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</si>
  <si>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</si>
  <si>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</si>
  <si>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</si>
  <si>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</si>
  <si>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</si>
  <si>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</si>
  <si>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</si>
  <si>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</si>
  <si>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</si>
  <si>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</si>
  <si>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</si>
  <si>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</si>
  <si>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</si>
  <si>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</si>
  <si>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</si>
  <si>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</si>
  <si>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</si>
  <si>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</si>
  <si>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</si>
  <si>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</si>
  <si>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</si>
  <si>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</si>
  <si>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</si>
  <si>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</si>
  <si>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</si>
  <si>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</si>
  <si>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</si>
  <si>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</si>
  <si>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</si>
  <si>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</si>
  <si>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</si>
  <si>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</si>
  <si>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</si>
  <si>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</si>
  <si>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</si>
  <si>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</si>
  <si>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</si>
  <si>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</si>
  <si>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</si>
  <si>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</si>
  <si>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</si>
  <si>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</si>
  <si>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</si>
  <si>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</si>
  <si>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</si>
  <si>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</si>
  <si>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</si>
  <si>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</si>
  <si>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</si>
  <si>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</si>
  <si>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</si>
  <si>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</si>
  <si>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</si>
  <si>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</si>
  <si>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</si>
  <si>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</si>
  <si>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</si>
  <si>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</si>
  <si>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</si>
  <si>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</si>
  <si>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</si>
  <si>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</si>
  <si>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</si>
  <si>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</si>
  <si>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</si>
  <si>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</si>
  <si>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</si>
  <si>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</si>
  <si>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</si>
  <si>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</si>
  <si>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</si>
  <si>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</si>
  <si>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</si>
  <si>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</si>
  <si>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</si>
  <si>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</si>
  <si>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</si>
  <si>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</si>
  <si>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</si>
  <si>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</si>
  <si>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</si>
  <si>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</si>
  <si>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</si>
  <si>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</si>
  <si>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</si>
  <si>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</si>
  <si>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</si>
  <si>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</si>
  <si>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</si>
  <si>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</si>
  <si>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</si>
  <si>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</si>
  <si>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</si>
  <si>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</si>
  <si>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</si>
  <si>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</si>
  <si>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</si>
  <si>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</si>
  <si>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</si>
  <si>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</si>
  <si>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</si>
  <si>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</si>
  <si>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</si>
  <si>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</si>
  <si>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</si>
  <si>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</si>
  <si>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</si>
  <si>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</si>
  <si>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</si>
  <si>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</si>
  <si>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</si>
  <si>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</si>
  <si>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</si>
  <si>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</si>
  <si>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</si>
  <si>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</si>
  <si>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</si>
  <si>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</si>
  <si>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</si>
  <si>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</si>
  <si>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</si>
  <si>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</si>
  <si>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</si>
  <si>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</si>
  <si>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</si>
  <si>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</si>
  <si>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</si>
  <si>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</si>
  <si>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</si>
  <si>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</si>
  <si>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</si>
  <si>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</si>
  <si>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</si>
  <si>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</si>
  <si>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</si>
  <si>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</si>
  <si>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</si>
  <si>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</si>
  <si>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</si>
  <si>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</si>
  <si>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</si>
  <si>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</si>
  <si>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</si>
  <si>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</si>
  <si>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</si>
  <si>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</si>
  <si>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</si>
  <si>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</si>
  <si>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</si>
  <si>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</si>
  <si>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</si>
  <si>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</si>
  <si>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</si>
  <si>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</si>
  <si>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</si>
  <si>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</si>
  <si>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</si>
  <si>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</si>
  <si>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</si>
  <si>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</si>
  <si>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</si>
  <si>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</si>
  <si>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</si>
  <si>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</si>
  <si>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</si>
  <si>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</si>
  <si>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</si>
  <si>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</si>
  <si>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</si>
  <si>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</si>
  <si>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</si>
  <si>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</si>
  <si>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</si>
  <si>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</si>
  <si>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</si>
  <si>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</si>
  <si>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</si>
  <si>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</si>
  <si>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</si>
  <si>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</si>
  <si>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</si>
  <si>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</si>
  <si>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</si>
  <si>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</si>
  <si>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</si>
  <si>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</si>
  <si>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</si>
  <si>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</si>
  <si>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</si>
  <si>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</si>
  <si>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</si>
  <si>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</si>
  <si>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</si>
  <si>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</si>
  <si>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</si>
  <si>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</si>
  <si>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</si>
  <si>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</si>
  <si>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</si>
  <si>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</si>
  <si>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</si>
  <si>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</si>
  <si>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</si>
  <si>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</si>
  <si>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</si>
  <si>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</si>
  <si>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</si>
  <si>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</si>
  <si>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</si>
  <si>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</si>
  <si>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</si>
  <si>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</si>
  <si>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</si>
  <si>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</si>
  <si>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</si>
  <si>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</si>
  <si>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</si>
  <si>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</si>
  <si>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</si>
  <si>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</si>
  <si>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</si>
  <si>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</si>
  <si>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</si>
  <si>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</si>
  <si>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</si>
  <si>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</si>
  <si>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</si>
  <si>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</si>
  <si>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</si>
  <si>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</si>
  <si>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</si>
  <si>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</si>
  <si>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</si>
  <si>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</si>
  <si>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</si>
  <si>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</si>
  <si>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</si>
  <si>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</si>
  <si>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</si>
  <si>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</si>
  <si>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</si>
  <si>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</si>
  <si>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</si>
  <si>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</si>
  <si>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</si>
  <si>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</si>
  <si>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</si>
  <si>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</si>
  <si>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</si>
  <si>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</si>
  <si>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</si>
  <si>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</si>
  <si>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</si>
  <si>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</si>
  <si>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</si>
  <si>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</si>
  <si>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</si>
  <si>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</si>
  <si>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</si>
  <si>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</si>
  <si>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</si>
  <si>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</si>
  <si>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</si>
  <si>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</si>
  <si>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</si>
  <si>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</si>
  <si>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</si>
  <si>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</si>
  <si>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</si>
  <si>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</si>
  <si>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</si>
  <si>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</si>
  <si>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</si>
  <si>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</si>
  <si>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</si>
  <si>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</si>
  <si>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</si>
  <si>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</si>
  <si>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</si>
  <si>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</si>
  <si>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</si>
  <si>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</si>
  <si>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</si>
  <si>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</si>
  <si>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</si>
  <si>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</si>
  <si>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</si>
  <si>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</si>
  <si>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</si>
  <si>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</si>
  <si>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</si>
  <si>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</si>
  <si>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</si>
  <si>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</si>
  <si>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</si>
  <si>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</si>
  <si>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</si>
  <si>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</si>
  <si>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</si>
  <si>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</si>
  <si>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</si>
  <si>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</si>
  <si>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</si>
  <si>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</si>
  <si>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</si>
  <si>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</si>
  <si>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</si>
  <si>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</si>
  <si>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</si>
  <si>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</si>
  <si>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</si>
  <si>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</si>
  <si>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</si>
  <si>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</si>
  <si>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</si>
  <si>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</si>
  <si>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</si>
  <si>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</si>
  <si>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</si>
  <si>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</si>
  <si>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</si>
  <si>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</si>
  <si>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</si>
  <si>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</si>
  <si>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</si>
  <si>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</si>
  <si>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</si>
  <si>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</si>
  <si>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</si>
  <si>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</si>
  <si>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</si>
  <si>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</si>
  <si>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</si>
  <si>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</si>
  <si>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</si>
  <si>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</si>
  <si>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</si>
  <si>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</si>
  <si>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</si>
  <si>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</si>
  <si>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</si>
  <si>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</si>
  <si>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</si>
  <si>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</si>
  <si>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</si>
  <si>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</si>
  <si>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</si>
  <si>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</si>
  <si>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</si>
  <si>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</si>
  <si>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</si>
  <si>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</si>
  <si>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</si>
  <si>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</si>
  <si>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</si>
  <si>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</si>
  <si>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</si>
  <si>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</si>
  <si>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</si>
  <si>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</si>
  <si>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</si>
  <si>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</si>
  <si>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</si>
  <si>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</si>
  <si>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</si>
  <si>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</si>
  <si>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</si>
  <si>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</si>
  <si>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</si>
  <si>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</si>
  <si>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</si>
  <si>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</si>
  <si>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</si>
  <si>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</si>
  <si>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</si>
  <si>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</si>
  <si>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</si>
  <si>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</si>
  <si>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</si>
  <si>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</si>
  <si>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</si>
  <si>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</si>
  <si>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</si>
  <si>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</si>
  <si>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</si>
  <si>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</si>
  <si>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</si>
  <si>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</si>
  <si>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</si>
  <si>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</si>
  <si>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</si>
  <si>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</si>
  <si>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</si>
  <si>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</si>
  <si>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</si>
  <si>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</si>
  <si>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</si>
  <si>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</si>
  <si>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</si>
  <si>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</si>
  <si>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</si>
  <si>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</si>
  <si>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</si>
  <si>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</si>
  <si>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</si>
  <si>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</si>
  <si>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</si>
  <si>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</si>
  <si>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</si>
  <si>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</si>
  <si>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</si>
  <si>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</si>
  <si>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</si>
  <si>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</si>
  <si>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</si>
  <si>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</si>
  <si>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</si>
  <si>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</si>
  <si>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</si>
  <si>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</si>
  <si>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</si>
  <si>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</si>
  <si>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</si>
  <si>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</si>
  <si>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</si>
  <si>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</si>
  <si>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</si>
  <si>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</si>
  <si>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</si>
  <si>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</si>
  <si>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</si>
  <si>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</si>
  <si>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</si>
  <si>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</si>
  <si>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</si>
  <si>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</si>
  <si>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</si>
  <si>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</si>
  <si>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</si>
  <si>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</si>
  <si>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</si>
  <si>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</si>
  <si>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</si>
  <si>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</si>
  <si>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</si>
  <si>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</si>
  <si>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</si>
  <si>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</si>
  <si>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</si>
  <si>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</si>
  <si>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</si>
  <si>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</si>
  <si>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</si>
  <si>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</si>
  <si>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</si>
  <si>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</si>
  <si>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</si>
  <si>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</si>
  <si>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</si>
  <si>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</si>
  <si>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</si>
  <si>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</si>
  <si>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</si>
  <si>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</si>
  <si>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</si>
  <si>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</si>
  <si>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</si>
  <si>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</si>
  <si>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</si>
  <si>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</si>
  <si>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</si>
  <si>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</si>
  <si>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</si>
  <si>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</si>
  <si>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</si>
  <si>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</si>
  <si>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</si>
  <si>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</si>
  <si>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</si>
  <si>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</si>
  <si>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</si>
  <si>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</si>
  <si>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</si>
  <si>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</si>
  <si>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</si>
  <si>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</si>
  <si>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</si>
  <si>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</si>
  <si>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</si>
  <si>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</si>
  <si>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</si>
  <si>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</si>
  <si>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</si>
  <si>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</si>
  <si>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</si>
  <si>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</si>
  <si>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</si>
  <si>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</si>
  <si>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</si>
  <si>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</si>
  <si>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</si>
  <si>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</si>
  <si>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</si>
  <si>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</si>
  <si>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</si>
  <si>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</si>
  <si>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</si>
  <si>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</si>
  <si>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</si>
  <si>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</si>
  <si>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</si>
  <si>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</si>
  <si>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</si>
  <si>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</si>
  <si>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</si>
  <si>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</si>
  <si>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</si>
  <si>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</si>
  <si>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</si>
  <si>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</si>
  <si>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</si>
  <si>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</si>
  <si>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</si>
  <si>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</si>
  <si>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</si>
  <si>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</si>
  <si>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</si>
  <si>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</si>
  <si>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</si>
  <si>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</si>
  <si>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</si>
  <si>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</si>
  <si>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</si>
  <si>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</si>
  <si>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</si>
  <si>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</si>
  <si>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</si>
  <si>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</si>
  <si>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</si>
  <si>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</si>
  <si>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</si>
  <si>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</si>
  <si>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</si>
  <si>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</si>
  <si>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</si>
  <si>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</si>
  <si>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</si>
  <si>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</si>
  <si>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</si>
  <si>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</si>
  <si>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</si>
  <si>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</si>
  <si>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</si>
  <si>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</si>
  <si>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</si>
  <si>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</si>
  <si>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</si>
  <si>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</si>
  <si>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</si>
  <si>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</si>
  <si>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</si>
  <si>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</si>
  <si>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</si>
  <si>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</si>
  <si>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</si>
  <si>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</si>
  <si>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</si>
  <si>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</si>
  <si>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</si>
  <si>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</si>
  <si>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</si>
  <si>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</si>
  <si>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</si>
  <si>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</si>
  <si>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</si>
  <si>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</si>
  <si>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</si>
  <si>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</si>
  <si>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</si>
  <si>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</si>
  <si>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</si>
  <si>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</si>
  <si>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</si>
  <si>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</si>
  <si>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</si>
  <si>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</si>
  <si>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</si>
  <si>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</si>
  <si>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</si>
  <si>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</si>
  <si>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</si>
  <si>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</si>
  <si>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</si>
  <si>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</si>
  <si>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</si>
  <si>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</si>
  <si>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</si>
  <si>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</si>
  <si>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</si>
  <si>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</si>
  <si>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</si>
  <si>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</si>
  <si>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</si>
  <si>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</si>
  <si>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</si>
  <si>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</si>
  <si>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</si>
  <si>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</si>
  <si>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</si>
  <si>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</si>
  <si>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</si>
  <si>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</si>
  <si>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</si>
  <si>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</si>
  <si>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</si>
  <si>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</si>
  <si>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</si>
  <si>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</si>
  <si>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</si>
  <si>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</si>
  <si>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</si>
  <si>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</si>
  <si>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</si>
  <si>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</si>
  <si>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</si>
  <si>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</si>
  <si>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</si>
  <si>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</si>
  <si>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</si>
  <si>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</si>
  <si>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</si>
  <si>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</si>
  <si>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</si>
  <si>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</si>
  <si>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</si>
  <si>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</si>
  <si>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</si>
  <si>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</si>
  <si>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</si>
  <si>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</si>
  <si>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</si>
  <si>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</si>
  <si>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</si>
  <si>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</si>
  <si>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</si>
  <si>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</si>
  <si>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</si>
  <si>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</si>
  <si>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</si>
  <si>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</si>
  <si>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</si>
  <si>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</si>
  <si>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</si>
  <si>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</si>
  <si>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</si>
  <si>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</si>
  <si>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</si>
  <si>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</si>
  <si>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</si>
  <si>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</si>
  <si>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</si>
  <si>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</si>
  <si>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</si>
  <si>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</si>
  <si>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</si>
  <si>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</si>
  <si>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</si>
  <si>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</si>
  <si>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</si>
  <si>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</si>
  <si>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</si>
  <si>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</si>
  <si>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</si>
  <si>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</si>
  <si>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</si>
  <si>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</si>
  <si>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</si>
  <si>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</si>
  <si>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</si>
  <si>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</si>
  <si>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</si>
  <si>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</si>
  <si>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</si>
  <si>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</si>
  <si>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</si>
  <si>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</si>
  <si>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</si>
  <si>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</si>
  <si>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</si>
  <si>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</si>
  <si>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</si>
  <si>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</si>
  <si>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</si>
  <si>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</si>
  <si>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</si>
  <si>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</si>
  <si>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</si>
  <si>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</si>
  <si>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</si>
  <si>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</si>
  <si>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</si>
  <si>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</si>
  <si>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</si>
  <si>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</si>
  <si>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</si>
  <si>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</si>
  <si>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</si>
  <si>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</si>
  <si>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</si>
  <si>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</si>
  <si>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</si>
  <si>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</si>
  <si>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</si>
  <si>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</si>
  <si>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</si>
  <si>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</si>
  <si>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</si>
  <si>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</si>
  <si>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</si>
  <si>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</si>
  <si>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</si>
  <si>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</si>
  <si>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</si>
  <si>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</si>
  <si>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</si>
  <si>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</si>
  <si>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</si>
  <si>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</si>
  <si>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</si>
  <si>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</si>
  <si>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</si>
  <si>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</si>
  <si>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</si>
  <si>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</si>
  <si>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</si>
  <si>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</si>
  <si>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</si>
  <si>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</si>
  <si>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</si>
  <si>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</si>
  <si>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</si>
  <si>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</si>
  <si>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</si>
  <si>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</si>
  <si>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</si>
  <si>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</si>
  <si>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</si>
  <si>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</si>
  <si>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</si>
  <si>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</si>
  <si>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</si>
  <si>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</si>
  <si>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</si>
  <si>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</si>
  <si>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</si>
  <si>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</si>
  <si>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</si>
  <si>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</si>
  <si>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</si>
  <si>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</si>
  <si>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</si>
  <si>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</si>
  <si>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</si>
  <si>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</si>
  <si>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</si>
  <si>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</si>
  <si>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</si>
  <si>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</si>
  <si>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</si>
  <si>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</si>
  <si>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</si>
  <si>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</si>
  <si>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</si>
  <si>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</si>
  <si>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</si>
  <si>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</si>
  <si>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</si>
  <si>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</si>
  <si>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</si>
  <si>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</si>
  <si>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</si>
  <si>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</si>
  <si>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</si>
  <si>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</si>
  <si>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</si>
  <si>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</si>
  <si>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</si>
  <si>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</si>
  <si>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</si>
  <si>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</si>
  <si>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</si>
  <si>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</si>
  <si>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</si>
  <si>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</si>
  <si>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</si>
  <si>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</si>
  <si>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</si>
  <si>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</si>
  <si>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</si>
  <si>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</si>
  <si>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</si>
  <si>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</si>
  <si>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</si>
  <si>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</si>
  <si>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</si>
  <si>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</si>
  <si>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</si>
  <si>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</si>
  <si>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</si>
  <si>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</si>
  <si>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</si>
  <si>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</si>
  <si>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</si>
  <si>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</si>
  <si>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</si>
  <si>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</si>
  <si>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</si>
  <si>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</si>
  <si>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</si>
  <si>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</si>
  <si>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</si>
  <si>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</si>
  <si>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</si>
  <si>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</si>
  <si>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</si>
  <si>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</si>
  <si>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</si>
  <si>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</si>
  <si>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</si>
  <si>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</si>
  <si>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</si>
  <si>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</si>
  <si>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</si>
  <si>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</si>
  <si>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</si>
  <si>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</si>
  <si>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</si>
  <si>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</si>
  <si>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</si>
  <si>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</si>
  <si>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</si>
  <si>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</si>
  <si>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</si>
  <si>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</si>
  <si>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</si>
  <si>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</si>
  <si>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</si>
  <si>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</si>
  <si>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</si>
  <si>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</si>
  <si>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</si>
  <si>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</si>
  <si>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</si>
  <si>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</si>
  <si>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</si>
  <si>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</si>
  <si>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</si>
  <si>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</si>
  <si>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</si>
  <si>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</si>
  <si>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</si>
  <si>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</si>
  <si>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</si>
  <si>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</si>
  <si>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</si>
  <si>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</si>
  <si>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</si>
  <si>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</si>
  <si>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</si>
  <si>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</si>
  <si>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</si>
  <si>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</si>
  <si>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</si>
  <si>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</si>
  <si>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</si>
  <si>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</si>
  <si>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</si>
  <si>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</si>
  <si>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</si>
  <si>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</si>
  <si>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</si>
  <si>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</si>
  <si>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</si>
  <si>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</si>
  <si>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</si>
  <si>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</si>
  <si>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</si>
  <si>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</si>
  <si>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</si>
  <si>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</si>
  <si>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</si>
  <si>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</si>
  <si>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</si>
  <si>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</si>
  <si>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</si>
  <si>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</si>
  <si>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</si>
  <si>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</si>
  <si>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</si>
  <si>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</si>
  <si>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</si>
  <si>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</si>
  <si>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</si>
  <si>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</si>
  <si>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</si>
  <si>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</si>
  <si>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</si>
  <si>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</si>
  <si>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</si>
  <si>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</si>
  <si>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</si>
  <si>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</si>
  <si>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</si>
  <si>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</si>
  <si>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</si>
  <si>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</si>
  <si>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</si>
  <si>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</si>
  <si>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</si>
  <si>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</si>
  <si>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</si>
  <si>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</si>
  <si>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</si>
  <si>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</si>
  <si>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</si>
  <si>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</si>
  <si>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</si>
  <si>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</si>
  <si>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</si>
  <si>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</si>
  <si>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</si>
  <si>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</si>
  <si>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</si>
  <si>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</si>
  <si>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</si>
  <si>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</si>
  <si>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</si>
  <si>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</si>
  <si>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</si>
  <si>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</si>
  <si>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</si>
  <si>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</si>
  <si>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</si>
  <si>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</si>
  <si>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</si>
  <si>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</si>
  <si>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</si>
  <si>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</si>
  <si>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</si>
  <si>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</si>
  <si>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</si>
  <si>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</si>
  <si>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</si>
  <si>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</si>
  <si>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</si>
  <si>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</si>
  <si>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</si>
  <si>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</si>
  <si>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</si>
  <si>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</si>
  <si>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</si>
  <si>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</si>
  <si>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</si>
  <si>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</si>
  <si>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</si>
  <si>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</si>
  <si>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</si>
  <si>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</si>
  <si>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</si>
  <si>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</si>
  <si>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</si>
  <si>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</si>
  <si>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</si>
  <si>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</si>
  <si>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</si>
  <si>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</si>
  <si>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</si>
  <si>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</si>
  <si>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</si>
  <si>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</si>
  <si>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</si>
  <si>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</si>
  <si>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</si>
  <si>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</si>
  <si>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</si>
  <si>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</si>
  <si>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</si>
  <si>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</si>
  <si>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</si>
  <si>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</si>
  <si>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</si>
  <si>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</si>
  <si>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</si>
  <si>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</si>
  <si>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</si>
  <si>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</si>
  <si>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</si>
  <si>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</si>
  <si>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</si>
  <si>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</si>
  <si>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</si>
  <si>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</si>
  <si>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</si>
  <si>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</si>
  <si>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</si>
  <si>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</si>
  <si>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</si>
  <si>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</si>
  <si>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</si>
  <si>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</si>
  <si>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</si>
  <si>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</si>
  <si>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</si>
  <si>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</si>
  <si>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</si>
  <si>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</si>
  <si>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</si>
  <si>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</si>
  <si>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</si>
  <si>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</si>
  <si>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</si>
  <si>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</si>
  <si>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</si>
  <si>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</si>
  <si>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</si>
  <si>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</si>
  <si>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</si>
  <si>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</si>
  <si>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</si>
  <si>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</si>
  <si>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</si>
  <si>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</si>
  <si>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</si>
  <si>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</si>
  <si>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</si>
  <si>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</si>
  <si>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</si>
  <si>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</si>
  <si>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</si>
  <si>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</si>
  <si>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</si>
  <si>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</si>
  <si>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</si>
  <si>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</si>
  <si>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</si>
  <si>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</si>
  <si>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</si>
  <si>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</si>
  <si>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</si>
  <si>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</si>
  <si>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</si>
  <si>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</si>
  <si>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</si>
  <si>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</si>
  <si>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</si>
  <si>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</si>
  <si>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</si>
  <si>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</si>
  <si>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</si>
  <si>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</si>
  <si>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</si>
  <si>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</si>
  <si>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</si>
  <si>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</si>
  <si>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</si>
  <si>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</si>
  <si>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</si>
  <si>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</si>
  <si>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</si>
  <si>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</si>
  <si>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</si>
  <si>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</si>
  <si>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</si>
  <si>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</si>
  <si>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</si>
  <si>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</si>
  <si>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</si>
  <si>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</si>
  <si>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</si>
  <si>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</si>
  <si>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</si>
  <si>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</si>
  <si>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</si>
  <si>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</si>
  <si>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</si>
  <si>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</si>
  <si>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</si>
  <si>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</si>
  <si>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</si>
  <si>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</si>
  <si>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</si>
  <si>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</si>
  <si>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</si>
  <si>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</si>
  <si>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</si>
  <si>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</si>
  <si>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</si>
  <si>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</si>
  <si>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</si>
  <si>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</si>
  <si>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</si>
  <si>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</si>
  <si>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</si>
  <si>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</si>
  <si>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</si>
  <si>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</si>
  <si>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</si>
  <si>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</si>
  <si>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</si>
  <si>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</si>
  <si>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</si>
  <si>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</si>
  <si>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</si>
  <si>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</si>
  <si>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</si>
  <si>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</si>
  <si>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</si>
  <si>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</si>
  <si>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</si>
  <si>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</si>
  <si>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</si>
  <si>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</si>
  <si>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</si>
  <si>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</si>
  <si>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</si>
  <si>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</si>
  <si>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</si>
  <si>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</si>
  <si>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</si>
  <si>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</si>
  <si>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</si>
  <si>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</si>
  <si>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</si>
  <si>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</si>
  <si>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</si>
  <si>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</si>
  <si>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</si>
  <si>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</si>
  <si>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</si>
  <si>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</si>
  <si>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</si>
  <si>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</si>
  <si>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</si>
  <si>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</si>
  <si>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</si>
  <si>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</si>
  <si>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</si>
  <si>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</si>
  <si>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</si>
  <si>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</si>
  <si>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</si>
  <si>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</si>
  <si>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</si>
  <si>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</si>
  <si>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</si>
  <si>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</si>
  <si>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</si>
  <si>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</si>
  <si>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</si>
  <si>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</si>
  <si>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</si>
  <si>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</si>
  <si>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</si>
  <si>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</si>
  <si>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</si>
  <si>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</si>
  <si>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</si>
  <si>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</si>
  <si>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</si>
  <si>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</si>
  <si>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</si>
  <si>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</si>
  <si>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</si>
  <si>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</si>
  <si>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</si>
  <si>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</si>
  <si>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</si>
  <si>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</si>
  <si>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</si>
  <si>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</si>
  <si>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</si>
  <si>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</si>
  <si>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</si>
  <si>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</si>
  <si>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</si>
  <si>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</si>
  <si>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</si>
  <si>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</si>
  <si>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</si>
  <si>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</si>
  <si>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</si>
  <si>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</si>
  <si>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</si>
  <si>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</si>
  <si>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</si>
  <si>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</si>
  <si>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</si>
  <si>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</si>
  <si>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</si>
  <si>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</si>
  <si>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</si>
  <si>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</si>
  <si>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</si>
  <si>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</si>
  <si>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</si>
  <si>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</si>
  <si>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</si>
  <si>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</si>
  <si>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</si>
  <si>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</si>
  <si>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</si>
  <si>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</si>
  <si>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</si>
  <si>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</si>
  <si>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</si>
  <si>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</si>
  <si>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</si>
  <si>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</si>
  <si>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</si>
  <si>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</si>
  <si>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</si>
  <si>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</si>
  <si>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</si>
  <si>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</si>
  <si>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</si>
  <si>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</si>
  <si>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</si>
  <si>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</si>
  <si>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</si>
  <si>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</si>
  <si>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</si>
  <si>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</si>
  <si>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</si>
  <si>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</si>
  <si>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</si>
  <si>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</si>
  <si>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</si>
  <si>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</si>
  <si>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</si>
  <si>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</si>
  <si>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</si>
  <si>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</si>
  <si>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</si>
  <si>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</si>
  <si>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</si>
  <si>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</si>
  <si>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</si>
  <si>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</si>
  <si>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</si>
  <si>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</si>
  <si>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</si>
  <si>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</si>
  <si>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</si>
  <si>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</si>
  <si>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</si>
  <si>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</si>
  <si>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</si>
  <si>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</si>
  <si>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</si>
  <si>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</si>
  <si>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</si>
  <si>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</si>
  <si>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</si>
  <si>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</si>
  <si>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</si>
  <si>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</si>
  <si>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</si>
  <si>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</si>
  <si>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</si>
  <si>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</si>
  <si>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</si>
  <si>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</si>
  <si>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</si>
  <si>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</si>
  <si>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</si>
  <si>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</si>
  <si>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</si>
  <si>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</si>
  <si>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</si>
  <si>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</si>
  <si>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</si>
  <si>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</si>
  <si>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</si>
  <si>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</si>
  <si>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</si>
  <si>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</si>
  <si>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</si>
  <si>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</si>
  <si>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</si>
  <si>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</si>
  <si>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</si>
  <si>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</si>
  <si>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</si>
  <si>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</si>
  <si>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</si>
  <si>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</si>
  <si>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</si>
  <si>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</si>
  <si>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</si>
  <si>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</si>
  <si>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</si>
  <si>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</si>
  <si>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</si>
  <si>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</si>
  <si>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</si>
  <si>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</si>
  <si>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</si>
  <si>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</si>
  <si>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</si>
  <si>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</si>
  <si>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</si>
  <si>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</si>
  <si>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</si>
  <si>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</si>
  <si>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</si>
  <si>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</si>
  <si>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</si>
  <si>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</si>
  <si>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</si>
  <si>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</si>
  <si>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</si>
  <si>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</si>
  <si>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</si>
  <si>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</si>
  <si>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</si>
  <si>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</si>
  <si>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</si>
  <si>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</si>
  <si>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</si>
  <si>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</si>
  <si>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</si>
  <si>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</si>
  <si>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</si>
  <si>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</si>
  <si>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</si>
  <si>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</si>
  <si>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</si>
  <si>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</si>
  <si>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</si>
  <si>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</si>
  <si>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</si>
  <si>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</si>
  <si>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</si>
  <si>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</si>
  <si>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</si>
  <si>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</si>
  <si>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</si>
  <si>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</si>
  <si>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</si>
  <si>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</si>
  <si>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</si>
  <si>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</si>
  <si>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</si>
  <si>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</si>
  <si>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</si>
  <si>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</si>
  <si>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</si>
  <si>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</si>
  <si>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</si>
  <si>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</si>
  <si>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</si>
  <si>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</si>
  <si>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</si>
  <si>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</si>
  <si>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</si>
  <si>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</si>
  <si>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</si>
  <si>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</si>
  <si>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</si>
  <si>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</si>
  <si>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</si>
  <si>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</si>
  <si>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</si>
  <si>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</si>
  <si>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</si>
  <si>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</si>
  <si>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</si>
  <si>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</si>
  <si>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</si>
  <si>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</si>
  <si>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</si>
  <si>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</si>
  <si>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</si>
  <si>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</si>
  <si>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</si>
  <si>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</si>
  <si>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</si>
  <si>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</si>
  <si>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</si>
  <si>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</si>
  <si>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</si>
  <si>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</si>
  <si>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</si>
  <si>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</si>
  <si>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</si>
  <si>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</si>
  <si>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</si>
  <si>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</si>
  <si>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</si>
  <si>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</si>
  <si>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</si>
  <si>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</si>
  <si>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</si>
  <si>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</si>
  <si>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</si>
  <si>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</si>
  <si>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</si>
  <si>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</si>
  <si>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</si>
  <si>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</si>
  <si>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</si>
  <si>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</si>
  <si>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</si>
  <si>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</si>
  <si>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</si>
  <si>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</si>
  <si>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</si>
  <si>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</si>
  <si>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</si>
  <si>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</si>
  <si>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</si>
  <si>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</si>
  <si>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</si>
  <si>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</si>
  <si>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</si>
  <si>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</si>
  <si>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</si>
  <si>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</si>
  <si>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</si>
  <si>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</si>
  <si>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</si>
  <si>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</si>
  <si>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</si>
  <si>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</si>
  <si>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</si>
  <si>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</si>
  <si>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</si>
  <si>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</si>
  <si>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</si>
  <si>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</si>
  <si>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</si>
  <si>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</si>
  <si>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</si>
  <si>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</si>
  <si>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</si>
  <si>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</si>
  <si>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</si>
  <si>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</si>
  <si>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</si>
  <si>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</si>
  <si>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</si>
  <si>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</si>
  <si>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</si>
  <si>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</si>
  <si>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</si>
  <si>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</si>
  <si>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</si>
  <si>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</si>
  <si>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</si>
  <si>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</si>
  <si>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</si>
  <si>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</si>
  <si>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</si>
  <si>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</si>
  <si>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</si>
  <si>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</si>
  <si>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</si>
  <si>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</si>
  <si>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</si>
  <si>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</si>
  <si>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</si>
  <si>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</si>
  <si>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</si>
  <si>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</si>
  <si>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</si>
  <si>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</si>
  <si>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</si>
  <si>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</si>
  <si>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</si>
  <si>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</si>
  <si>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</si>
  <si>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</si>
  <si>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</si>
  <si>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</si>
  <si>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</si>
  <si>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</si>
  <si>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</si>
  <si>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</si>
  <si>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</si>
  <si>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</si>
  <si>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</si>
  <si>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</si>
  <si>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</si>
  <si>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</si>
  <si>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</si>
  <si>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</si>
  <si>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</si>
  <si>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</si>
  <si>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</si>
  <si>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</si>
  <si>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</si>
  <si>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</si>
  <si>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</si>
  <si>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</si>
  <si>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</si>
  <si>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</si>
  <si>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</si>
  <si>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</si>
  <si>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</si>
  <si>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</si>
  <si>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</si>
  <si>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</si>
  <si>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</si>
  <si>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</si>
  <si>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</si>
  <si>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</si>
  <si>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</si>
  <si>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</si>
  <si>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</si>
  <si>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</si>
  <si>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</si>
  <si>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</si>
  <si>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</si>
  <si>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</si>
  <si>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</si>
  <si>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</si>
  <si>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</si>
  <si>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</si>
  <si>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</si>
  <si>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</si>
  <si>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</si>
  <si>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</si>
  <si>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</si>
  <si>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</si>
  <si>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</si>
  <si>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</si>
  <si>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</si>
  <si>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</si>
  <si>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</si>
  <si>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</si>
  <si>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</si>
  <si>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</si>
  <si>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</si>
  <si>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</si>
  <si>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</si>
  <si>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</si>
  <si>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</si>
  <si>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</si>
  <si>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</si>
  <si>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</si>
  <si>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</si>
  <si>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</si>
  <si>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</si>
  <si>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</si>
  <si>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</si>
  <si>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</si>
  <si>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</si>
  <si>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</si>
  <si>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</si>
  <si>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</si>
  <si>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</si>
  <si>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</si>
  <si>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</si>
  <si>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</si>
  <si>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</si>
  <si>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</si>
  <si>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</si>
  <si>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</si>
  <si>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</si>
  <si>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</si>
  <si>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</si>
  <si>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</si>
  <si>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</si>
  <si>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</si>
  <si>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</si>
  <si>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</si>
  <si>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</si>
  <si>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</si>
  <si>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</si>
  <si>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</si>
  <si>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</si>
  <si>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</si>
  <si>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</si>
  <si>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</si>
  <si>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</si>
  <si>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</si>
  <si>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</si>
  <si>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</si>
  <si>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</si>
  <si>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</si>
  <si>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</si>
  <si>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</si>
  <si>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</si>
  <si>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</si>
  <si>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</si>
  <si>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</si>
  <si>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</si>
  <si>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</si>
  <si>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</si>
  <si>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</si>
  <si>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</si>
  <si>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</si>
  <si>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</si>
  <si>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</si>
  <si>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</si>
  <si>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</si>
  <si>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</si>
  <si>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</si>
  <si>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</si>
  <si>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</si>
  <si>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</si>
  <si>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</si>
  <si>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</si>
  <si>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</si>
  <si>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</si>
  <si>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</si>
  <si>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</si>
  <si>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</si>
  <si>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</si>
  <si>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</si>
  <si>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</si>
  <si>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</si>
  <si>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</si>
  <si>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</si>
  <si>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</si>
  <si>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</si>
  <si>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</si>
  <si>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</si>
  <si>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</si>
  <si>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</si>
  <si>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</si>
  <si>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</si>
  <si>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</si>
  <si>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</si>
  <si>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</si>
  <si>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</si>
  <si>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</si>
  <si>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</si>
  <si>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</si>
  <si>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</si>
  <si>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</si>
  <si>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</si>
  <si>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</si>
  <si>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</si>
  <si>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</si>
  <si>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</si>
  <si>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</si>
  <si>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</si>
  <si>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</si>
  <si>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</si>
  <si>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</si>
  <si>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</si>
  <si>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</si>
  <si>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</si>
  <si>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</si>
  <si>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</si>
  <si>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</si>
  <si>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</si>
  <si>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</si>
  <si>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</si>
  <si>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</si>
  <si>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</si>
  <si>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</si>
  <si>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</si>
  <si>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</si>
  <si>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</si>
  <si>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</si>
  <si>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</si>
  <si>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</si>
  <si>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</si>
  <si>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</si>
  <si>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</si>
  <si>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</si>
  <si>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</si>
  <si>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</si>
  <si>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</si>
  <si>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</si>
  <si>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</si>
  <si>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</si>
  <si>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</si>
  <si>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</si>
  <si>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</si>
  <si>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</si>
  <si>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</si>
  <si>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</si>
  <si>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</si>
  <si>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</si>
  <si>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</si>
  <si>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</si>
  <si>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</si>
  <si>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</si>
  <si>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</si>
  <si>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</si>
  <si>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</si>
  <si>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</si>
  <si>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</si>
  <si>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</si>
  <si>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</si>
  <si>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</si>
  <si>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</si>
  <si>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</si>
  <si>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</si>
  <si>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</si>
  <si>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</si>
  <si>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</si>
  <si>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</si>
  <si>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</si>
  <si>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</si>
  <si>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</si>
  <si>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</si>
  <si>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</si>
  <si>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</si>
  <si>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</si>
  <si>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</si>
  <si>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</si>
  <si>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</si>
  <si>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</si>
  <si>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</si>
  <si>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</si>
  <si>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</si>
  <si>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</si>
  <si>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</si>
  <si>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</si>
  <si>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</si>
  <si>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</si>
  <si>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</si>
  <si>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</si>
  <si>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</si>
  <si>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</si>
  <si>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</si>
  <si>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</si>
  <si>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</si>
  <si>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</si>
  <si>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</si>
  <si>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</si>
  <si>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</si>
  <si>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</si>
  <si>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</si>
  <si>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</si>
  <si>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</si>
  <si>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</si>
  <si>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</si>
  <si>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</si>
  <si>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</si>
  <si>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</si>
  <si>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</si>
  <si>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</si>
  <si>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</si>
  <si>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</si>
  <si>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</si>
  <si>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</si>
  <si>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</si>
  <si>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</si>
  <si>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</si>
  <si>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</si>
  <si>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</si>
  <si>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</si>
  <si>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</si>
  <si>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</si>
  <si>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</si>
  <si>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</si>
  <si>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</si>
  <si>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</si>
  <si>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</si>
  <si>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</si>
  <si>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</si>
  <si>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</si>
  <si>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</si>
  <si>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</si>
  <si>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</si>
  <si>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</si>
  <si>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</si>
  <si>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</si>
  <si>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</si>
  <si>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</si>
  <si>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</si>
  <si>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</si>
  <si>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</si>
  <si>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</si>
  <si>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</si>
  <si>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</si>
  <si>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</si>
  <si>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</si>
  <si>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</si>
  <si>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</si>
  <si>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</si>
  <si>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</si>
  <si>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</si>
  <si>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</si>
  <si>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</si>
  <si>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</si>
  <si>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</si>
  <si>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</si>
  <si>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</si>
  <si>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</si>
  <si>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</si>
  <si>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</si>
  <si>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</si>
  <si>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</si>
  <si>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</si>
  <si>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</si>
  <si>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</si>
  <si>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</si>
  <si>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</si>
  <si>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</si>
  <si>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</si>
  <si>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</si>
  <si>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</si>
  <si>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</si>
  <si>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</si>
  <si>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</si>
  <si>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</si>
  <si>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</si>
  <si>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</si>
  <si>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</si>
  <si>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</si>
  <si>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</si>
  <si>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</si>
  <si>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</si>
  <si>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</si>
  <si>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</si>
  <si>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</si>
  <si>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</si>
  <si>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</si>
  <si>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</si>
  <si>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</si>
  <si>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</si>
  <si>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</si>
  <si>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</si>
  <si>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</si>
  <si>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</si>
  <si>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</si>
  <si>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</si>
  <si>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</si>
  <si>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</si>
  <si>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</si>
  <si>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</si>
  <si>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</si>
  <si>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</si>
  <si>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</si>
  <si>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</si>
  <si>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</si>
  <si>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</si>
  <si>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</si>
  <si>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</si>
  <si>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</si>
  <si>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</si>
  <si>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</si>
  <si>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</si>
  <si>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</si>
  <si>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</si>
  <si>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</si>
  <si>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</si>
  <si>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</si>
  <si>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</si>
  <si>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</si>
  <si>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</si>
  <si>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</si>
  <si>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</si>
  <si>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</si>
  <si>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</si>
  <si>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</si>
  <si>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</si>
  <si>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</si>
  <si>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</si>
  <si>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</si>
  <si>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</si>
  <si>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</si>
  <si>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</si>
  <si>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</si>
  <si>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</si>
  <si>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</si>
  <si>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</si>
  <si>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</si>
  <si>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</si>
  <si>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</si>
  <si>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</si>
  <si>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</si>
  <si>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</si>
  <si>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</si>
  <si>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</si>
  <si>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</si>
  <si>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</si>
  <si>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</si>
  <si>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</si>
  <si>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</si>
  <si>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</si>
  <si>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</si>
  <si>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</si>
  <si>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</si>
  <si>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</si>
  <si>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</si>
  <si>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</si>
  <si>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</si>
  <si>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</si>
  <si>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</si>
  <si>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</si>
  <si>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</si>
  <si>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</si>
  <si>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</si>
  <si>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</si>
  <si>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</si>
  <si>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</si>
  <si>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</si>
  <si>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</si>
  <si>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</si>
  <si>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</si>
  <si>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</si>
  <si>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</si>
  <si>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</si>
  <si>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</si>
  <si>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</si>
  <si>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</si>
  <si>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</si>
  <si>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</si>
  <si>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</si>
  <si>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</si>
  <si>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</si>
  <si>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</si>
  <si>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</si>
  <si>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</si>
  <si>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</si>
  <si>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</si>
  <si>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</si>
  <si>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</si>
  <si>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</si>
  <si>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</si>
  <si>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</si>
  <si>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</si>
  <si>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</si>
  <si>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</si>
  <si>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</si>
  <si>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</si>
  <si>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</si>
  <si>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</si>
  <si>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</si>
  <si>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</si>
  <si>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</si>
  <si>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</si>
  <si>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</si>
  <si>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</si>
  <si>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</si>
  <si>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</si>
  <si>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</si>
  <si>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</si>
  <si>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</si>
  <si>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</si>
  <si>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</si>
  <si>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</si>
  <si>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</si>
  <si>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</si>
  <si>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</si>
  <si>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</si>
  <si>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</si>
  <si>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</si>
  <si>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</si>
  <si>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</si>
  <si>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</si>
  <si>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</si>
  <si>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</si>
  <si>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</si>
  <si>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</si>
  <si>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</si>
  <si>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</si>
  <si>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</si>
  <si>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</si>
  <si>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</si>
  <si>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</si>
  <si>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</si>
  <si>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</si>
  <si>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</si>
  <si>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</si>
  <si>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</si>
  <si>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</si>
  <si>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</si>
  <si>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</si>
  <si>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</si>
  <si>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</si>
  <si>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</si>
  <si>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</si>
  <si>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</si>
  <si>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</si>
  <si>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</si>
  <si>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</si>
  <si>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</si>
  <si>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</si>
  <si>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</si>
  <si>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</si>
  <si>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</si>
  <si>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</si>
  <si>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</si>
  <si>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</si>
  <si>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</si>
  <si>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</si>
  <si>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</si>
  <si>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</si>
  <si>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</si>
  <si>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</si>
  <si>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</si>
  <si>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</si>
  <si>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</si>
  <si>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</si>
  <si>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</si>
  <si>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</si>
  <si>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</si>
  <si>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</si>
  <si>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</si>
  <si>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</si>
  <si>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</si>
  <si>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</si>
  <si>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</si>
  <si>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</si>
  <si>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</si>
  <si>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</si>
  <si>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</si>
  <si>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</si>
  <si>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</si>
  <si>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</si>
  <si>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</si>
  <si>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</si>
  <si>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</si>
  <si>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</si>
  <si>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</si>
  <si>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</si>
  <si>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</si>
  <si>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</si>
  <si>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</si>
  <si>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</si>
  <si>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</si>
  <si>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</si>
  <si>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</si>
  <si>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</si>
  <si>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</si>
  <si>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</si>
  <si>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</si>
  <si>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</si>
  <si>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</si>
  <si>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</si>
  <si>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</si>
  <si>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</si>
  <si>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</si>
  <si>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</si>
  <si>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</si>
  <si>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</si>
  <si>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</si>
  <si>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</si>
  <si>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</si>
  <si>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</si>
  <si>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</si>
  <si>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</si>
  <si>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</si>
  <si>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</si>
  <si>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</si>
  <si>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</si>
  <si>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</si>
  <si>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</si>
  <si>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</si>
  <si>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</si>
  <si>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</si>
  <si>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</si>
  <si>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</si>
  <si>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</si>
  <si>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</si>
  <si>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</si>
  <si>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</si>
  <si>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</si>
  <si>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</si>
  <si>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</si>
  <si>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</si>
  <si>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</si>
  <si>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</si>
  <si>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</si>
  <si>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</si>
  <si>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</si>
  <si>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</si>
  <si>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</si>
  <si>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</si>
  <si>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</si>
  <si>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</si>
  <si>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</si>
  <si>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</si>
  <si>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</si>
  <si>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</si>
  <si>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</si>
  <si>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</si>
  <si>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</si>
  <si>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</si>
  <si>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</si>
  <si>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</si>
  <si>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</si>
  <si>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</si>
  <si>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</si>
  <si>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</si>
  <si>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</si>
  <si>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</si>
  <si>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</si>
  <si>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</si>
  <si>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</si>
  <si>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</si>
  <si>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</si>
  <si>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</si>
  <si>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</si>
  <si>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</si>
  <si>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</si>
  <si>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</si>
  <si>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</si>
  <si>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</si>
  <si>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</si>
  <si>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</si>
  <si>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</si>
  <si>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</si>
  <si>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</si>
  <si>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</si>
  <si>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</si>
  <si>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</si>
  <si>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</si>
  <si>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</si>
  <si>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</si>
  <si>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</si>
  <si>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</si>
  <si>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</si>
  <si>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</si>
  <si>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</si>
  <si>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</si>
  <si>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</si>
  <si>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</si>
  <si>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</si>
  <si>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</si>
  <si>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</si>
  <si>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</si>
  <si>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</si>
  <si>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</si>
  <si>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</si>
  <si>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</si>
  <si>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</si>
  <si>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</si>
  <si>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</si>
  <si>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</si>
  <si>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</si>
  <si>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</si>
  <si>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</si>
  <si>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</si>
  <si>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</si>
  <si>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</si>
  <si>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</si>
  <si>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</si>
  <si>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</si>
  <si>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</si>
  <si>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</si>
  <si>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</si>
  <si>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</si>
  <si>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</si>
  <si>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</si>
  <si>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</si>
  <si>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</si>
  <si>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</si>
  <si>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</si>
  <si>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</si>
  <si>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</si>
  <si>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</si>
  <si>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</si>
  <si>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</si>
  <si>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</si>
  <si>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</si>
  <si>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</si>
  <si>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</si>
  <si>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</si>
  <si>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</si>
  <si>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</si>
  <si>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</si>
  <si>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</si>
  <si>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</si>
  <si>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</si>
  <si>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</si>
  <si>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</si>
  <si>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</si>
  <si>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</si>
  <si>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</si>
  <si>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</si>
  <si>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</si>
  <si>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</si>
  <si>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</si>
  <si>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</si>
  <si>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</si>
  <si>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</si>
  <si>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</si>
  <si>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</si>
  <si>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</si>
  <si>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</si>
  <si>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</si>
  <si>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</si>
  <si>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</si>
  <si>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</si>
  <si>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</si>
  <si>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</si>
  <si>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</si>
  <si>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</si>
  <si>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</si>
  <si>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</si>
  <si>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</si>
  <si>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</si>
  <si>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</si>
  <si>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</si>
  <si>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</si>
  <si>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</si>
  <si>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</si>
  <si>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</si>
  <si>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</si>
  <si>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</si>
  <si>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</si>
  <si>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</si>
  <si>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</si>
  <si>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</si>
  <si>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</si>
  <si>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</si>
  <si>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</si>
  <si>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</si>
  <si>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</si>
  <si>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</si>
  <si>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</si>
  <si>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</si>
  <si>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</si>
  <si>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</si>
  <si>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</si>
  <si>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</si>
  <si>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</si>
  <si>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</si>
  <si>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</si>
  <si>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</si>
  <si>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</si>
  <si>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</si>
  <si>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</si>
  <si>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</si>
  <si>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</si>
  <si>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</si>
  <si>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</si>
  <si>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</si>
  <si>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</si>
  <si>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</si>
  <si>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</si>
  <si>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</si>
  <si>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</si>
  <si>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</si>
  <si>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</si>
  <si>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</si>
  <si>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</si>
  <si>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</si>
  <si>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</si>
  <si>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</si>
  <si>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</si>
  <si>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</si>
  <si>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</si>
  <si>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</si>
  <si>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</si>
  <si>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</si>
  <si>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</si>
  <si>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</si>
  <si>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</si>
  <si>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</si>
  <si>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</si>
  <si>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</si>
  <si>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</si>
  <si>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</si>
  <si>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</si>
  <si>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</si>
  <si>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</si>
  <si>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</si>
  <si>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</si>
  <si>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</si>
  <si>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</si>
  <si>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</si>
  <si>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</si>
  <si>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</si>
  <si>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</si>
  <si>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</si>
  <si>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</si>
  <si>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</si>
  <si>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</si>
  <si>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</si>
  <si>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</si>
  <si>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</si>
  <si>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</si>
  <si>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</si>
  <si>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</si>
  <si>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</si>
  <si>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</si>
  <si>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</si>
  <si>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</si>
  <si>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</si>
  <si>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</si>
  <si>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</si>
  <si>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</si>
  <si>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</si>
  <si>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</si>
  <si>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</si>
  <si>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</si>
  <si>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</si>
  <si>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</si>
  <si>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</si>
  <si>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</si>
  <si>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</si>
  <si>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</si>
  <si>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</si>
  <si>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</si>
  <si>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</si>
  <si>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</si>
  <si>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</si>
  <si>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</si>
  <si>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</si>
  <si>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</si>
  <si>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</si>
  <si>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</si>
  <si>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</si>
  <si>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</si>
  <si>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</si>
  <si>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</si>
  <si>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</si>
  <si>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</si>
  <si>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</si>
  <si>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</si>
  <si>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</si>
  <si>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</si>
  <si>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</si>
  <si>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</si>
  <si>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</si>
  <si>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</si>
  <si>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</si>
  <si>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</si>
  <si>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</si>
  <si>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</si>
  <si>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</si>
  <si>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</si>
  <si>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</si>
  <si>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</si>
  <si>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</si>
  <si>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</si>
  <si>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</si>
  <si>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</si>
  <si>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</si>
  <si>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</si>
  <si>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</si>
  <si>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</si>
  <si>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</si>
  <si>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</si>
  <si>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</si>
  <si>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</si>
  <si>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</si>
  <si>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</si>
  <si>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</si>
  <si>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</si>
  <si>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</si>
  <si>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</si>
  <si>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</si>
  <si>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</si>
  <si>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</si>
  <si>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</si>
  <si>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</si>
  <si>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</si>
  <si>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</si>
  <si>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</si>
  <si>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</si>
  <si>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</si>
  <si>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</si>
  <si>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</si>
  <si>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</si>
  <si>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</si>
  <si>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</si>
  <si>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</si>
  <si>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</si>
  <si>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</si>
  <si>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</si>
  <si>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</si>
  <si>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</si>
  <si>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</si>
  <si>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</si>
  <si>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</si>
  <si>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</si>
  <si>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</si>
  <si>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</si>
  <si>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</si>
  <si>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</si>
  <si>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</si>
  <si>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</si>
  <si>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</si>
  <si>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</si>
  <si>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</si>
  <si>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</si>
  <si>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</si>
  <si>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</si>
  <si>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</si>
  <si>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</si>
  <si>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</si>
  <si>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</si>
  <si>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</si>
  <si>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</si>
  <si>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</si>
  <si>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</si>
  <si>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</si>
  <si>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</si>
  <si>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</si>
  <si>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</si>
  <si>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</si>
  <si>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</si>
  <si>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</si>
  <si>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</si>
  <si>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</si>
  <si>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</si>
  <si>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</si>
  <si>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</si>
  <si>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</si>
  <si>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</si>
  <si>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</si>
  <si>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</si>
  <si>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</si>
  <si>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</si>
  <si>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</si>
  <si>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</si>
  <si>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</si>
  <si>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</si>
  <si>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</si>
  <si>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</si>
  <si>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</si>
  <si>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</si>
  <si>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</si>
  <si>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</si>
  <si>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</si>
  <si>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</si>
  <si>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</si>
  <si>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</si>
  <si>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</si>
  <si>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</si>
  <si>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</si>
  <si>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</si>
  <si>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</si>
  <si>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</si>
  <si>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</si>
  <si>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</si>
  <si>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</si>
  <si>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</si>
  <si>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</si>
  <si>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</si>
  <si>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</si>
  <si>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</si>
  <si>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</si>
  <si>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</si>
  <si>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</si>
  <si>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</si>
  <si>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</si>
  <si>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</si>
  <si>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</si>
  <si>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</si>
  <si>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</si>
  <si>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</si>
  <si>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</si>
  <si>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</si>
  <si>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</si>
  <si>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</si>
  <si>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</si>
  <si>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</si>
  <si>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</si>
  <si>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</si>
  <si>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</si>
  <si>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</si>
  <si>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</si>
  <si>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</si>
  <si>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</si>
  <si>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</si>
  <si>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</si>
  <si>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</si>
  <si>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</si>
  <si>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</si>
  <si>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</si>
  <si>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</si>
  <si>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</si>
  <si>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</si>
  <si>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</si>
  <si>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</si>
  <si>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</si>
  <si>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</si>
  <si>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</si>
  <si>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</si>
  <si>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</si>
  <si>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</si>
  <si>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</si>
  <si>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</si>
  <si>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</si>
  <si>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</si>
  <si>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</si>
  <si>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</si>
  <si>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</si>
  <si>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</si>
  <si>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</si>
  <si>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</si>
  <si>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</si>
  <si>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</si>
  <si>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</si>
  <si>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</si>
  <si>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</si>
  <si>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</si>
  <si>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</si>
  <si>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</si>
  <si>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</si>
  <si>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</si>
  <si>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</si>
  <si>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</si>
  <si>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</si>
  <si>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</si>
  <si>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</si>
  <si>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</si>
  <si>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</si>
  <si>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</si>
  <si>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</si>
  <si>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</si>
  <si>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</si>
  <si>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</si>
  <si>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</si>
  <si>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</si>
  <si>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</si>
  <si>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</si>
  <si>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</si>
  <si>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</si>
  <si>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</si>
  <si>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</si>
  <si>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</si>
  <si>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</si>
  <si>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</si>
  <si>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</si>
  <si>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</si>
  <si>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</si>
  <si>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</si>
  <si>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</si>
  <si>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</si>
  <si>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</si>
  <si>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</si>
  <si>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</si>
  <si>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</si>
  <si>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</si>
  <si>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</si>
  <si>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</si>
  <si>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</si>
  <si>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</si>
  <si>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</si>
  <si>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</si>
  <si>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</si>
  <si>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</si>
  <si>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</si>
  <si>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</si>
  <si>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</si>
  <si>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</si>
  <si>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</si>
  <si>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</si>
  <si>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</si>
  <si>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</si>
  <si>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</si>
  <si>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</si>
  <si>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</si>
  <si>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</si>
  <si>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</si>
  <si>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</si>
  <si>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</si>
  <si>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</si>
  <si>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</si>
  <si>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</si>
  <si>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</si>
  <si>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</si>
  <si>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</si>
  <si>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</si>
  <si>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</si>
  <si>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</si>
  <si>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</si>
  <si>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</si>
  <si>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</si>
  <si>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</si>
  <si>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</si>
  <si>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</si>
  <si>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</si>
  <si>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</si>
  <si>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</si>
  <si>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</si>
  <si>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</si>
  <si>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</si>
  <si>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</si>
  <si>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</si>
  <si>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</si>
  <si>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</si>
  <si>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</si>
  <si>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</si>
  <si>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</si>
  <si>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</si>
  <si>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</si>
  <si>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</si>
  <si>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</si>
  <si>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</si>
  <si>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</si>
  <si>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</si>
  <si>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</si>
  <si>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</si>
  <si>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</si>
  <si>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</si>
  <si>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</si>
  <si>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</si>
  <si>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</si>
  <si>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</si>
  <si>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</si>
  <si>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</si>
  <si>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</si>
  <si>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</si>
  <si>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</si>
  <si>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</si>
  <si>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</si>
  <si>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</si>
  <si>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</si>
  <si>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</si>
  <si>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</si>
  <si>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</si>
  <si>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</si>
  <si>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</si>
  <si>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</si>
  <si>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</si>
  <si>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</si>
  <si>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</si>
  <si>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</si>
  <si>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</si>
  <si>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</si>
  <si>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</si>
  <si>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</si>
  <si>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</si>
  <si>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</si>
  <si>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</si>
  <si>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</si>
  <si>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</si>
  <si>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</si>
  <si>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</si>
  <si>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</si>
  <si>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</si>
  <si>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</si>
  <si>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</si>
  <si>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</si>
  <si>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</si>
  <si>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</si>
  <si>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</si>
  <si>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</si>
  <si>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</si>
  <si>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</si>
  <si>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</si>
  <si>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</si>
  <si>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</si>
  <si>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</si>
  <si>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</si>
  <si>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</si>
  <si>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</si>
  <si>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</si>
  <si>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</si>
  <si>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</si>
  <si>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</si>
  <si>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</si>
  <si>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</si>
  <si>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</si>
  <si>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</si>
  <si>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</si>
  <si>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</si>
  <si>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</si>
  <si>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</si>
  <si>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</si>
  <si>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</si>
  <si>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</si>
  <si>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</si>
  <si>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</si>
  <si>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</si>
  <si>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</si>
  <si>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</si>
  <si>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</si>
  <si>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</si>
  <si>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</si>
  <si>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</si>
  <si>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</si>
  <si>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</si>
  <si>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</si>
  <si>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</si>
  <si>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</si>
  <si>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</si>
  <si>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</si>
  <si>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</si>
  <si>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</si>
  <si>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</si>
  <si>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</si>
  <si>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</si>
  <si>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</si>
  <si>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</si>
  <si>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</si>
  <si>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</si>
  <si>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</si>
  <si>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</si>
  <si>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</si>
  <si>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</si>
  <si>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</si>
  <si>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</si>
  <si>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</si>
  <si>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</si>
  <si>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</si>
  <si>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</si>
  <si>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</si>
  <si>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</si>
  <si>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</si>
  <si>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</si>
  <si>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</si>
  <si>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</si>
  <si>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</si>
  <si>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</si>
  <si>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</si>
  <si>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</si>
  <si>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</si>
  <si>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</si>
  <si>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</si>
  <si>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</si>
  <si>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</si>
  <si>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</si>
  <si>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</si>
  <si>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</si>
  <si>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</si>
  <si>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</si>
  <si>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</si>
  <si>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</si>
  <si>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</si>
  <si>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</si>
  <si>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</si>
  <si>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</si>
  <si>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</si>
  <si>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</si>
  <si>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</si>
  <si>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</si>
  <si>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</si>
  <si>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</si>
  <si>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</si>
  <si>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</si>
  <si>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</si>
  <si>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</si>
  <si>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</si>
  <si>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</si>
  <si>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</si>
  <si>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</si>
  <si>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</si>
  <si>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</si>
  <si>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</si>
  <si>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</si>
  <si>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</si>
  <si>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</si>
  <si>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</si>
  <si>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</si>
  <si>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</si>
  <si>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</si>
  <si>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</si>
  <si>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</si>
  <si>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</si>
  <si>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</si>
  <si>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</si>
  <si>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</si>
  <si>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</si>
  <si>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</si>
  <si>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</si>
  <si>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</si>
  <si>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</si>
  <si>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</si>
  <si>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</si>
  <si>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</si>
  <si>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</si>
  <si>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</si>
  <si>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</si>
  <si>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</si>
  <si>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</si>
  <si>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</si>
  <si>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</si>
  <si>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</si>
  <si>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</si>
  <si>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</si>
  <si>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</si>
  <si>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</si>
  <si>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</si>
  <si>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</si>
  <si>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</si>
  <si>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</si>
  <si>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</si>
  <si>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</si>
  <si>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</si>
  <si>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</si>
  <si>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</si>
  <si>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</si>
  <si>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</si>
  <si>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</si>
  <si>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</si>
  <si>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</si>
  <si>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</si>
  <si>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</si>
  <si>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</si>
  <si>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</si>
  <si>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</si>
  <si>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</si>
  <si>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</si>
  <si>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</si>
  <si>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</si>
  <si>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</si>
  <si>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</si>
  <si>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</si>
  <si>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</si>
  <si>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</si>
  <si>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</si>
  <si>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</si>
  <si>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</si>
  <si>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</si>
  <si>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</si>
  <si>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</si>
  <si>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</si>
  <si>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</si>
  <si>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</si>
  <si>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</si>
  <si>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</si>
  <si>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</si>
  <si>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</si>
  <si>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</si>
  <si>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</si>
  <si>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</si>
  <si>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</si>
  <si>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</si>
  <si>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</si>
  <si>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</si>
  <si>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</si>
  <si>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</si>
  <si>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</si>
  <si>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</si>
  <si>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</si>
  <si>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</si>
  <si>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</si>
  <si>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</si>
  <si>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</si>
  <si>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</si>
  <si>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</si>
  <si>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</si>
  <si>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</si>
  <si>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</si>
  <si>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</si>
  <si>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</si>
  <si>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</si>
  <si>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</si>
  <si>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</si>
  <si>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</si>
  <si>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</si>
  <si>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</si>
  <si>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</si>
  <si>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</si>
  <si>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</si>
  <si>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</si>
  <si>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</si>
  <si>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</si>
  <si>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</si>
  <si>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</si>
  <si>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</si>
  <si>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</si>
  <si>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</si>
  <si>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</si>
  <si>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</si>
  <si>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</si>
  <si>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</si>
  <si>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</si>
  <si>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</si>
  <si>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</si>
  <si>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</si>
  <si>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</si>
  <si>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</si>
  <si>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</si>
  <si>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</si>
  <si>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</si>
  <si>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</si>
  <si>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</si>
  <si>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</si>
  <si>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</si>
  <si>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</si>
  <si>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</si>
  <si>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</si>
  <si>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</si>
  <si>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</si>
  <si>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</si>
  <si>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</si>
  <si>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</si>
  <si>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</si>
  <si>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</si>
  <si>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</si>
  <si>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</si>
  <si>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</si>
  <si>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</si>
  <si>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</si>
  <si>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</si>
  <si>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</si>
  <si>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</si>
  <si>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</si>
  <si>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</si>
  <si>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</si>
  <si>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</si>
  <si>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</si>
  <si>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</si>
  <si>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</si>
  <si>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</si>
  <si>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</si>
  <si>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</si>
  <si>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</si>
  <si>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</si>
  <si>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</si>
  <si>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</si>
  <si>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</si>
  <si>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</si>
  <si>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</si>
  <si>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</si>
  <si>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</si>
  <si>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</si>
  <si>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</si>
  <si>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</si>
  <si>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</si>
  <si>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</si>
  <si>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</si>
  <si>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</si>
  <si>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</si>
  <si>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</si>
  <si>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</si>
  <si>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</si>
  <si>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</si>
  <si>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</si>
  <si>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</si>
  <si>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</si>
  <si>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</si>
  <si>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</si>
  <si>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</si>
  <si>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</si>
  <si>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</si>
  <si>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</si>
  <si>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</si>
  <si>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</si>
  <si>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</si>
  <si>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</si>
  <si>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</si>
  <si>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</si>
  <si>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</si>
  <si>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</si>
  <si>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</si>
  <si>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</si>
  <si>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</si>
  <si>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</si>
  <si>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</si>
  <si>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</si>
  <si>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</si>
  <si>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</si>
  <si>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</si>
  <si>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</si>
  <si>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</si>
  <si>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</si>
  <si>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</si>
  <si>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</si>
  <si>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</si>
  <si>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</si>
  <si>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</si>
  <si>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</si>
  <si>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</si>
  <si>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</si>
  <si>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</si>
  <si>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</si>
  <si>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</si>
  <si>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</si>
  <si>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</si>
  <si>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</si>
  <si>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</si>
  <si>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</si>
  <si>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</si>
  <si>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</si>
  <si>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</si>
  <si>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</si>
  <si>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</si>
  <si>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</si>
  <si>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</si>
  <si>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</si>
  <si>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</si>
  <si>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</si>
  <si>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</si>
  <si>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</si>
  <si>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</si>
  <si>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</si>
  <si>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</si>
  <si>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</si>
  <si>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</si>
  <si>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</si>
  <si>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</si>
  <si>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</si>
  <si>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</si>
  <si>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</si>
  <si>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</si>
  <si>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</si>
  <si>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</si>
  <si>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</si>
  <si>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</si>
  <si>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</si>
  <si>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</si>
  <si>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</si>
  <si>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</si>
  <si>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</si>
  <si>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</si>
  <si>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</si>
  <si>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</si>
  <si>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</si>
  <si>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</si>
  <si>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</si>
  <si>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</si>
  <si>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</si>
  <si>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</si>
  <si>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</si>
  <si>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</si>
  <si>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</si>
  <si>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</si>
  <si>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</si>
  <si>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</si>
  <si>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</si>
  <si>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</si>
  <si>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</si>
  <si>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</si>
  <si>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</si>
  <si>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</si>
  <si>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</si>
  <si>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</si>
  <si>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</si>
  <si>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</si>
  <si>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</si>
  <si>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</si>
  <si>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</si>
  <si>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</si>
  <si>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</si>
  <si>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</si>
  <si>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</si>
  <si>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</si>
  <si>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</si>
  <si>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</si>
  <si>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</si>
  <si>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</si>
  <si>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</si>
  <si>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</si>
  <si>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</si>
  <si>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</si>
  <si>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</si>
  <si>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</si>
  <si>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</si>
  <si>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</si>
  <si>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</si>
  <si>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</si>
  <si>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</si>
  <si>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</si>
  <si>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</si>
  <si>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</si>
  <si>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</si>
  <si>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</si>
  <si>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</si>
  <si>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</si>
  <si>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</si>
  <si>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</si>
  <si>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</si>
  <si>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</si>
  <si>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</si>
  <si>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</si>
  <si>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</si>
  <si>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</si>
  <si>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</si>
  <si>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</si>
  <si>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</si>
  <si>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</si>
  <si>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</si>
  <si>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</si>
  <si>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</si>
  <si>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</si>
  <si>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</si>
  <si>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</si>
  <si>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</si>
  <si>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</si>
  <si>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</si>
  <si>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</si>
  <si>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</si>
  <si>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</si>
  <si>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</si>
  <si>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</si>
  <si>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</si>
  <si>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</si>
  <si>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</si>
  <si>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</si>
  <si>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</si>
  <si>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</si>
  <si>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</si>
  <si>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</si>
  <si>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</si>
  <si>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</si>
  <si>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</si>
  <si>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</si>
  <si>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</si>
  <si>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</si>
  <si>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</si>
  <si>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</si>
  <si>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</si>
  <si>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</si>
  <si>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</si>
  <si>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</si>
  <si>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</si>
  <si>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</si>
  <si>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</si>
  <si>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</si>
  <si>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</si>
  <si>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</si>
  <si>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</si>
  <si>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</si>
  <si>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</si>
  <si>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</si>
  <si>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</si>
  <si>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</si>
  <si>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</si>
  <si>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</si>
  <si>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</si>
  <si>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</si>
  <si>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</si>
  <si>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</si>
  <si>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</si>
  <si>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</si>
  <si>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</si>
  <si>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</si>
  <si>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</si>
  <si>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</si>
  <si>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</si>
  <si>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</si>
  <si>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</si>
  <si>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</si>
  <si>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</si>
  <si>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</si>
  <si>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</si>
  <si>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</si>
  <si>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</si>
  <si>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</si>
  <si>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</si>
  <si>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</si>
  <si>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</si>
  <si>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</si>
  <si>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</si>
  <si>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</si>
  <si>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</si>
  <si>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</si>
  <si>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</si>
  <si>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</si>
  <si>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</si>
  <si>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</si>
  <si>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</si>
  <si>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</si>
  <si>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</si>
  <si>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</si>
  <si>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</si>
  <si>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</si>
  <si>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</si>
  <si>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</si>
  <si>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</si>
  <si>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</si>
  <si>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</si>
  <si>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</si>
  <si>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</si>
  <si>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</si>
  <si>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</si>
  <si>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</si>
  <si>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</si>
  <si>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</si>
  <si>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</si>
  <si>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</si>
  <si>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</si>
  <si>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</si>
  <si>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</si>
  <si>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</si>
  <si>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</si>
  <si>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</si>
  <si>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</si>
  <si>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</si>
  <si>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</si>
  <si>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</si>
  <si>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</si>
  <si>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</si>
  <si>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</si>
  <si>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</si>
  <si>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</si>
  <si>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</si>
  <si>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</si>
  <si>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</si>
  <si>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</si>
  <si>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</si>
  <si>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</si>
  <si>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</si>
  <si>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</si>
  <si>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</si>
  <si>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</si>
  <si>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</si>
  <si>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</si>
  <si>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</si>
  <si>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</si>
  <si>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</si>
  <si>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</si>
  <si>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</si>
  <si>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</si>
  <si>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</si>
  <si>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</si>
  <si>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</si>
  <si>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</si>
  <si>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</si>
  <si>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</si>
  <si>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</si>
  <si>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</si>
  <si>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</si>
  <si>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</si>
  <si>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</si>
  <si>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</si>
  <si>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</si>
  <si>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</si>
  <si>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</si>
  <si>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</si>
  <si>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</si>
  <si>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</si>
  <si>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</si>
  <si>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</si>
  <si>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</si>
  <si>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</si>
  <si>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</si>
  <si>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</si>
  <si>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</si>
  <si>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</si>
  <si>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</si>
  <si>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</si>
  <si>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</si>
  <si>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</si>
  <si>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</si>
  <si>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</si>
  <si>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</si>
  <si>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</si>
  <si>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</si>
  <si>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</si>
  <si>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</si>
  <si>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</si>
  <si>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</si>
  <si>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</si>
  <si>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</si>
  <si>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</si>
  <si>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</si>
  <si>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</si>
  <si>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</si>
  <si>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</si>
  <si>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</si>
  <si>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</si>
  <si>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</si>
  <si>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</si>
  <si>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</si>
  <si>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</si>
  <si>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</si>
  <si>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</si>
  <si>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</si>
  <si>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</si>
  <si>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</si>
  <si>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</si>
  <si>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</si>
  <si>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</si>
  <si>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</si>
  <si>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</si>
  <si>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</si>
  <si>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</si>
  <si>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</si>
  <si>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</si>
  <si>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</si>
  <si>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</si>
  <si>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</si>
  <si>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</si>
  <si>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</si>
  <si>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</si>
  <si>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</si>
  <si>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</si>
  <si>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</si>
  <si>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</si>
  <si>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</si>
  <si>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</si>
  <si>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</si>
  <si>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</si>
  <si>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</si>
  <si>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</si>
  <si>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</si>
  <si>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</si>
  <si>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</si>
  <si>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</si>
  <si>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</si>
  <si>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</si>
  <si>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</si>
  <si>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</si>
  <si>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</si>
  <si>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</si>
  <si>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</si>
  <si>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</si>
  <si>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</si>
  <si>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</si>
  <si>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</si>
  <si>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</si>
  <si>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</si>
  <si>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</si>
  <si>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</si>
  <si>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</si>
  <si>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</si>
  <si>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</si>
  <si>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</si>
  <si>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</si>
  <si>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</si>
  <si>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</si>
  <si>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</si>
  <si>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</si>
  <si>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</si>
  <si>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</si>
  <si>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</si>
  <si>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</si>
  <si>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</si>
  <si>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</si>
  <si>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</si>
  <si>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</si>
  <si>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</si>
  <si>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</si>
  <si>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</si>
  <si>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</si>
  <si>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</si>
  <si>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</si>
  <si>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</si>
  <si>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</si>
  <si>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</si>
  <si>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</si>
  <si>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</si>
  <si>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</si>
  <si>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</si>
  <si>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</si>
  <si>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</si>
  <si>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</si>
  <si>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</si>
  <si>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</si>
  <si>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</si>
  <si>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</si>
  <si>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</si>
  <si>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</si>
  <si>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</si>
  <si>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</si>
  <si>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</si>
  <si>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</si>
  <si>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</si>
  <si>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</si>
  <si>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</si>
  <si>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</si>
  <si>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</si>
  <si>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</si>
  <si>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</si>
  <si>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</si>
  <si>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</si>
  <si>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</si>
  <si>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</si>
  <si>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</si>
  <si>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</si>
  <si>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</si>
  <si>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</si>
  <si>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</si>
  <si>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</si>
  <si>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</si>
  <si>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</si>
  <si>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</si>
  <si>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</si>
  <si>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</si>
  <si>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</si>
  <si>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</si>
  <si>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</si>
  <si>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</si>
  <si>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</si>
  <si>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</si>
  <si>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</si>
  <si>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</si>
  <si>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</si>
  <si>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</si>
  <si>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</si>
  <si>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</si>
  <si>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</si>
  <si>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</si>
  <si>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</si>
  <si>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</si>
  <si>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</si>
  <si>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</si>
  <si>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</si>
  <si>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</si>
  <si>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</si>
  <si>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</si>
  <si>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</si>
  <si>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</si>
  <si>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</si>
  <si>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</si>
  <si>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</si>
  <si>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</si>
  <si>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</si>
  <si>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</si>
  <si>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</si>
  <si>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</si>
  <si>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</si>
  <si>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</si>
  <si>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</si>
  <si>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</si>
  <si>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</si>
  <si>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</si>
  <si>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</si>
  <si>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</si>
  <si>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</si>
  <si>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</si>
  <si>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</si>
  <si>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</si>
  <si>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</si>
  <si>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</si>
  <si>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</si>
  <si>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</si>
  <si>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</si>
  <si>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</si>
  <si>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</si>
  <si>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</si>
  <si>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</si>
  <si>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</si>
  <si>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</si>
  <si>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</si>
  <si>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</si>
  <si>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</si>
  <si>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</si>
  <si>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</si>
  <si>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</si>
  <si>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</si>
  <si>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</si>
  <si>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</si>
  <si>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</si>
  <si>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</si>
  <si>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</si>
  <si>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</si>
  <si>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</si>
  <si>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</si>
  <si>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</si>
  <si>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</si>
  <si>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</si>
  <si>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</si>
  <si>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</si>
  <si>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</si>
  <si>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</si>
  <si>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</si>
  <si>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</si>
  <si>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</si>
  <si>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</si>
  <si>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</si>
  <si>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</si>
  <si>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</si>
  <si>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</si>
  <si>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</si>
  <si>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</si>
  <si>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</si>
  <si>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</si>
  <si>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</si>
  <si>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</si>
  <si>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</si>
  <si>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</si>
  <si>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</si>
  <si>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</si>
  <si>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</si>
  <si>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</si>
  <si>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</si>
  <si>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</si>
  <si>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</si>
  <si>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</si>
  <si>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</si>
  <si>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</si>
  <si>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</si>
  <si>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</si>
  <si>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</si>
  <si>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</si>
  <si>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</si>
  <si>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</si>
  <si>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</si>
  <si>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</si>
  <si>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</si>
  <si>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</si>
  <si>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</si>
  <si>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</si>
  <si>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</si>
  <si>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</si>
  <si>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</si>
  <si>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</si>
  <si>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</si>
  <si>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</si>
  <si>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</si>
  <si>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</si>
  <si>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</si>
  <si>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</si>
  <si>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</si>
  <si>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</si>
  <si>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</si>
  <si>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</si>
  <si>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</si>
  <si>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</si>
  <si>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</si>
  <si>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</si>
  <si>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</si>
  <si>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</si>
  <si>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</si>
  <si>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</si>
  <si>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</si>
  <si>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</si>
  <si>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</si>
  <si>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</si>
  <si>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</si>
  <si>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</si>
  <si>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</si>
  <si>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</si>
  <si>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</si>
  <si>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</si>
  <si>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</si>
  <si>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</si>
  <si>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</si>
  <si>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</si>
  <si>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</si>
  <si>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</si>
  <si>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</si>
  <si>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</si>
  <si>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</si>
  <si>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</si>
  <si>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</si>
  <si>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</si>
  <si>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</si>
  <si>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</si>
  <si>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</si>
  <si>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</si>
  <si>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</si>
  <si>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</si>
  <si>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</si>
  <si>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</si>
  <si>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</si>
  <si>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</si>
  <si>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</si>
  <si>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</si>
  <si>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</si>
  <si>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</si>
  <si>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</si>
  <si>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</si>
  <si>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</si>
  <si>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</si>
  <si>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</si>
  <si>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</si>
  <si>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</si>
  <si>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</si>
  <si>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</si>
  <si>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</si>
  <si>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</si>
  <si>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</si>
  <si>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</si>
  <si>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</si>
  <si>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</si>
  <si>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</si>
  <si>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</si>
  <si>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</si>
  <si>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</si>
  <si>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</si>
  <si>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</si>
  <si>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</si>
  <si>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</si>
  <si>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</si>
  <si>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</si>
  <si>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</si>
  <si>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</si>
  <si>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</si>
  <si>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</si>
  <si>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</si>
  <si>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</si>
  <si>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</si>
  <si>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</si>
  <si>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</si>
  <si>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</si>
  <si>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</si>
  <si>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</si>
  <si>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</si>
  <si>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</si>
  <si>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</si>
  <si>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</si>
  <si>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</si>
  <si>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</si>
  <si>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</si>
  <si>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</si>
  <si>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</si>
  <si>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</si>
  <si>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</si>
  <si>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</si>
  <si>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</si>
  <si>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</si>
  <si>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</si>
  <si>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</si>
  <si>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</si>
  <si>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</si>
  <si>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</si>
  <si>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</si>
  <si>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</si>
  <si>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</si>
  <si>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</si>
  <si>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</si>
  <si>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</si>
  <si>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</si>
  <si>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</si>
  <si>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</si>
  <si>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</si>
  <si>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</si>
  <si>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</si>
  <si>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</si>
  <si>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</si>
  <si>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</si>
  <si>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</si>
  <si>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</si>
  <si>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</si>
  <si>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</si>
  <si>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</si>
  <si>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</si>
  <si>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</si>
  <si>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</si>
  <si>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</si>
  <si>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</si>
  <si>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</si>
  <si>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</si>
  <si>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</si>
  <si>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</si>
  <si>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</si>
  <si>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</si>
  <si>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</si>
  <si>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</si>
  <si>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</si>
  <si>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</si>
  <si>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</si>
  <si>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</si>
  <si>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</si>
  <si>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</si>
  <si>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</si>
  <si>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</si>
  <si>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</si>
  <si>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</si>
  <si>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</si>
  <si>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</si>
  <si>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</si>
  <si>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</si>
  <si>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</si>
  <si>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</si>
  <si>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</si>
  <si>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</si>
  <si>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</si>
  <si>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</si>
  <si>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</si>
  <si>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</si>
  <si>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</si>
  <si>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</si>
  <si>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</si>
  <si>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</si>
  <si>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</si>
  <si>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</si>
  <si>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</si>
  <si>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</si>
  <si>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</si>
  <si>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</si>
  <si>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</si>
  <si>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</si>
  <si>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</si>
  <si>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</si>
  <si>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</si>
  <si>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</si>
  <si>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</si>
  <si>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</si>
  <si>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</si>
  <si>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</si>
  <si>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</si>
  <si>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</si>
  <si>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</si>
  <si>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</si>
  <si>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</si>
  <si>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</si>
  <si>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</si>
  <si>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</si>
  <si>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</si>
  <si>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</si>
  <si>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</si>
  <si>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</si>
  <si>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</si>
  <si>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</si>
  <si>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</si>
  <si>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</si>
  <si>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</si>
  <si>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</si>
  <si>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</si>
  <si>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</si>
  <si>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</si>
  <si>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</si>
  <si>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</si>
  <si>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</si>
  <si>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</si>
  <si>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</si>
  <si>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</si>
  <si>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</si>
  <si>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</si>
  <si>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</si>
  <si>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</si>
  <si>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</si>
  <si>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</si>
  <si>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</si>
  <si>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</si>
  <si>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</si>
  <si>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</si>
  <si>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</si>
  <si>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</si>
  <si>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</si>
  <si>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</si>
  <si>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</si>
  <si>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</si>
  <si>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</si>
  <si>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</si>
  <si>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</si>
  <si>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</si>
  <si>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</si>
  <si>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</si>
  <si>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</si>
  <si>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</si>
  <si>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</si>
  <si>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</si>
  <si>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</si>
  <si>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</si>
  <si>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</si>
  <si>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</si>
  <si>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</si>
  <si>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</si>
  <si>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</si>
  <si>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</si>
  <si>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</si>
  <si>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</si>
  <si>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</si>
  <si>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</si>
  <si>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</si>
  <si>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</si>
  <si>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</si>
  <si>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</si>
  <si>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</si>
  <si>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</si>
  <si>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</si>
  <si>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</si>
  <si>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</si>
  <si>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</si>
  <si>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</si>
  <si>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</si>
  <si>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</si>
  <si>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</si>
  <si>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</si>
  <si>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</si>
  <si>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</si>
  <si>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</si>
  <si>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</si>
  <si>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</si>
  <si>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</si>
  <si>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</si>
  <si>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</si>
  <si>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</si>
  <si>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</si>
  <si>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</si>
  <si>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</si>
  <si>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</si>
  <si>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</si>
  <si>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</si>
  <si>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</si>
  <si>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</si>
  <si>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</si>
  <si>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</si>
  <si>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</si>
  <si>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</si>
  <si>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</si>
  <si>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</si>
  <si>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</si>
  <si>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</si>
  <si>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</si>
  <si>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</si>
  <si>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</si>
  <si>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</si>
  <si>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</si>
  <si>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</si>
  <si>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</si>
  <si>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</si>
  <si>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</si>
  <si>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</si>
  <si>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</si>
  <si>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</si>
  <si>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</si>
  <si>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</si>
  <si>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</si>
  <si>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</si>
  <si>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</si>
  <si>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</si>
  <si>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</si>
  <si>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</si>
  <si>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</si>
  <si>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</si>
  <si>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</si>
  <si>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</si>
  <si>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</si>
  <si>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</si>
  <si>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</si>
  <si>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</si>
  <si>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</si>
  <si>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</si>
  <si>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</si>
  <si>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</si>
  <si>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</si>
  <si>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</si>
  <si>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</si>
  <si>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</si>
  <si>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</si>
  <si>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</si>
  <si>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</si>
  <si>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</si>
  <si>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</si>
  <si>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</si>
  <si>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</si>
  <si>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</si>
  <si>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</si>
  <si>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</si>
  <si>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</si>
  <si>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</si>
  <si>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</si>
  <si>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</si>
  <si>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</si>
  <si>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</si>
  <si>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</si>
  <si>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</si>
  <si>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</si>
  <si>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</si>
  <si>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</si>
  <si>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</si>
  <si>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</si>
  <si>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</si>
  <si>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</si>
  <si>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</si>
  <si>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</si>
  <si>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</si>
  <si>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</si>
  <si>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</si>
  <si>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</si>
  <si>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</si>
  <si>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</si>
  <si>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</si>
  <si>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</si>
  <si>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</si>
  <si>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</si>
  <si>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</si>
  <si>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</si>
  <si>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</si>
  <si>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</si>
  <si>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</si>
  <si>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</si>
  <si>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</si>
  <si>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</si>
  <si>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</si>
  <si>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</si>
  <si>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</si>
  <si>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</si>
  <si>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</si>
  <si>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</si>
  <si>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</si>
  <si>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</si>
  <si>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</si>
  <si>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</si>
  <si>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</si>
  <si>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</si>
  <si>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</si>
  <si>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</si>
  <si>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</si>
  <si>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</si>
  <si>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</si>
  <si>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</si>
  <si>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</si>
  <si>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</si>
  <si>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</si>
  <si>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</si>
  <si>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</si>
  <si>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</si>
  <si>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</si>
  <si>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</si>
  <si>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</si>
  <si>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</si>
  <si>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</si>
  <si>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</si>
  <si>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</si>
  <si>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</si>
  <si>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</si>
  <si>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</si>
  <si>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</si>
  <si>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</si>
  <si>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</si>
  <si>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</si>
  <si>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</si>
  <si>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</si>
  <si>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</si>
  <si>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</si>
  <si>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</si>
  <si>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</si>
  <si>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</si>
  <si>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</si>
  <si>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</si>
  <si>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</si>
  <si>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</si>
  <si>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</si>
  <si>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</si>
  <si>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</si>
  <si>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</si>
  <si>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</si>
  <si>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</si>
  <si>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</si>
  <si>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</si>
  <si>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</si>
  <si>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</si>
  <si>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</si>
  <si>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</si>
  <si>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</si>
  <si>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</si>
  <si>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</si>
  <si>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</si>
  <si>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</si>
  <si>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</si>
  <si>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</si>
  <si>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</si>
  <si>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</si>
  <si>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</si>
  <si>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</si>
  <si>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</si>
  <si>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</si>
  <si>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</si>
  <si>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</si>
  <si>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</si>
  <si>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</si>
  <si>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</si>
  <si>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</si>
  <si>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</si>
  <si>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</si>
  <si>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</si>
  <si>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</si>
  <si>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</si>
  <si>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</si>
  <si>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</si>
  <si>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</si>
  <si>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</si>
  <si>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</si>
  <si>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</si>
  <si>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</si>
  <si>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</si>
  <si>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</si>
  <si>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</si>
  <si>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</si>
  <si>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</si>
  <si>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</si>
  <si>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</si>
  <si>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</si>
  <si>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</si>
  <si>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</si>
  <si>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</si>
  <si>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</si>
  <si>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</si>
  <si>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</si>
  <si>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</si>
  <si>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</si>
  <si>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</si>
  <si>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</si>
  <si>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</si>
  <si>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</si>
  <si>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</si>
  <si>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</si>
  <si>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</si>
  <si>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</si>
  <si>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</si>
  <si>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</si>
  <si>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</si>
  <si>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</si>
  <si>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</si>
  <si>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</si>
  <si>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</si>
  <si>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</si>
  <si>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</si>
  <si>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</si>
  <si>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</si>
  <si>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</si>
  <si>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</si>
  <si>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</si>
  <si>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</si>
  <si>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</si>
  <si>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</si>
  <si>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</si>
  <si>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</si>
  <si>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</si>
  <si>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</si>
  <si>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</si>
  <si>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</si>
  <si>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</si>
  <si>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</si>
  <si>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</si>
  <si>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</si>
  <si>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</si>
  <si>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</si>
  <si>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</si>
  <si>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</si>
  <si>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</si>
  <si>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</si>
  <si>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</si>
  <si>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</si>
  <si>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</si>
  <si>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</si>
  <si>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</si>
  <si>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</si>
  <si>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</si>
  <si>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</si>
  <si>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</si>
  <si>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</si>
  <si>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</si>
  <si>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</si>
  <si>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</si>
  <si>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</si>
  <si>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</si>
  <si>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</si>
  <si>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</si>
  <si>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</si>
  <si>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</si>
  <si>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</si>
  <si>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</si>
  <si>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</si>
  <si>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</si>
  <si>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</si>
  <si>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</si>
  <si>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</si>
  <si>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</si>
  <si>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</si>
  <si>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</si>
  <si>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</si>
  <si>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</si>
  <si>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</si>
  <si>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</si>
  <si>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</si>
  <si>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</si>
  <si>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</si>
  <si>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</si>
  <si>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</si>
  <si>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</si>
  <si>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</si>
  <si>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</si>
  <si>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</si>
  <si>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</si>
  <si>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</si>
  <si>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</si>
  <si>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</si>
  <si>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</si>
  <si>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</si>
  <si>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</si>
  <si>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</si>
  <si>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</si>
  <si>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</si>
  <si>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</si>
  <si>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</si>
  <si>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</si>
  <si>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</si>
  <si>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</si>
  <si>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</si>
  <si>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</si>
  <si>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</si>
  <si>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</si>
  <si>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</si>
  <si>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</si>
  <si>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</si>
  <si>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</si>
  <si>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</si>
  <si>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</si>
  <si>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</si>
  <si>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</si>
  <si>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</si>
  <si>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</si>
  <si>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</si>
  <si>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</si>
  <si>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</si>
  <si>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</si>
  <si>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</si>
  <si>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</si>
  <si>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</si>
  <si>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</si>
  <si>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</si>
  <si>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</si>
  <si>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</si>
  <si>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</si>
  <si>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</si>
  <si>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</si>
  <si>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</si>
  <si>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</si>
  <si>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</si>
  <si>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</si>
  <si>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</si>
  <si>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</si>
  <si>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</si>
  <si>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</si>
  <si>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</si>
  <si>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</si>
  <si>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</si>
  <si>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</si>
  <si>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</si>
  <si>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</si>
  <si>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</si>
  <si>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</si>
  <si>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</si>
  <si>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</si>
  <si>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</si>
  <si>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</si>
  <si>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</si>
  <si>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</si>
  <si>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</si>
  <si>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</si>
  <si>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</si>
  <si>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</si>
  <si>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</si>
  <si>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</si>
  <si>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</si>
  <si>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</si>
  <si>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</si>
  <si>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</si>
  <si>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</si>
  <si>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</si>
  <si>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</si>
  <si>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</si>
  <si>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</si>
  <si>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</si>
  <si>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</si>
  <si>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</si>
  <si>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</si>
  <si>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</si>
  <si>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</si>
  <si>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</si>
  <si>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</si>
  <si>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</si>
  <si>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</si>
  <si>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</si>
  <si>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</si>
  <si>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</si>
  <si>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</si>
  <si>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</si>
  <si>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</si>
  <si>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</si>
  <si>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</si>
  <si>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</si>
  <si>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</si>
  <si>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</si>
  <si>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</si>
  <si>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</si>
  <si>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</si>
  <si>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</si>
  <si>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</si>
  <si>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</si>
  <si>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</si>
  <si>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</si>
  <si>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</si>
  <si>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</si>
  <si>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</si>
  <si>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</si>
  <si>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</si>
  <si>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</si>
  <si>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</si>
  <si>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</si>
  <si>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</si>
  <si>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</si>
  <si>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</si>
  <si>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</si>
  <si>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</si>
  <si>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</si>
  <si>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</si>
  <si>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</si>
  <si>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</si>
  <si>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</si>
  <si>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</si>
  <si>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</si>
  <si>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</si>
  <si>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</si>
  <si>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</si>
  <si>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</si>
  <si>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</si>
  <si>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</si>
  <si>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</si>
  <si>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</si>
  <si>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</si>
  <si>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</si>
  <si>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</si>
  <si>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</si>
  <si>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</si>
  <si>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</si>
  <si>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</si>
  <si>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</si>
  <si>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</si>
  <si>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</si>
  <si>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</si>
  <si>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</si>
  <si>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</si>
  <si>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</si>
  <si>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</si>
  <si>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</si>
  <si>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</si>
  <si>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</si>
  <si>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</si>
  <si>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</si>
  <si>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</si>
  <si>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</si>
  <si>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</si>
  <si>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</si>
  <si>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</si>
  <si>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</si>
  <si>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</si>
  <si>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</si>
  <si>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</si>
  <si>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</si>
  <si>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</si>
  <si>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</si>
  <si>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</si>
  <si>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</si>
  <si>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</si>
  <si>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</si>
  <si>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</si>
  <si>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</si>
  <si>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</si>
  <si>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</si>
  <si>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</si>
  <si>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</si>
  <si>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</si>
  <si>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</si>
  <si>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</si>
  <si>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</si>
  <si>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</si>
  <si>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</si>
  <si>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</si>
  <si>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</si>
  <si>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</si>
  <si>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</si>
  <si>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</si>
  <si>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</si>
  <si>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</si>
  <si>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</si>
  <si>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</si>
  <si>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</si>
  <si>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</si>
  <si>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</si>
  <si>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</si>
  <si>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</si>
  <si>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</si>
  <si>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</si>
  <si>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</si>
  <si>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</si>
  <si>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</si>
  <si>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</si>
  <si>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</si>
  <si>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</si>
  <si>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</si>
  <si>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</si>
  <si>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</si>
  <si>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</si>
  <si>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</si>
  <si>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</si>
  <si>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</si>
  <si>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</si>
  <si>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</si>
  <si>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</si>
  <si>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</si>
  <si>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</si>
  <si>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</si>
  <si>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</si>
  <si>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</si>
  <si>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</si>
  <si>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</si>
  <si>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</si>
  <si>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</si>
  <si>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</si>
  <si>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</si>
  <si>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</si>
  <si>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</si>
  <si>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</si>
  <si>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</si>
  <si>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</si>
  <si>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</si>
  <si>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</si>
  <si>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</si>
  <si>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</si>
  <si>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</si>
  <si>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</si>
  <si>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</si>
  <si>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</si>
  <si>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</si>
  <si>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</si>
  <si>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</si>
  <si>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</si>
  <si>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</si>
  <si>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</si>
  <si>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</si>
  <si>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</si>
  <si>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</si>
  <si>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</si>
  <si>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</si>
  <si>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</si>
  <si>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</si>
  <si>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</si>
  <si>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</si>
  <si>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</si>
  <si>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</si>
  <si>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</si>
  <si>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</si>
  <si>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</si>
  <si>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</si>
  <si>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</si>
  <si>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</si>
  <si>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</si>
  <si>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</si>
  <si>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</si>
  <si>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</si>
  <si>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</si>
  <si>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</si>
  <si>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</si>
  <si>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</si>
  <si>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</si>
  <si>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</si>
  <si>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</si>
  <si>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</si>
  <si>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</si>
  <si>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</si>
  <si>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</si>
  <si>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</si>
  <si>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</si>
  <si>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</si>
  <si>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</si>
  <si>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</si>
  <si>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</si>
  <si>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</si>
  <si>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</si>
  <si>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</si>
  <si>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</si>
  <si>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</si>
  <si>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</si>
  <si>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</si>
  <si>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</si>
  <si>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</si>
  <si>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</si>
  <si>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</si>
  <si>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</si>
  <si>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</si>
  <si>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</si>
  <si>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</si>
  <si>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</si>
  <si>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</si>
  <si>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</si>
  <si>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</si>
  <si>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</si>
  <si>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</si>
  <si>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</si>
  <si>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</si>
  <si>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</si>
  <si>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</si>
  <si>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</si>
  <si>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</si>
  <si>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</si>
  <si>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</si>
  <si>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</si>
  <si>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</si>
  <si>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</si>
  <si>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</si>
  <si>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</si>
  <si>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</si>
  <si>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</si>
  <si>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</si>
  <si>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</si>
  <si>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</si>
  <si>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</si>
  <si>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</si>
  <si>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</si>
  <si>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</si>
  <si>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</si>
  <si>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</si>
  <si>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</si>
  <si>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</si>
  <si>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</si>
  <si>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</si>
  <si>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</si>
  <si>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</si>
  <si>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</si>
  <si>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</si>
  <si>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</si>
  <si>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</si>
  <si>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</si>
  <si>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</si>
  <si>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</si>
  <si>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</si>
  <si>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</si>
  <si>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</si>
  <si>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</si>
  <si>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</si>
  <si>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</si>
  <si>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</si>
  <si>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</si>
  <si>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</si>
  <si>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</si>
  <si>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</si>
  <si>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</si>
  <si>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</si>
  <si>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</si>
  <si>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</si>
  <si>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</si>
  <si>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</si>
  <si>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</si>
  <si>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</si>
  <si>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</si>
  <si>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</si>
  <si>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</si>
  <si>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</si>
  <si>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</si>
  <si>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</si>
  <si>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</si>
  <si>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</si>
  <si>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</si>
  <si>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</si>
  <si>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</si>
  <si>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</si>
  <si>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</si>
  <si>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</si>
  <si>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</si>
  <si>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</si>
  <si>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</si>
  <si>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</si>
  <si>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</si>
  <si>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</si>
  <si>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</si>
  <si>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</si>
  <si>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</si>
  <si>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</si>
  <si>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</si>
  <si>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</si>
  <si>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</si>
  <si>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</si>
  <si>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</si>
  <si>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</si>
  <si>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</si>
  <si>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</si>
  <si>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</si>
  <si>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</si>
  <si>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</si>
  <si>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</si>
  <si>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</si>
  <si>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</si>
  <si>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</si>
  <si>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</si>
  <si>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</si>
  <si>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</si>
  <si>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</si>
  <si>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</si>
  <si>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</si>
  <si>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</si>
  <si>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</si>
  <si>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</si>
  <si>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</si>
  <si>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</si>
  <si>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</si>
  <si>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</si>
  <si>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</si>
  <si>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</si>
  <si>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</si>
  <si>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</si>
  <si>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</si>
  <si>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</si>
  <si>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</si>
  <si>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</si>
  <si>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</si>
  <si>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</si>
  <si>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</si>
  <si>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</si>
  <si>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</si>
  <si>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</si>
  <si>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</si>
  <si>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</si>
  <si>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</si>
  <si>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</si>
  <si>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</si>
  <si>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</si>
  <si>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</si>
  <si>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</si>
  <si>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</si>
  <si>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</si>
  <si>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</si>
  <si>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</si>
  <si>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</si>
  <si>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</si>
  <si>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</si>
  <si>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</si>
  <si>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</si>
  <si>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</si>
  <si>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</si>
  <si>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</si>
  <si>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</si>
  <si>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</si>
  <si>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</si>
  <si>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</si>
  <si>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</si>
  <si>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</si>
  <si>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</si>
  <si>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</si>
  <si>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</si>
  <si>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</si>
  <si>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</si>
  <si>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</si>
  <si>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</si>
  <si>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</si>
  <si>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</si>
  <si>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</si>
  <si>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</si>
  <si>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</si>
  <si>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</si>
  <si>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</si>
  <si>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</si>
  <si>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</si>
  <si>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</si>
  <si>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</si>
  <si>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</si>
  <si>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</si>
  <si>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</si>
  <si>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</si>
  <si>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</si>
  <si>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</si>
  <si>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</si>
  <si>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</si>
  <si>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</si>
  <si>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</si>
  <si>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</si>
  <si>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</si>
  <si>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</si>
  <si>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</si>
  <si>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</si>
  <si>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</si>
  <si>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</si>
  <si>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</si>
  <si>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</si>
  <si>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</si>
  <si>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</si>
  <si>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</si>
  <si>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</si>
  <si>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</si>
  <si>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</si>
  <si>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</si>
  <si>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</si>
  <si>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</si>
  <si>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</si>
  <si>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</si>
  <si>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</si>
  <si>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</si>
  <si>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</si>
  <si>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</si>
  <si>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</si>
  <si>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</si>
  <si>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</si>
  <si>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</si>
  <si>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</si>
  <si>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</si>
  <si>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</si>
  <si>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</si>
  <si>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</si>
  <si>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</si>
  <si>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</si>
  <si>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</si>
  <si>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</si>
  <si>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</si>
  <si>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</si>
  <si>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</si>
  <si>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</si>
  <si>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</si>
  <si>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</si>
  <si>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</si>
  <si>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</si>
  <si>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</si>
  <si>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</si>
  <si>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</si>
  <si>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</si>
  <si>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</si>
  <si>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</si>
  <si>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</si>
  <si>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</si>
  <si>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</si>
  <si>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</si>
  <si>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</si>
  <si>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</si>
  <si>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</si>
  <si>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</si>
  <si>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</si>
  <si>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</si>
  <si>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</si>
  <si>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</si>
  <si>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</si>
  <si>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</si>
  <si>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</si>
  <si>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</si>
  <si>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</si>
  <si>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</si>
  <si>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</si>
  <si>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</si>
  <si>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</si>
  <si>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</si>
  <si>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</si>
  <si>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</si>
  <si>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</si>
  <si>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</si>
  <si>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</si>
  <si>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</si>
  <si>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</si>
  <si>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</si>
  <si>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</si>
  <si>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</si>
  <si>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</si>
  <si>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</si>
  <si>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</si>
  <si>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</si>
  <si>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</si>
  <si>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</si>
  <si>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</si>
  <si>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</si>
  <si>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</si>
  <si>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</si>
  <si>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</si>
  <si>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</si>
  <si>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</si>
  <si>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</si>
  <si>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</si>
  <si>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</si>
  <si>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</si>
  <si>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</si>
  <si>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</si>
  <si>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</si>
  <si>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</si>
  <si>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</si>
  <si>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</si>
  <si>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</si>
  <si>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</si>
  <si>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</si>
  <si>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</si>
  <si>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</si>
  <si>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</si>
  <si>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</si>
  <si>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</si>
  <si>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</si>
  <si>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</si>
  <si>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</si>
  <si>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</si>
  <si>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</si>
  <si>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</si>
  <si>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</si>
  <si>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</si>
  <si>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</si>
  <si>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</si>
  <si>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</si>
  <si>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</si>
  <si>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</si>
  <si>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</si>
  <si>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</si>
  <si>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</si>
  <si>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</si>
  <si>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</si>
  <si>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</si>
  <si>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</si>
  <si>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</si>
  <si>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</si>
  <si>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</si>
  <si>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</si>
  <si>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</si>
  <si>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</si>
  <si>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</si>
  <si>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</si>
  <si>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</si>
  <si>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</si>
  <si>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</si>
  <si>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</si>
  <si>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</si>
  <si>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</si>
  <si>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</si>
  <si>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</si>
  <si>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</si>
  <si>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</si>
  <si>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</si>
  <si>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</si>
  <si>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</si>
  <si>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</si>
  <si>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</si>
  <si>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</si>
  <si>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</si>
  <si>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</si>
  <si>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</si>
  <si>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</si>
  <si>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</si>
  <si>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</si>
  <si>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</si>
  <si>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</si>
  <si>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</si>
  <si>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</si>
  <si>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</si>
  <si>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</si>
  <si>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</si>
  <si>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</si>
  <si>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</si>
  <si>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</si>
  <si>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</si>
  <si>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</si>
  <si>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</si>
  <si>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</si>
  <si>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</si>
  <si>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</si>
  <si>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</si>
  <si>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</si>
  <si>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</si>
  <si>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</si>
  <si>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</si>
  <si>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</si>
  <si>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</si>
  <si>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</si>
  <si>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</si>
  <si>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</si>
  <si>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</si>
  <si>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</si>
  <si>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</si>
  <si>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</si>
  <si>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</si>
  <si>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</si>
  <si>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</si>
  <si>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</si>
  <si>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</si>
  <si>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</si>
  <si>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</si>
  <si>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</si>
  <si>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</si>
  <si>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</si>
  <si>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</si>
  <si>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</si>
  <si>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</si>
  <si>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</si>
  <si>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</si>
  <si>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</si>
  <si>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</si>
  <si>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</si>
  <si>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</si>
  <si>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</si>
  <si>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</si>
  <si>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</si>
  <si>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</si>
  <si>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</si>
  <si>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</si>
  <si>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</si>
  <si>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</si>
  <si>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</si>
  <si>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</si>
  <si>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</si>
  <si>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</si>
  <si>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</si>
  <si>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</si>
  <si>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</si>
  <si>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</si>
  <si>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</si>
  <si>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</si>
  <si>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</si>
  <si>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</si>
  <si>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</si>
  <si>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</si>
  <si>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</si>
  <si>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</si>
  <si>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</si>
  <si>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</si>
  <si>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</si>
  <si>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</si>
  <si>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</si>
  <si>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</si>
  <si>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</si>
  <si>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</si>
  <si>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</si>
  <si>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</si>
  <si>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</si>
  <si>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</si>
  <si>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</si>
  <si>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</si>
  <si>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</si>
  <si>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</si>
  <si>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</si>
  <si>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</si>
  <si>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</si>
  <si>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</si>
  <si>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</si>
  <si>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</si>
  <si>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</si>
  <si>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</si>
  <si>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</si>
  <si>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</si>
  <si>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</si>
  <si>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</si>
  <si>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</si>
  <si>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</si>
  <si>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</si>
  <si>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</si>
  <si>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</si>
  <si>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</si>
  <si>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</si>
  <si>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</si>
  <si>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</si>
  <si>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</si>
  <si>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</si>
  <si>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</si>
  <si>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</si>
  <si>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</si>
  <si>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</si>
  <si>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</si>
  <si>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</si>
  <si>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</si>
  <si>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</si>
  <si>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</si>
  <si>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</si>
  <si>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</si>
  <si>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</si>
  <si>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</si>
  <si>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</si>
  <si>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</si>
  <si>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</si>
  <si>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</si>
  <si>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</si>
  <si>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</si>
  <si>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</si>
  <si>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</si>
  <si>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</si>
  <si>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</si>
  <si>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</si>
  <si>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</si>
  <si>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</si>
  <si>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</si>
  <si>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</si>
  <si>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</si>
  <si>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</si>
  <si>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</si>
  <si>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</si>
  <si>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</si>
  <si>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</si>
  <si>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</si>
  <si>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</si>
  <si>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</si>
  <si>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</si>
  <si>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</si>
  <si>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</si>
  <si>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</si>
  <si>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</si>
  <si>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</si>
  <si>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</si>
  <si>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</si>
  <si>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</si>
  <si>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</si>
  <si>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</si>
  <si>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</si>
  <si>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</si>
  <si>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</si>
  <si>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</si>
  <si>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</si>
  <si>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</si>
  <si>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</si>
  <si>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</si>
  <si>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</si>
  <si>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</si>
  <si>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</si>
  <si>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</si>
  <si>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</si>
  <si>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</si>
  <si>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</si>
  <si>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</si>
  <si>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</si>
  <si>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</si>
  <si>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</si>
  <si>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</si>
  <si>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</si>
  <si>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</si>
  <si>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</si>
  <si>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</si>
  <si>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</si>
  <si>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</si>
  <si>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</si>
  <si>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</si>
  <si>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</si>
  <si>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</si>
  <si>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</si>
  <si>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</si>
  <si>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</si>
  <si>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</si>
  <si>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</si>
  <si>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</si>
  <si>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</si>
  <si>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</si>
  <si>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</si>
  <si>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</si>
  <si>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</si>
  <si>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</si>
  <si>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</si>
  <si>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</si>
  <si>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</si>
  <si>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</si>
  <si>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</si>
  <si>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</si>
  <si>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</si>
  <si>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</si>
  <si>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</si>
  <si>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</si>
  <si>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</si>
  <si>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</si>
  <si>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</si>
  <si>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</si>
  <si>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</si>
  <si>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</si>
  <si>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</si>
  <si>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</si>
  <si>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</si>
  <si>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</si>
  <si>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</si>
  <si>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</si>
  <si>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</si>
  <si>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</si>
  <si>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</si>
  <si>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</si>
  <si>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</si>
  <si>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</si>
  <si>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</si>
  <si>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</si>
  <si>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</si>
  <si>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</si>
  <si>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</si>
  <si>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</si>
  <si>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</si>
  <si>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</si>
  <si>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</si>
  <si>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</si>
  <si>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</si>
  <si>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</si>
  <si>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</si>
  <si>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</si>
  <si>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</si>
  <si>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</si>
  <si>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</si>
  <si>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</si>
  <si>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</si>
  <si>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</si>
  <si>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</si>
  <si>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</si>
  <si>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</si>
  <si>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</si>
  <si>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</si>
  <si>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</si>
  <si>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</si>
  <si>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</si>
  <si>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</si>
  <si>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</si>
  <si>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</si>
  <si>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</si>
  <si>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</si>
  <si>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</si>
  <si>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</si>
  <si>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</si>
  <si>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</si>
  <si>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</si>
  <si>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</si>
  <si>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</si>
  <si>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</si>
  <si>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</si>
  <si>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</si>
  <si>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</si>
  <si>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</si>
  <si>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</si>
  <si>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</si>
  <si>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</si>
  <si>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</si>
  <si>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</si>
  <si>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</si>
  <si>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</si>
  <si>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</si>
  <si>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</si>
  <si>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</si>
  <si>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</si>
  <si>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</si>
  <si>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</si>
  <si>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</si>
  <si>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</si>
  <si>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</si>
  <si>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</si>
  <si>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</si>
  <si>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</si>
  <si>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</si>
  <si>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</si>
  <si>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</si>
  <si>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</si>
  <si>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</si>
  <si>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</si>
  <si>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</si>
  <si>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</si>
  <si>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</si>
  <si>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</si>
  <si>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</si>
  <si>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</si>
  <si>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</si>
  <si>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</si>
  <si>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</si>
  <si>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</si>
  <si>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</si>
  <si>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</si>
  <si>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</si>
  <si>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</si>
  <si>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</si>
  <si>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</si>
  <si>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</si>
  <si>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</si>
  <si>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</si>
  <si>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</si>
  <si>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</si>
  <si>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</si>
  <si>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</si>
  <si>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</si>
  <si>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</si>
  <si>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</si>
  <si>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</si>
  <si>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</si>
  <si>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</si>
  <si>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</si>
  <si>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</si>
  <si>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</si>
  <si>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</si>
  <si>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</si>
  <si>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</si>
  <si>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</si>
  <si>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</si>
  <si>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</si>
  <si>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</si>
  <si>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</si>
  <si>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</si>
  <si>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</si>
  <si>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</si>
  <si>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</si>
  <si>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</si>
  <si>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</si>
  <si>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</si>
  <si>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</si>
  <si>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</si>
  <si>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</si>
  <si>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</si>
  <si>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</si>
  <si>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</si>
  <si>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</si>
  <si>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</si>
  <si>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</si>
  <si>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</si>
  <si>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</si>
  <si>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</si>
  <si>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</si>
  <si>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</si>
  <si>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</si>
  <si>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</si>
  <si>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</si>
  <si>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</si>
  <si>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</si>
  <si>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</si>
  <si>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</si>
  <si>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</si>
  <si>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</si>
  <si>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</si>
  <si>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</si>
  <si>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</si>
  <si>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</si>
  <si>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</si>
  <si>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</si>
  <si>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</si>
  <si>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</si>
  <si>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</si>
  <si>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</si>
  <si>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</si>
  <si>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</si>
  <si>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</si>
  <si>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</si>
  <si>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</si>
  <si>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</si>
  <si>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</si>
  <si>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</si>
  <si>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</si>
  <si>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</si>
  <si>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</si>
  <si>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</si>
  <si>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</si>
  <si>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</si>
  <si>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</si>
  <si>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</si>
  <si>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</si>
  <si>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</si>
  <si>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</si>
  <si>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</si>
  <si>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</si>
  <si>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</si>
  <si>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</si>
  <si>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</si>
  <si>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</si>
  <si>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</si>
  <si>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</si>
  <si>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</si>
  <si>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</si>
  <si>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</si>
  <si>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</si>
  <si>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</si>
  <si>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</si>
  <si>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</si>
  <si>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</si>
  <si>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</si>
  <si>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</si>
  <si>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</si>
  <si>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</si>
  <si>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</si>
  <si>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</si>
  <si>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</si>
  <si>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</si>
  <si>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</si>
  <si>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</si>
  <si>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</si>
  <si>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</si>
  <si>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</si>
  <si>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</si>
  <si>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</si>
  <si>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</si>
  <si>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</si>
  <si>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</si>
  <si>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</si>
  <si>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</si>
  <si>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</si>
  <si>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</si>
  <si>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</si>
  <si>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</si>
  <si>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</si>
  <si>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</si>
  <si>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</si>
  <si>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</si>
  <si>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</si>
  <si>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</si>
  <si>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</si>
  <si>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</si>
  <si>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</si>
  <si>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</si>
  <si>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</si>
  <si>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</si>
  <si>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</si>
  <si>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</si>
  <si>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</si>
  <si>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</si>
  <si>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</si>
  <si>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</si>
  <si>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</si>
  <si>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</si>
  <si>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</si>
  <si>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</si>
  <si>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</si>
  <si>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</si>
  <si>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</si>
  <si>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</si>
  <si>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</si>
  <si>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</si>
  <si>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</si>
  <si>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</si>
  <si>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</si>
  <si>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</si>
  <si>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</si>
  <si>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</si>
  <si>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</si>
  <si>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</si>
  <si>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</si>
  <si>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</si>
  <si>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</si>
  <si>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</si>
  <si>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</si>
  <si>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</si>
  <si>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</si>
  <si>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</si>
  <si>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</si>
  <si>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</si>
  <si>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</si>
  <si>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</si>
  <si>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</si>
  <si>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</si>
  <si>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</si>
  <si>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</si>
  <si>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</si>
  <si>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</si>
  <si>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</si>
  <si>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</si>
  <si>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</si>
  <si>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</si>
  <si>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</si>
  <si>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</si>
  <si>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</si>
  <si>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</si>
  <si>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</si>
  <si>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</si>
  <si>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</si>
  <si>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</si>
  <si>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</si>
  <si>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</si>
  <si>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</si>
  <si>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</si>
  <si>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</si>
  <si>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</si>
  <si>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</si>
  <si>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</si>
  <si>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</si>
  <si>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</si>
  <si>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</si>
  <si>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</si>
  <si>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</si>
  <si>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</si>
  <si>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</si>
  <si>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</si>
  <si>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</si>
  <si>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</si>
  <si>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</si>
  <si>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</si>
  <si>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</si>
  <si>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</si>
  <si>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</si>
  <si>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</si>
  <si>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</si>
  <si>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</si>
  <si>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</si>
  <si>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</si>
  <si>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</si>
  <si>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</si>
  <si>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</si>
  <si>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</si>
  <si>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</si>
  <si>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</si>
  <si>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</si>
  <si>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</si>
  <si>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</si>
  <si>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</si>
  <si>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</si>
  <si>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</si>
  <si>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</si>
  <si>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</si>
  <si>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</si>
  <si>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</si>
  <si>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</si>
  <si>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</si>
  <si>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</si>
  <si>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</si>
  <si>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</si>
  <si>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</si>
  <si>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</si>
  <si>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</si>
  <si>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</si>
  <si>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</si>
  <si>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</si>
  <si>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</si>
  <si>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</si>
  <si>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</si>
  <si>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</si>
  <si>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</si>
  <si>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</si>
  <si>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</si>
  <si>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</si>
  <si>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</si>
  <si>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</si>
  <si>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</si>
  <si>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</si>
  <si>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</si>
  <si>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</si>
  <si>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</si>
  <si>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</si>
  <si>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</si>
  <si>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</si>
  <si>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</si>
  <si>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</si>
  <si>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</si>
  <si>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</si>
  <si>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</si>
  <si>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</si>
  <si>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</si>
  <si>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</si>
  <si>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</si>
  <si>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</si>
  <si>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</si>
  <si>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</si>
  <si>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</si>
  <si>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</si>
  <si>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</si>
  <si>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</si>
  <si>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</si>
  <si>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</si>
  <si>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</si>
  <si>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</si>
  <si>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</si>
  <si>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</si>
  <si>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</si>
  <si>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</si>
  <si>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</si>
  <si>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</si>
  <si>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</si>
  <si>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</si>
  <si>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</si>
  <si>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</si>
  <si>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</si>
  <si>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</si>
  <si>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</si>
  <si>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</si>
  <si>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</si>
  <si>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</si>
  <si>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</si>
  <si>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</si>
  <si>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</si>
  <si>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</si>
  <si>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</si>
  <si>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</si>
  <si>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</si>
  <si>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</si>
  <si>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</si>
  <si>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</si>
  <si>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</si>
  <si>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</si>
  <si>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</si>
  <si>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</si>
  <si>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</si>
  <si>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</si>
  <si>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</si>
  <si>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</si>
  <si>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</si>
  <si>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</si>
  <si>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</si>
  <si>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</si>
  <si>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</si>
  <si>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</si>
  <si>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</si>
  <si>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</si>
  <si>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</si>
  <si>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</si>
  <si>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</si>
  <si>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</si>
  <si>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</si>
  <si>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</si>
  <si>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</si>
  <si>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</si>
  <si>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</si>
  <si>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</si>
  <si>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</si>
  <si>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</si>
  <si>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</si>
  <si>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</si>
  <si>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</si>
  <si>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</si>
  <si>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</si>
  <si>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</si>
  <si>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</si>
  <si>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</si>
  <si>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</si>
  <si>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</si>
  <si>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</si>
  <si>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</si>
  <si>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</si>
  <si>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</si>
  <si>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</si>
  <si>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</si>
  <si>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</si>
  <si>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</si>
  <si>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</si>
  <si>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</si>
  <si>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</si>
  <si>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</si>
  <si>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</si>
  <si>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</si>
  <si>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</si>
  <si>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</si>
  <si>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</si>
  <si>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</si>
  <si>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</si>
  <si>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</si>
  <si>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</si>
  <si>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</si>
  <si>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</si>
  <si>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</si>
  <si>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</si>
  <si>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</si>
  <si>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</si>
  <si>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</si>
  <si>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</si>
  <si>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</si>
  <si>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</si>
  <si>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</si>
  <si>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</si>
  <si>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</si>
  <si>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</si>
  <si>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</si>
  <si>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</si>
  <si>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</si>
  <si>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</si>
  <si>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</si>
  <si>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</si>
  <si>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</si>
  <si>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</si>
  <si>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</si>
  <si>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</si>
  <si>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</si>
  <si>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</si>
  <si>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</si>
  <si>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</si>
  <si>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</si>
  <si>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</si>
  <si>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</si>
  <si>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</si>
  <si>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</si>
  <si>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</si>
  <si>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</si>
  <si>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</si>
  <si>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</si>
  <si>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</si>
  <si>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</si>
  <si>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</si>
  <si>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</si>
  <si>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</si>
  <si>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</si>
  <si>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</si>
  <si>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</si>
  <si>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</si>
  <si>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</si>
  <si>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</si>
  <si>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</si>
  <si>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</si>
  <si>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</si>
  <si>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</si>
  <si>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</si>
  <si>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</si>
  <si>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</si>
  <si>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</si>
  <si>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</si>
  <si>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</si>
  <si>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</si>
  <si>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</si>
  <si>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</si>
  <si>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</si>
  <si>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</si>
  <si>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</si>
  <si>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</si>
  <si>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</si>
  <si>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</si>
  <si>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</si>
  <si>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</si>
  <si>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</si>
  <si>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</si>
  <si>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</si>
  <si>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</si>
  <si>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</si>
  <si>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</si>
  <si>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</si>
  <si>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</si>
  <si>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</si>
  <si>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</si>
  <si>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</si>
  <si>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</si>
  <si>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</si>
  <si>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</si>
  <si>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</si>
  <si>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</si>
  <si>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</si>
  <si>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</si>
  <si>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</si>
  <si>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</si>
  <si>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</si>
  <si>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</si>
  <si>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</si>
  <si>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</si>
  <si>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</si>
  <si>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</si>
  <si>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</si>
  <si>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</si>
  <si>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</si>
  <si>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</si>
  <si>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</si>
  <si>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</si>
  <si>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</si>
  <si>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</si>
  <si>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</si>
  <si>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</si>
  <si>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</si>
  <si>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</si>
  <si>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</si>
  <si>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</si>
  <si>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</si>
  <si>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</si>
  <si>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</si>
  <si>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</si>
  <si>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</si>
  <si>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</si>
  <si>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</si>
  <si>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</si>
  <si>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</si>
  <si>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</si>
  <si>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</si>
  <si>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</si>
  <si>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</si>
  <si>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</si>
  <si>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</si>
  <si>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</si>
  <si>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</si>
  <si>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</si>
  <si>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</si>
  <si>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</si>
  <si>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</si>
  <si>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</si>
  <si>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</si>
  <si>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</si>
  <si>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</si>
  <si>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</si>
  <si>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</si>
  <si>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</si>
  <si>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</si>
  <si>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</si>
  <si>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</si>
  <si>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</si>
  <si>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</si>
  <si>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</si>
  <si>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</si>
  <si>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</si>
  <si>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</si>
  <si>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</si>
  <si>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</si>
  <si>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</si>
  <si>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</si>
  <si>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</si>
  <si>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</si>
  <si>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</si>
  <si>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</si>
  <si>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</si>
  <si>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</si>
  <si>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</si>
  <si>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</si>
  <si>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</si>
  <si>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</si>
  <si>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</si>
  <si>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</si>
  <si>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</si>
  <si>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</si>
  <si>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</si>
  <si>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</si>
  <si>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</si>
  <si>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</si>
  <si>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</si>
  <si>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</si>
  <si>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</si>
  <si>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</si>
  <si>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</si>
  <si>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</si>
  <si>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</si>
  <si>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</si>
  <si>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</si>
  <si>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</si>
  <si>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</si>
  <si>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</si>
  <si>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</si>
  <si>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</si>
  <si>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</si>
  <si>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</si>
  <si>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</si>
  <si>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</si>
  <si>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</si>
  <si>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</si>
  <si>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</si>
  <si>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</si>
  <si>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</si>
  <si>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</si>
  <si>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</si>
  <si>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</si>
  <si>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</si>
  <si>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</si>
  <si>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</si>
  <si>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</si>
  <si>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</si>
  <si>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</si>
  <si>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</si>
  <si>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</si>
  <si>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</si>
  <si>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</si>
  <si>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</si>
  <si>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</si>
  <si>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</si>
  <si>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</si>
  <si>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</si>
  <si>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</si>
  <si>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</si>
  <si>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</si>
  <si>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</si>
  <si>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</si>
  <si>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</si>
  <si>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</si>
  <si>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</si>
  <si>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</si>
  <si>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</si>
  <si>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</si>
  <si>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</si>
  <si>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</si>
  <si>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</si>
  <si>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</si>
  <si>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</si>
  <si>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</si>
  <si>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</si>
  <si>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</si>
  <si>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</si>
  <si>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</si>
  <si>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</si>
  <si>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</si>
  <si>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</si>
  <si>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</si>
  <si>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</si>
  <si>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</si>
  <si>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</si>
  <si>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</si>
  <si>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</si>
  <si>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</si>
  <si>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</si>
  <si>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</si>
  <si>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</si>
  <si>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</si>
  <si>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</si>
  <si>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</si>
  <si>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</si>
  <si>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</si>
  <si>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</si>
  <si>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</si>
  <si>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</si>
  <si>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</si>
  <si>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</si>
  <si>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</si>
  <si>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</si>
  <si>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</si>
  <si>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</si>
  <si>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</si>
  <si>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</si>
  <si>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</si>
  <si>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</si>
  <si>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</si>
  <si>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</si>
  <si>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</si>
  <si>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</si>
  <si>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</si>
  <si>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</si>
  <si>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</si>
  <si>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</si>
  <si>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</si>
  <si>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</si>
  <si>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</si>
  <si>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</si>
  <si>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</si>
  <si>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</si>
  <si>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</si>
  <si>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</si>
  <si>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</si>
  <si>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</si>
  <si>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</si>
  <si>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</si>
  <si>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</si>
  <si>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</si>
  <si>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</si>
  <si>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</si>
  <si>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</si>
  <si>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</si>
  <si>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</si>
  <si>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</si>
  <si>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</si>
  <si>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</si>
  <si>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</si>
  <si>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</si>
  <si>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</si>
  <si>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</si>
  <si>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</si>
  <si>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</si>
  <si>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</si>
  <si>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</si>
  <si>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</si>
  <si>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</si>
  <si>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</si>
  <si>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</si>
  <si>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</si>
  <si>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</si>
  <si>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</si>
  <si>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</si>
  <si>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</si>
  <si>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</si>
  <si>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</si>
  <si>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</si>
  <si>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</si>
  <si>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</si>
  <si>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</si>
  <si>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</si>
  <si>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</si>
  <si>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</si>
  <si>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</si>
  <si>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</si>
  <si>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</si>
  <si>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</si>
  <si>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</si>
  <si>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</si>
  <si>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</si>
  <si>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</si>
  <si>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</si>
  <si>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</si>
  <si>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</si>
  <si>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</si>
  <si>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</si>
  <si>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</si>
  <si>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</si>
  <si>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</si>
  <si>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</si>
  <si>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</si>
  <si>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</si>
  <si>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</si>
  <si>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</si>
  <si>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</si>
  <si>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</si>
  <si>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</si>
  <si>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</si>
  <si>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</si>
  <si>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</si>
  <si>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</si>
  <si>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</si>
  <si>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</si>
  <si>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</si>
  <si>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</si>
  <si>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</si>
  <si>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</si>
  <si>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</si>
  <si>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</si>
  <si>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</si>
  <si>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</si>
  <si>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</si>
  <si>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</si>
  <si>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</si>
  <si>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</si>
  <si>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</si>
  <si>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</si>
  <si>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</si>
  <si>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</si>
  <si>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</si>
  <si>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</si>
  <si>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</si>
  <si>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</si>
  <si>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</si>
  <si>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</si>
  <si>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</si>
  <si>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</si>
  <si>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</si>
  <si>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</si>
  <si>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</si>
  <si>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</si>
  <si>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</si>
  <si>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</si>
  <si>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</si>
  <si>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</si>
  <si>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</si>
  <si>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</si>
  <si>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</si>
  <si>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</si>
  <si>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</si>
  <si>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</si>
  <si>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</si>
  <si>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</si>
  <si>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</si>
  <si>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</si>
  <si>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</si>
  <si>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</si>
  <si>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</si>
  <si>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</si>
  <si>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</si>
  <si>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</si>
  <si>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</si>
  <si>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</si>
  <si>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</si>
  <si>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</si>
  <si>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</si>
  <si>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</si>
  <si>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</si>
  <si>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</si>
  <si>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</si>
  <si>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</si>
  <si>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</si>
  <si>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</si>
  <si>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</si>
  <si>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</si>
  <si>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</si>
  <si>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</si>
  <si>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</si>
  <si>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</si>
  <si>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</si>
  <si>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</si>
  <si>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</si>
  <si>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</si>
  <si>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</si>
  <si>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</si>
  <si>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</si>
  <si>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</si>
  <si>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</si>
  <si>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</si>
  <si>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</si>
  <si>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</si>
  <si>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</si>
  <si>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</si>
  <si>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</si>
  <si>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</si>
  <si>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</si>
  <si>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</si>
  <si>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</si>
  <si>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</si>
  <si>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</si>
  <si>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</si>
  <si>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</si>
  <si>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</si>
  <si>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</si>
  <si>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</si>
  <si>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</si>
  <si>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</si>
  <si>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</si>
  <si>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</si>
  <si>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</si>
  <si>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</si>
  <si>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</si>
  <si>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</si>
  <si>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</si>
  <si>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</si>
  <si>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</si>
  <si>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</si>
  <si>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</si>
  <si>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</si>
  <si>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</si>
  <si>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</si>
  <si>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</si>
  <si>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</si>
  <si>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</si>
  <si>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</si>
  <si>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</si>
  <si>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</si>
  <si>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</si>
  <si>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</si>
  <si>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</si>
  <si>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</si>
  <si>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</si>
  <si>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</si>
  <si>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</si>
  <si>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</si>
  <si>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</si>
  <si>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</si>
  <si>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</si>
  <si>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</si>
  <si>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</si>
  <si>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</si>
  <si>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</si>
  <si>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</si>
  <si>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</si>
  <si>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</si>
  <si>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</si>
  <si>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</si>
  <si>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</si>
  <si>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</si>
  <si>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</si>
  <si>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</si>
  <si>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</si>
  <si>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</si>
  <si>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</si>
  <si>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</si>
  <si>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</si>
  <si>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</si>
  <si>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</si>
  <si>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</si>
  <si>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</si>
  <si>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</si>
  <si>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</si>
  <si>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</si>
  <si>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</si>
  <si>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</si>
  <si>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</si>
  <si>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</si>
  <si>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</si>
  <si>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</si>
  <si>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</si>
  <si>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</si>
  <si>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</si>
  <si>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</si>
  <si>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</si>
  <si>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</si>
  <si>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</si>
  <si>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</si>
  <si>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</si>
  <si>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</si>
  <si>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</si>
  <si>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</si>
  <si>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</si>
  <si>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</si>
  <si>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</si>
  <si>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</si>
  <si>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</si>
  <si>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</si>
  <si>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</si>
  <si>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</si>
  <si>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</si>
  <si>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</si>
  <si>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</si>
  <si>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</si>
  <si>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</si>
  <si>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</si>
  <si>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</si>
  <si>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</si>
  <si>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</si>
  <si>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</si>
  <si>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</si>
  <si>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</si>
  <si>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</si>
  <si>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</si>
  <si>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</si>
  <si>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</si>
  <si>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</si>
  <si>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</si>
  <si>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</si>
  <si>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</si>
  <si>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</si>
  <si>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</si>
  <si>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</si>
  <si>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</si>
  <si>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</si>
  <si>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</si>
  <si>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</si>
  <si>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</si>
  <si>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</si>
  <si>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</si>
  <si>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</si>
  <si>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</si>
  <si>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</si>
  <si>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</si>
  <si>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</si>
  <si>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</si>
  <si>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</si>
  <si>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</si>
  <si>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</si>
  <si>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</si>
  <si>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</si>
  <si>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</si>
  <si>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</si>
  <si>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</si>
  <si>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</si>
  <si>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</si>
  <si>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</si>
  <si>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</si>
  <si>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</si>
  <si>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</si>
  <si>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</si>
  <si>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</si>
  <si>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</si>
  <si>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</si>
  <si>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</si>
  <si>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</si>
  <si>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</si>
  <si>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</si>
  <si>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</si>
  <si>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</si>
  <si>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</si>
  <si>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</si>
  <si>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</si>
  <si>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</si>
  <si>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</si>
  <si>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</si>
  <si>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</si>
  <si>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</si>
  <si>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</si>
  <si>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</si>
  <si>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</si>
  <si>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</si>
  <si>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</si>
  <si>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</si>
  <si>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</si>
  <si>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</si>
  <si>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</si>
  <si>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</si>
  <si>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</si>
  <si>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</si>
  <si>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</si>
  <si>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</si>
  <si>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</si>
  <si>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</si>
  <si>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</si>
  <si>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</si>
  <si>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</si>
  <si>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</si>
  <si>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</si>
  <si>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</si>
  <si>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</si>
  <si>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</si>
  <si>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</si>
  <si>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</si>
  <si>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</si>
  <si>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</si>
  <si>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</si>
  <si>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</si>
  <si>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</si>
  <si>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</si>
  <si>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</si>
  <si>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</si>
  <si>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</si>
  <si>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</si>
  <si>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</si>
  <si>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</si>
  <si>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</si>
  <si>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</si>
  <si>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</si>
  <si>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</si>
  <si>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</si>
  <si>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</si>
  <si>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</si>
  <si>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</si>
  <si>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</si>
  <si>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</si>
  <si>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</si>
  <si>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</si>
  <si>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</si>
  <si>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</si>
  <si>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</si>
  <si>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</si>
  <si>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</si>
  <si>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</si>
  <si>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</si>
  <si>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</si>
  <si>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</si>
  <si>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</si>
  <si>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</si>
  <si>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</si>
  <si>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</si>
  <si>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</si>
  <si>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</si>
  <si>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</si>
  <si>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</si>
  <si>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</si>
  <si>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</si>
  <si>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</si>
  <si>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</si>
  <si>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</si>
  <si>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</si>
  <si>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</si>
  <si>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</si>
  <si>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</si>
  <si>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</si>
  <si>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</si>
  <si>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</si>
  <si>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</si>
  <si>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</si>
  <si>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</si>
  <si>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</si>
  <si>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</si>
  <si>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</si>
  <si>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</si>
  <si>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</si>
  <si>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</si>
  <si>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</si>
  <si>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</si>
  <si>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</si>
  <si>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</si>
  <si>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</si>
  <si>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</si>
  <si>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</si>
  <si>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</si>
  <si>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</si>
  <si>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</si>
  <si>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</si>
  <si>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</si>
  <si>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</si>
  <si>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</si>
  <si>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</si>
  <si>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</si>
  <si>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</si>
  <si>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</si>
  <si>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</si>
  <si>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</si>
  <si>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</si>
  <si>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</si>
  <si>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</si>
  <si>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</si>
  <si>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</si>
  <si>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</si>
  <si>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</si>
  <si>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</si>
  <si>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</si>
  <si>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</si>
  <si>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</si>
  <si>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</si>
  <si>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</si>
  <si>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</si>
  <si>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</si>
  <si>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</si>
  <si>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</si>
  <si>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</si>
  <si>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</si>
  <si>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</si>
  <si>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</si>
  <si>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</si>
  <si>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</si>
  <si>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</si>
  <si>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</si>
  <si>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</si>
  <si>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</si>
  <si>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</si>
  <si>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</si>
  <si>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</si>
  <si>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</si>
  <si>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</si>
  <si>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</si>
  <si>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</si>
  <si>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</si>
  <si>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</si>
  <si>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</si>
  <si>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</si>
  <si>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</si>
  <si>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</si>
  <si>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</si>
  <si>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</si>
  <si>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</si>
  <si>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</si>
  <si>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</si>
  <si>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</si>
  <si>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</si>
  <si>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</si>
  <si>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</si>
  <si>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</si>
  <si>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</si>
  <si>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</si>
  <si>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</si>
  <si>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</si>
  <si>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</si>
  <si>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</si>
  <si>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</si>
  <si>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</si>
  <si>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</si>
  <si>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</si>
  <si>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</si>
  <si>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</si>
  <si>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</si>
  <si>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</si>
  <si>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</si>
  <si>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</si>
  <si>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</si>
  <si>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</si>
  <si>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</si>
  <si>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</si>
  <si>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</si>
  <si>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</si>
  <si>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</si>
  <si>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</si>
  <si>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</si>
  <si>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</si>
  <si>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</si>
  <si>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</si>
  <si>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</si>
  <si>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</si>
  <si>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</si>
  <si>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</si>
  <si>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</si>
  <si>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</si>
  <si>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</si>
  <si>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</si>
  <si>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</si>
  <si>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</si>
  <si>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</si>
  <si>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</si>
  <si>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</si>
  <si>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</si>
  <si>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</si>
  <si>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</si>
  <si>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</si>
  <si>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</si>
  <si>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</si>
  <si>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</si>
  <si>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</si>
  <si>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</si>
  <si>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</si>
  <si>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</si>
  <si>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</si>
  <si>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</si>
  <si>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</si>
  <si>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</si>
  <si>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</si>
  <si>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</si>
  <si>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</si>
  <si>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</si>
  <si>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</si>
  <si>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</si>
  <si>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</si>
  <si>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</si>
  <si>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</si>
  <si>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</si>
  <si>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</si>
  <si>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</si>
  <si>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</si>
  <si>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</si>
  <si>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</si>
  <si>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</si>
  <si>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</si>
  <si>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</si>
  <si>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</si>
  <si>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</si>
  <si>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</si>
  <si>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</si>
  <si>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</si>
  <si>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</si>
  <si>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</si>
  <si>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</si>
  <si>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</si>
  <si>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</si>
  <si>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</si>
  <si>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</si>
  <si>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</si>
  <si>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</si>
  <si>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</si>
  <si>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</si>
  <si>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</si>
  <si>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</si>
  <si>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</si>
  <si>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</si>
  <si>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</si>
  <si>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</si>
  <si>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</si>
  <si>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</si>
  <si>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</si>
  <si>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</si>
  <si>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</si>
  <si>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</si>
  <si>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</si>
  <si>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</si>
  <si>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</si>
  <si>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</si>
  <si>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</si>
  <si>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</si>
  <si>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</si>
  <si>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</si>
  <si>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</si>
  <si>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</si>
  <si>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</si>
  <si>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</si>
  <si>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</si>
  <si>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</si>
  <si>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</si>
  <si>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</si>
  <si>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</si>
  <si>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</si>
  <si>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</si>
  <si>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</si>
  <si>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</si>
  <si>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</si>
  <si>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</si>
  <si>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</si>
  <si>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</si>
  <si>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</si>
  <si>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</si>
  <si>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</si>
  <si>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</si>
  <si>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</si>
  <si>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</si>
  <si>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</si>
  <si>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</si>
  <si>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</si>
  <si>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</si>
  <si>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</si>
  <si>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</si>
  <si>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</si>
  <si>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</si>
  <si>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</si>
  <si>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</si>
  <si>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</si>
  <si>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</si>
  <si>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</si>
  <si>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</si>
  <si>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</si>
  <si>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</si>
  <si>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</si>
  <si>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</si>
  <si>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</si>
  <si>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</si>
  <si>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</si>
  <si>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</si>
  <si>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</si>
  <si>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</si>
  <si>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</si>
  <si>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</si>
  <si>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</si>
  <si>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</si>
  <si>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</si>
  <si>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</si>
  <si>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</si>
  <si>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</si>
  <si>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</si>
  <si>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</si>
  <si>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</si>
  <si>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</si>
  <si>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</si>
  <si>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</si>
  <si>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</si>
  <si>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</si>
  <si>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</si>
  <si>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</si>
  <si>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</si>
  <si>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</si>
  <si>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</si>
  <si>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</si>
  <si>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</si>
  <si>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</si>
  <si>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</si>
  <si>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</si>
  <si>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</si>
  <si>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</si>
  <si>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</si>
  <si>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</si>
  <si>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</si>
  <si>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</si>
  <si>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</si>
  <si>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</si>
  <si>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</si>
  <si>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</si>
  <si>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</si>
  <si>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</si>
  <si>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</si>
  <si>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</si>
  <si>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</si>
  <si>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</si>
  <si>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</si>
  <si>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</si>
  <si>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</si>
  <si>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</si>
  <si>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</si>
  <si>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</si>
  <si>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</si>
  <si>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</si>
  <si>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</si>
  <si>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</si>
  <si>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</si>
  <si>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</si>
  <si>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</si>
  <si>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</si>
  <si>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</si>
  <si>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</si>
  <si>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</si>
  <si>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</si>
  <si>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</si>
  <si>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</si>
  <si>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</si>
  <si>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</si>
  <si>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</si>
  <si>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</si>
  <si>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</si>
  <si>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</si>
  <si>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</si>
  <si>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</si>
  <si>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</si>
  <si>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</si>
  <si>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</si>
  <si>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</si>
  <si>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</si>
  <si>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</si>
  <si>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</si>
  <si>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</si>
  <si>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</si>
  <si>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</si>
  <si>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</si>
  <si>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</si>
  <si>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</si>
  <si>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</si>
  <si>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</si>
  <si>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</si>
  <si>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</si>
  <si>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</si>
  <si>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</si>
  <si>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</si>
  <si>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</si>
  <si>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</si>
  <si>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</si>
  <si>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</si>
  <si>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</si>
  <si>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</si>
  <si>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</si>
  <si>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</si>
  <si>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</si>
  <si>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</si>
  <si>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</si>
  <si>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</si>
  <si>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</si>
  <si>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</si>
  <si>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</si>
  <si>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</si>
  <si>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</si>
  <si>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</si>
  <si>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</si>
  <si>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</si>
  <si>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</si>
  <si>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</si>
  <si>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</si>
  <si>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</si>
  <si>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</si>
  <si>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</si>
  <si>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</si>
  <si>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</si>
  <si>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</si>
  <si>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</si>
  <si>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</si>
  <si>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</si>
  <si>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</si>
  <si>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</si>
  <si>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</si>
  <si>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</si>
  <si>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</si>
  <si>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</si>
  <si>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</si>
  <si>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</si>
  <si>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</si>
  <si>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</si>
  <si>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</si>
  <si>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</si>
  <si>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</si>
  <si>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</si>
  <si>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</si>
  <si>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</si>
  <si>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</si>
  <si>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</si>
  <si>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</si>
  <si>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</si>
  <si>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</si>
  <si>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</si>
  <si>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</si>
  <si>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</si>
  <si>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</si>
  <si>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</si>
  <si>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</si>
  <si>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</si>
  <si>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</si>
  <si>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</si>
  <si>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</si>
  <si>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</si>
  <si>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</si>
  <si>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</si>
  <si>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</si>
  <si>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</si>
  <si>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</si>
  <si>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</si>
  <si>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</si>
  <si>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</si>
  <si>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</si>
  <si>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</si>
  <si>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</si>
  <si>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</si>
  <si>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</si>
  <si>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</si>
  <si>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</si>
  <si>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</si>
  <si>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</si>
  <si>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</si>
  <si>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</si>
  <si>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</si>
  <si>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</si>
  <si>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</si>
  <si>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</si>
  <si>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</si>
  <si>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</si>
  <si>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</si>
  <si>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</si>
  <si>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</si>
  <si>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</si>
  <si>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</si>
  <si>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</si>
  <si>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</si>
  <si>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</si>
  <si>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</si>
  <si>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</si>
  <si>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</si>
  <si>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</si>
  <si>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</si>
  <si>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</si>
  <si>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</si>
  <si>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</si>
  <si>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</si>
  <si>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</si>
  <si>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</si>
  <si>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</si>
  <si>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</si>
  <si>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</si>
  <si>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</si>
  <si>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</si>
  <si>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</si>
  <si>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</si>
  <si>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</si>
  <si>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</si>
  <si>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</si>
  <si>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</si>
  <si>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</si>
  <si>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</si>
  <si>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</si>
  <si>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</si>
  <si>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</si>
  <si>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</si>
  <si>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</si>
  <si>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</si>
  <si>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</si>
  <si>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</si>
  <si>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</si>
  <si>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</si>
  <si>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</si>
  <si>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</si>
  <si>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</si>
  <si>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</si>
  <si>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</si>
  <si>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</si>
  <si>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</si>
  <si>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</si>
  <si>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</si>
  <si>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</si>
  <si>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</si>
  <si>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</si>
  <si>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</si>
  <si>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</si>
  <si>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</si>
  <si>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</si>
  <si>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</si>
  <si>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</si>
  <si>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</si>
  <si>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</si>
  <si>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</si>
  <si>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</si>
  <si>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</si>
  <si>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</si>
  <si>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</si>
  <si>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</si>
  <si>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</si>
  <si>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</si>
  <si>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</si>
  <si>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</si>
  <si>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</si>
  <si>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</si>
  <si>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</si>
  <si>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</si>
  <si>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</si>
  <si>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</si>
  <si>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</si>
  <si>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</si>
  <si>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</si>
  <si>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</si>
  <si>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</si>
  <si>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</si>
  <si>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</si>
  <si>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</si>
  <si>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</si>
  <si>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</si>
  <si>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</si>
  <si>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</si>
  <si>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</si>
  <si>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</si>
  <si>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</si>
  <si>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</si>
  <si>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</si>
  <si>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</si>
  <si>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</si>
  <si>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</si>
  <si>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</si>
  <si>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</si>
  <si>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</si>
  <si>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</si>
  <si>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</si>
  <si>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</si>
  <si>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</si>
  <si>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</si>
  <si>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</si>
  <si>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</si>
  <si>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</si>
  <si>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</si>
  <si>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</si>
  <si>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</si>
  <si>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</si>
  <si>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</si>
  <si>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</si>
  <si>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</si>
  <si>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</si>
  <si>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</si>
  <si>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</si>
  <si>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</si>
  <si>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</si>
  <si>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</si>
  <si>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</si>
  <si>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</si>
  <si>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</si>
  <si>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</si>
  <si>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</si>
  <si>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</si>
  <si>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</si>
  <si>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</si>
  <si>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</si>
  <si>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</si>
  <si>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</si>
  <si>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</si>
  <si>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</si>
  <si>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</si>
  <si>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</si>
  <si>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</si>
  <si>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</si>
  <si>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</si>
  <si>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</si>
  <si>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</si>
  <si>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</si>
  <si>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</si>
  <si>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</si>
  <si>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</si>
  <si>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</si>
  <si>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</si>
  <si>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</si>
  <si>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</si>
  <si>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</si>
  <si>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</si>
  <si>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</si>
  <si>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</si>
  <si>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</si>
  <si>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</si>
  <si>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</si>
  <si>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</si>
  <si>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</si>
  <si>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</si>
  <si>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</si>
  <si>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</si>
  <si>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</si>
  <si>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</si>
  <si>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</si>
  <si>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</si>
  <si>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</si>
  <si>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</si>
  <si>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</si>
  <si>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</si>
  <si>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</si>
  <si>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</si>
  <si>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</si>
  <si>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</si>
  <si>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</si>
  <si>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</si>
  <si>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</si>
  <si>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</si>
  <si>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</si>
  <si>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</si>
  <si>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</si>
  <si>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</si>
  <si>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</si>
  <si>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</si>
  <si>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</si>
  <si>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</si>
  <si>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</si>
  <si>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</si>
  <si>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</si>
  <si>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</si>
  <si>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</si>
  <si>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</si>
  <si>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</si>
  <si>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</si>
  <si>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</si>
  <si>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</si>
  <si>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</si>
  <si>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</si>
  <si>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</si>
  <si>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</si>
  <si>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</si>
  <si>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</si>
  <si>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</si>
  <si>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</si>
  <si>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</si>
  <si>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</si>
  <si>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</si>
  <si>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</si>
  <si>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</si>
  <si>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</si>
  <si>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</si>
  <si>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</si>
  <si>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</si>
  <si>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</si>
  <si>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</si>
  <si>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</si>
  <si>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</si>
  <si>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</si>
  <si>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</si>
  <si>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</si>
  <si>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</si>
  <si>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</si>
  <si>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</si>
  <si>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</si>
  <si>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</si>
  <si>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</si>
  <si>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</si>
  <si>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</si>
  <si>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</si>
  <si>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</si>
  <si>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</si>
  <si>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</si>
  <si>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</si>
  <si>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</si>
  <si>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</si>
  <si>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</si>
  <si>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</si>
  <si>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</si>
  <si>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</si>
  <si>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</si>
  <si>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</si>
  <si>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</si>
  <si>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</si>
  <si>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</si>
  <si>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</si>
  <si>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</si>
  <si>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</si>
  <si>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</si>
  <si>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</si>
  <si>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</si>
  <si>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</si>
  <si>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</si>
  <si>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</si>
  <si>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</si>
  <si>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</si>
  <si>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</si>
  <si>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</si>
  <si>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</si>
  <si>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</si>
  <si>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</si>
  <si>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</si>
  <si>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</si>
  <si>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</si>
  <si>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</si>
  <si>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</si>
  <si>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</si>
  <si>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</si>
  <si>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</si>
  <si>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</si>
  <si>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</si>
  <si>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</si>
  <si>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</si>
  <si>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</si>
  <si>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</si>
  <si>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</si>
  <si>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</si>
  <si>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</si>
  <si>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</si>
  <si>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</si>
  <si>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</si>
  <si>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</si>
  <si>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</si>
  <si>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</si>
  <si>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</si>
  <si>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</si>
  <si>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</si>
  <si>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</si>
  <si>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</si>
  <si>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</si>
  <si>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</si>
  <si>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</si>
  <si>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</si>
  <si>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</si>
  <si>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</si>
  <si>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</si>
  <si>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</si>
  <si>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</si>
  <si>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</si>
  <si>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</si>
  <si>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</si>
  <si>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</si>
  <si>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</si>
  <si>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</si>
  <si>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</si>
  <si>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</si>
  <si>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</si>
  <si>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</si>
  <si>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</si>
  <si>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</si>
  <si>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</si>
  <si>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</si>
  <si>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</si>
  <si>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</si>
  <si>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</si>
  <si>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</si>
  <si>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</si>
  <si>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</si>
  <si>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</si>
  <si>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</si>
  <si>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</si>
  <si>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</si>
  <si>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</si>
  <si>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</si>
  <si>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</si>
  <si>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</si>
  <si>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</si>
  <si>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</si>
  <si>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</si>
  <si>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</si>
  <si>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</si>
  <si>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</si>
  <si>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</si>
  <si>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</si>
  <si>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</si>
  <si>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</si>
  <si>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</si>
  <si>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</si>
  <si>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</si>
  <si>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</si>
  <si>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</si>
  <si>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</si>
  <si>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</si>
  <si>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</si>
  <si>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</si>
  <si>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</si>
  <si>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</si>
  <si>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</si>
  <si>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</si>
  <si>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</si>
  <si>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</si>
  <si>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</si>
  <si>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</si>
  <si>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</si>
  <si>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</si>
  <si>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</si>
  <si>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</si>
  <si>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</si>
  <si>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</si>
  <si>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</si>
  <si>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</si>
  <si>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</si>
  <si>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</si>
  <si>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</si>
  <si>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</si>
  <si>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</si>
  <si>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</si>
  <si>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</si>
  <si>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</si>
  <si>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</si>
  <si>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</si>
  <si>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</si>
  <si>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</si>
  <si>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</si>
  <si>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</si>
  <si>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</si>
  <si>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</si>
  <si>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</si>
  <si>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</si>
  <si>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</si>
  <si>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</si>
  <si>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</si>
  <si>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</si>
  <si>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</si>
  <si>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</si>
  <si>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</si>
  <si>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</si>
  <si>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</si>
  <si>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</si>
  <si>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</si>
  <si>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</si>
  <si>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</si>
  <si>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</si>
  <si>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</si>
  <si>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</si>
  <si>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</si>
  <si>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</si>
  <si>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</si>
  <si>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</si>
  <si>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</si>
  <si>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</si>
  <si>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</si>
  <si>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</si>
  <si>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</si>
  <si>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</si>
  <si>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</si>
  <si>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</si>
  <si>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</si>
  <si>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</si>
  <si>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</si>
  <si>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</si>
  <si>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</si>
  <si>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</si>
  <si>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</si>
  <si>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</si>
  <si>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</si>
  <si>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</si>
  <si>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</si>
  <si>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</si>
  <si>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</si>
  <si>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</si>
  <si>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</si>
  <si>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</si>
  <si>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</si>
  <si>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</si>
  <si>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</si>
  <si>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</si>
  <si>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</si>
  <si>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</si>
  <si>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</si>
  <si>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</si>
  <si>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</si>
  <si>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</si>
  <si>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</si>
  <si>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</si>
  <si>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</si>
  <si>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</si>
  <si>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</si>
  <si>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</si>
  <si>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</si>
  <si>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</si>
  <si>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</si>
  <si>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</si>
  <si>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</si>
  <si>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</si>
  <si>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</si>
  <si>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</si>
  <si>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</si>
  <si>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</si>
  <si>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</si>
  <si>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</si>
  <si>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</si>
  <si>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</si>
  <si>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</si>
  <si>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</si>
  <si>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</si>
  <si>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</si>
  <si>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</si>
  <si>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</si>
  <si>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</si>
  <si>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</si>
  <si>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</si>
  <si>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</si>
  <si>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</si>
  <si>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</si>
  <si>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</si>
  <si>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</si>
  <si>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</si>
  <si>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</si>
  <si>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</si>
  <si>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</si>
  <si>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</si>
  <si>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</si>
  <si>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</si>
  <si>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</si>
  <si>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</si>
  <si>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</si>
  <si>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</si>
  <si>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</si>
  <si>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</si>
  <si>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</si>
  <si>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</si>
  <si>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</si>
  <si>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</si>
  <si>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</si>
  <si>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</si>
  <si>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</si>
  <si>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</si>
  <si>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</si>
  <si>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</si>
  <si>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</si>
  <si>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</si>
  <si>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</si>
  <si>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</si>
  <si>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</si>
  <si>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</si>
  <si>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</si>
  <si>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</si>
  <si>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</si>
  <si>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</si>
  <si>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</si>
  <si>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</si>
  <si>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</si>
  <si>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</si>
  <si>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</si>
  <si>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</si>
  <si>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</si>
  <si>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</si>
  <si>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</si>
  <si>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</si>
  <si>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</si>
  <si>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</si>
  <si>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</si>
  <si>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</si>
  <si>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</si>
  <si>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</si>
  <si>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</si>
  <si>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</si>
  <si>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</si>
  <si>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</si>
  <si>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</si>
  <si>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</si>
  <si>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</si>
  <si>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</si>
  <si>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</si>
  <si>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</si>
  <si>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</si>
  <si>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</si>
  <si>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</si>
  <si>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</si>
  <si>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</si>
  <si>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</si>
  <si>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</si>
  <si>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</si>
  <si>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</si>
  <si>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</si>
  <si>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</si>
  <si>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</si>
  <si>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</si>
  <si>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</si>
  <si>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</si>
  <si>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</si>
  <si>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</si>
  <si>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</si>
  <si>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</si>
  <si>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</si>
  <si>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</si>
  <si>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</si>
  <si>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</si>
  <si>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</si>
  <si>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</si>
  <si>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</si>
  <si>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</si>
  <si>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</si>
  <si>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</si>
  <si>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</si>
  <si>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</si>
  <si>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</si>
  <si>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</si>
  <si>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</si>
  <si>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</si>
  <si>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</si>
  <si>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</si>
  <si>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</si>
  <si>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</si>
  <si>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</si>
  <si>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</si>
  <si>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</si>
  <si>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</si>
  <si>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</si>
  <si>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</si>
  <si>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</si>
  <si>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</si>
  <si>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</si>
  <si>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</si>
  <si>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</si>
  <si>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</si>
  <si>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</si>
  <si>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</si>
  <si>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</si>
  <si>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</si>
  <si>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</si>
  <si>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</si>
  <si>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</si>
  <si>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</si>
  <si>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</si>
  <si>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</si>
  <si>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</si>
  <si>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</si>
  <si>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</si>
  <si>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</si>
  <si>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</si>
  <si>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</si>
  <si>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</si>
  <si>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</si>
  <si>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</si>
  <si>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</si>
  <si>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</si>
  <si>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</si>
  <si>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</si>
  <si>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</si>
  <si>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</si>
  <si>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</si>
  <si>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</si>
  <si>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</si>
  <si>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</si>
  <si>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</si>
  <si>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</si>
  <si>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</si>
  <si>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</si>
  <si>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</si>
  <si>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</si>
  <si>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</si>
  <si>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</si>
  <si>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</si>
  <si>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</si>
  <si>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</si>
  <si>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</si>
  <si>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</si>
  <si>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</si>
  <si>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</si>
  <si>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</si>
  <si>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</si>
  <si>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</si>
  <si>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</si>
  <si>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</si>
  <si>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</si>
  <si>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</si>
  <si>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</si>
  <si>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</si>
  <si>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</si>
  <si>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</si>
  <si>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</si>
  <si>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</si>
  <si>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</si>
  <si>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</si>
  <si>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</si>
  <si>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</si>
  <si>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</si>
  <si>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</si>
  <si>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</si>
  <si>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</si>
  <si>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</si>
  <si>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</si>
  <si>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</si>
  <si>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</si>
  <si>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</si>
  <si>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</si>
  <si>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</si>
  <si>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</si>
  <si>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</si>
  <si>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</si>
  <si>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</si>
  <si>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</si>
  <si>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</si>
  <si>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</si>
  <si>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</si>
  <si>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</si>
  <si>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</si>
  <si>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</si>
  <si>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</si>
  <si>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</si>
  <si>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</si>
  <si>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</si>
  <si>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</si>
  <si>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</si>
  <si>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</si>
  <si>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</si>
  <si>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</si>
  <si>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</si>
  <si>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</si>
  <si>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</si>
  <si>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</si>
  <si>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</si>
  <si>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</si>
  <si>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</si>
  <si>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</si>
  <si>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</si>
  <si>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</si>
  <si>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</si>
  <si>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</si>
  <si>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</si>
  <si>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</si>
  <si>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</si>
  <si>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</si>
  <si>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</si>
  <si>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</si>
  <si>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</si>
  <si>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</si>
  <si>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</si>
  <si>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</si>
  <si>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</si>
  <si>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</si>
  <si>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</si>
  <si>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</si>
  <si>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</si>
  <si>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</si>
  <si>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</si>
  <si>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</si>
  <si>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</si>
  <si>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</si>
  <si>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</si>
  <si>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</si>
  <si>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</si>
  <si>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</si>
  <si>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</si>
  <si>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</si>
  <si>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</si>
  <si>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</si>
  <si>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</si>
  <si>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</si>
  <si>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</si>
  <si>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</si>
  <si>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</si>
  <si>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</si>
  <si>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</si>
  <si>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</si>
  <si>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</si>
  <si>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</si>
  <si>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</si>
  <si>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</si>
  <si>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</si>
  <si>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</si>
  <si>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</si>
  <si>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</si>
  <si>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</si>
  <si>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</si>
  <si>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</si>
  <si>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</si>
  <si>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</si>
  <si>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</si>
  <si>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</si>
  <si>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</si>
  <si>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</si>
  <si>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</si>
  <si>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</si>
  <si>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</si>
  <si>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</si>
  <si>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</si>
  <si>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</si>
  <si>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</si>
  <si>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</si>
  <si>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</si>
  <si>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</si>
  <si>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</si>
  <si>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</si>
  <si>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</si>
  <si>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</si>
  <si>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</si>
  <si>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</si>
  <si>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</si>
  <si>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</si>
  <si>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</si>
  <si>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</si>
  <si>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</si>
  <si>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</si>
  <si>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</si>
  <si>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</si>
  <si>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</si>
  <si>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</si>
  <si>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</si>
  <si>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</si>
  <si>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</si>
  <si>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</si>
  <si>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</si>
  <si>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</si>
  <si>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</si>
  <si>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</si>
  <si>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</si>
  <si>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</si>
  <si>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</si>
  <si>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</si>
  <si>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</si>
  <si>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</si>
  <si>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</si>
  <si>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</si>
  <si>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</si>
  <si>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</si>
  <si>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</si>
  <si>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</si>
  <si>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</si>
  <si>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</si>
  <si>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</si>
  <si>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</si>
  <si>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</si>
  <si>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</si>
  <si>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</si>
  <si>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</si>
  <si>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</si>
  <si>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</si>
  <si>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</si>
  <si>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</si>
  <si>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</si>
  <si>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</si>
  <si>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</si>
  <si>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</si>
  <si>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</si>
  <si>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</si>
  <si>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</si>
  <si>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</si>
  <si>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</si>
  <si>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</si>
  <si>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</si>
  <si>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</si>
  <si>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</si>
  <si>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</si>
  <si>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</si>
  <si>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</si>
  <si>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</si>
  <si>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</si>
  <si>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</si>
  <si>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</si>
  <si>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</si>
  <si>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</si>
  <si>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</si>
  <si>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</si>
  <si>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</si>
  <si>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</si>
  <si>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</si>
  <si>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</si>
  <si>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</si>
  <si>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</si>
  <si>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</si>
  <si>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</si>
  <si>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</si>
  <si>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</si>
  <si>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</si>
  <si>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</si>
  <si>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</si>
  <si>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</si>
  <si>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</si>
  <si>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</si>
  <si>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</si>
  <si>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</si>
  <si>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</si>
  <si>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</si>
  <si>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</si>
  <si>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</si>
  <si>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</si>
  <si>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</si>
  <si>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</si>
  <si>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</si>
  <si>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</si>
  <si>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</si>
  <si>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</si>
  <si>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</si>
  <si>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</si>
  <si>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</si>
  <si>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</si>
  <si>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</si>
  <si>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</si>
  <si>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</si>
  <si>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</si>
  <si>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</si>
  <si>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</si>
  <si>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</si>
  <si>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</si>
  <si>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</si>
  <si>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</si>
  <si>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</si>
  <si>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</si>
  <si>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</si>
  <si>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</si>
  <si>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</si>
  <si>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</si>
  <si>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</si>
  <si>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</si>
  <si>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</si>
  <si>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</si>
  <si>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</si>
  <si>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</si>
  <si>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</si>
  <si>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</si>
  <si>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</si>
  <si>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</si>
  <si>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</si>
  <si>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</si>
  <si>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</si>
  <si>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</si>
  <si>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</si>
  <si>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</si>
  <si>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</si>
  <si>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</si>
  <si>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</si>
  <si>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</si>
  <si>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</si>
  <si>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</si>
  <si>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</si>
  <si>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</si>
  <si>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</si>
  <si>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</si>
  <si>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</si>
  <si>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</si>
  <si>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</si>
  <si>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</si>
  <si>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</si>
  <si>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</si>
  <si>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</si>
  <si>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</si>
  <si>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</si>
  <si>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</si>
  <si>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</si>
  <si>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</si>
  <si>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</si>
  <si>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</si>
  <si>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</si>
  <si>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</si>
  <si>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</si>
  <si>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</si>
  <si>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</si>
  <si>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</si>
  <si>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</si>
  <si>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</si>
  <si>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</si>
  <si>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</si>
  <si>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</si>
  <si>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</si>
  <si>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</si>
  <si>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</si>
  <si>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</si>
  <si>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</si>
  <si>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</si>
  <si>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</si>
  <si>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</si>
  <si>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</si>
  <si>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</si>
  <si>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</si>
  <si>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</si>
  <si>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</si>
  <si>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</si>
  <si>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</si>
  <si>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</si>
  <si>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</si>
  <si>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</si>
  <si>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</si>
  <si>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</si>
  <si>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</si>
  <si>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</si>
  <si>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</si>
  <si>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</si>
  <si>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</si>
  <si>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</si>
  <si>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</si>
  <si>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</si>
  <si>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</si>
  <si>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</si>
  <si>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</si>
  <si>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</si>
  <si>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</si>
  <si>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</si>
  <si>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</si>
  <si>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</si>
  <si>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</si>
  <si>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</si>
  <si>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</si>
  <si>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</si>
  <si>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</si>
  <si>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</si>
  <si>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</si>
  <si>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</si>
  <si>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</si>
  <si>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</si>
  <si>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</si>
  <si>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</si>
  <si>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</si>
  <si>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</si>
  <si>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</si>
  <si>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</si>
  <si>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</si>
  <si>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</si>
  <si>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</si>
  <si>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</si>
  <si>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</si>
  <si>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</si>
  <si>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</si>
  <si>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</si>
  <si>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</si>
  <si>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</si>
  <si>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</si>
  <si>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</si>
  <si>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</si>
  <si>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</si>
  <si>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</si>
  <si>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</si>
  <si>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</si>
  <si>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</si>
  <si>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</si>
  <si>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</si>
  <si>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</si>
  <si>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</si>
  <si>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</si>
  <si>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</si>
  <si>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</si>
  <si>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</si>
  <si>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</si>
  <si>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</si>
  <si>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</si>
  <si>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</si>
  <si>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</si>
  <si>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</si>
  <si>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</si>
  <si>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</si>
  <si>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</si>
  <si>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</si>
  <si>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</si>
  <si>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</si>
  <si>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</si>
  <si>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</si>
  <si>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</si>
  <si>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</si>
  <si>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</si>
  <si>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</si>
  <si>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</si>
  <si>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</si>
  <si>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</si>
  <si>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</si>
  <si>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</si>
  <si>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</si>
  <si>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</si>
  <si>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</si>
  <si>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</si>
  <si>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</si>
  <si>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</si>
  <si>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</si>
  <si>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</si>
  <si>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</si>
  <si>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</si>
  <si>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</si>
  <si>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</si>
  <si>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</si>
  <si>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</si>
  <si>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</si>
  <si>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</si>
  <si>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</si>
  <si>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</si>
  <si>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</si>
  <si>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</si>
  <si>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</si>
  <si>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</si>
  <si>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</si>
  <si>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</si>
  <si>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</si>
  <si>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</si>
  <si>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</si>
  <si>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</si>
  <si>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</si>
  <si>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</si>
  <si>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</si>
  <si>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</si>
  <si>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</si>
  <si>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</si>
  <si>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</si>
  <si>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</si>
  <si>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</si>
  <si>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</si>
  <si>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</si>
  <si>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</si>
  <si>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</si>
  <si>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</si>
  <si>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</si>
  <si>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</si>
  <si>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</si>
  <si>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</si>
  <si>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</si>
  <si>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</si>
  <si>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</si>
  <si>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</si>
  <si>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</si>
  <si>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</si>
  <si>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</si>
  <si>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</si>
  <si>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</si>
  <si>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</si>
  <si>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</si>
  <si>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</si>
  <si>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</si>
  <si>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</si>
  <si>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</si>
  <si>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</si>
  <si>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</si>
  <si>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</si>
  <si>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</si>
  <si>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</si>
  <si>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</si>
  <si>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</si>
  <si>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</si>
  <si>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</si>
  <si>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</si>
  <si>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</si>
  <si>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</si>
  <si>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</si>
  <si>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</si>
  <si>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</si>
  <si>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</si>
  <si>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</si>
  <si>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</si>
  <si>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</si>
  <si>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</si>
  <si>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</si>
  <si>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</si>
  <si>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</si>
  <si>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</si>
  <si>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</si>
  <si>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</si>
  <si>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</si>
  <si>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</si>
  <si>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</si>
  <si>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</si>
  <si>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</si>
  <si>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</si>
  <si>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</si>
  <si>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</si>
  <si>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</si>
  <si>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</si>
  <si>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</si>
  <si>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</si>
  <si>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</si>
  <si>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</si>
  <si>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</si>
  <si>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</si>
  <si>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</si>
  <si>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</si>
  <si>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</si>
  <si>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</si>
  <si>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</si>
  <si>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</si>
  <si>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</si>
  <si>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</si>
  <si>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</si>
  <si>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</si>
  <si>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</si>
  <si>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</si>
  <si>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</si>
  <si>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</si>
  <si>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</si>
  <si>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</si>
  <si>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</si>
  <si>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</si>
  <si>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</si>
  <si>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</si>
  <si>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</si>
  <si>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</si>
  <si>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</si>
  <si>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</si>
  <si>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</si>
  <si>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</si>
  <si>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</si>
  <si>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</si>
  <si>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</si>
  <si>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</si>
  <si>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</si>
  <si>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</si>
  <si>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</si>
  <si>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</si>
  <si>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</si>
  <si>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</si>
  <si>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</si>
  <si>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</si>
  <si>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</si>
  <si>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</si>
  <si>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</si>
  <si>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</si>
  <si>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</si>
  <si>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</si>
  <si>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</si>
  <si>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</si>
  <si>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</si>
  <si>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</si>
  <si>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</si>
  <si>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</si>
  <si>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</si>
  <si>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</si>
  <si>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</si>
  <si>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</si>
  <si>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</si>
  <si>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</si>
  <si>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</si>
  <si>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</si>
  <si>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</si>
  <si>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</si>
  <si>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</si>
  <si>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</si>
  <si>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</si>
  <si>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</si>
  <si>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</si>
  <si>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</si>
  <si>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</si>
  <si>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</si>
  <si>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</si>
  <si>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</si>
  <si>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</si>
  <si>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</si>
  <si>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</si>
  <si>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</si>
  <si>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</si>
  <si>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</si>
  <si>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</si>
  <si>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</si>
  <si>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</si>
  <si>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</si>
  <si>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</si>
  <si>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</si>
  <si>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</si>
  <si>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</si>
  <si>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</si>
  <si>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</si>
  <si>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</si>
  <si>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</si>
  <si>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</si>
  <si>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</si>
  <si>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</si>
  <si>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</si>
  <si>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</si>
  <si>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</si>
  <si>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</si>
  <si>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</si>
  <si>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</si>
  <si>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</si>
  <si>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</si>
  <si>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</si>
  <si>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</si>
  <si>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</si>
  <si>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</si>
  <si>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</si>
  <si>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</si>
  <si>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</si>
  <si>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</si>
  <si>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</si>
  <si>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</si>
  <si>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</si>
  <si>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</si>
  <si>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</si>
  <si>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</si>
  <si>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</si>
  <si>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</si>
  <si>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</si>
  <si>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</si>
  <si>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</si>
  <si>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</si>
  <si>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</si>
  <si>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</si>
  <si>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</si>
  <si>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</si>
  <si>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</si>
  <si>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</si>
  <si>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</si>
  <si>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</si>
  <si>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</si>
  <si>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</si>
  <si>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</si>
  <si>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</si>
  <si>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</si>
  <si>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</si>
  <si>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</si>
  <si>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</si>
  <si>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</si>
  <si>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</si>
  <si>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</si>
  <si>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</si>
  <si>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</si>
  <si>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</si>
  <si>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</si>
  <si>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</si>
  <si>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</si>
  <si>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</si>
  <si>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</si>
  <si>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</si>
  <si>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</si>
  <si>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</si>
  <si>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</si>
  <si>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</si>
  <si>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</si>
  <si>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</si>
  <si>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</si>
  <si>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</si>
  <si>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</si>
  <si>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</si>
  <si>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</si>
  <si>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</si>
  <si>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</si>
  <si>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</si>
  <si>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</si>
  <si>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</si>
  <si>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</si>
  <si>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</si>
  <si>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</si>
  <si>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</si>
  <si>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</si>
  <si>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</si>
  <si>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</si>
  <si>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</si>
  <si>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</si>
  <si>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</si>
  <si>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</si>
  <si>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</si>
  <si>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</si>
  <si>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</si>
  <si>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</si>
  <si>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</si>
  <si>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</si>
  <si>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</si>
  <si>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</si>
  <si>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</si>
  <si>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</si>
  <si>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</si>
  <si>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</si>
  <si>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</si>
  <si>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</si>
  <si>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</si>
  <si>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</si>
  <si>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</si>
  <si>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</si>
  <si>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</si>
  <si>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</si>
  <si>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</si>
  <si>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</si>
  <si>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</si>
  <si>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</si>
  <si>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</si>
  <si>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</si>
  <si>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</si>
  <si>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</si>
  <si>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</si>
  <si>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</si>
  <si>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</si>
  <si>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</si>
  <si>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</si>
  <si>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</si>
  <si>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</si>
  <si>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</si>
  <si>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</si>
  <si>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</si>
  <si>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</si>
  <si>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</si>
  <si>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</si>
  <si>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</si>
  <si>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</si>
  <si>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</si>
  <si>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</si>
  <si>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</si>
  <si>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</si>
  <si>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</si>
  <si>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</si>
  <si>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</si>
  <si>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</si>
  <si>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</si>
  <si>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</si>
  <si>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</si>
  <si>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</si>
  <si>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</si>
  <si>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</si>
  <si>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</si>
  <si>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</si>
  <si>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</si>
  <si>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</si>
  <si>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</si>
  <si>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</si>
  <si>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</si>
  <si>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</si>
  <si>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</si>
  <si>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</si>
  <si>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</si>
  <si>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</si>
  <si>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</si>
  <si>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</si>
  <si>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</si>
  <si>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</si>
  <si>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</si>
  <si>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</si>
  <si>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</si>
  <si>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</si>
  <si>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</si>
  <si>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</si>
  <si>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</si>
  <si>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</si>
  <si>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</si>
  <si>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</si>
  <si>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</si>
  <si>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</si>
  <si>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</si>
  <si>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</si>
  <si>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</si>
  <si>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</si>
  <si>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</si>
  <si>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</si>
  <si>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</si>
  <si>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</si>
  <si>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</si>
  <si>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</si>
  <si>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</si>
  <si>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</si>
  <si>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</si>
  <si>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</si>
  <si>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</si>
  <si>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</si>
  <si>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</si>
  <si>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</si>
  <si>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</si>
  <si>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</si>
  <si>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</si>
  <si>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</si>
  <si>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</si>
  <si>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</si>
  <si>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</si>
  <si>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</si>
  <si>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</si>
  <si>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</si>
  <si>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</si>
  <si>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</si>
  <si>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</si>
  <si>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</si>
  <si>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</si>
  <si>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</si>
  <si>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</si>
  <si>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</si>
  <si>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</si>
  <si>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</si>
  <si>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</si>
  <si>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</si>
  <si>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</si>
  <si>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</si>
  <si>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</si>
  <si>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</si>
  <si>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</si>
  <si>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</si>
  <si>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</si>
  <si>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</si>
  <si>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</si>
  <si>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</si>
  <si>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</si>
  <si>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</si>
  <si>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</si>
  <si>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</si>
  <si>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</si>
  <si>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</si>
  <si>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</si>
  <si>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</si>
  <si>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</si>
  <si>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</si>
  <si>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</si>
  <si>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</si>
  <si>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</si>
  <si>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</si>
  <si>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</si>
  <si>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</si>
  <si>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</si>
  <si>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</si>
  <si>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</si>
  <si>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</si>
  <si>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</si>
  <si>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</si>
  <si>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</si>
  <si>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</si>
  <si>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</si>
  <si>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</si>
  <si>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</si>
  <si>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</si>
  <si>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</si>
  <si>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</si>
  <si>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</si>
  <si>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</si>
  <si>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</si>
  <si>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</si>
  <si>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</si>
  <si>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</si>
  <si>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</si>
  <si>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</si>
  <si>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</si>
  <si>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</si>
  <si>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</si>
  <si>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</si>
  <si>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</si>
  <si>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</si>
  <si>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</si>
  <si>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</si>
  <si>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</si>
  <si>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</si>
  <si>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</si>
  <si>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</si>
  <si>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</si>
  <si>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</si>
  <si>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</si>
  <si>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</si>
  <si>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</si>
  <si>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</si>
  <si>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</si>
  <si>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</si>
  <si>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</si>
  <si>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</si>
  <si>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</si>
  <si>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</si>
  <si>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</si>
  <si>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</si>
  <si>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</si>
  <si>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</si>
  <si>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</si>
  <si>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</si>
  <si>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</si>
  <si>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</si>
  <si>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</si>
  <si>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</si>
  <si>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</si>
  <si>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</si>
  <si>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</si>
  <si>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</si>
  <si>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</si>
  <si>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</si>
  <si>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</si>
  <si>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</si>
  <si>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</si>
  <si>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</si>
  <si>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</si>
  <si>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</si>
  <si>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</si>
  <si>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</si>
  <si>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</si>
  <si>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</si>
  <si>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</si>
  <si>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</si>
  <si>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</si>
  <si>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</si>
  <si>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</si>
  <si>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</si>
  <si>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</si>
  <si>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</si>
  <si>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</si>
  <si>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</si>
  <si>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</si>
  <si>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</si>
  <si>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</si>
  <si>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</si>
  <si>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</si>
  <si>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</si>
  <si>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</si>
  <si>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</si>
  <si>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</si>
  <si>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</si>
  <si>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</si>
  <si>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</si>
  <si>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</si>
  <si>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</si>
  <si>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</si>
  <si>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</si>
  <si>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</si>
  <si>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</si>
  <si>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</si>
  <si>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</si>
  <si>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</si>
  <si>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</si>
  <si>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</si>
  <si>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</si>
  <si>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</si>
  <si>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</si>
  <si>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</si>
  <si>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</si>
  <si>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</si>
  <si>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</si>
  <si>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</si>
  <si>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</si>
  <si>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</si>
  <si>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</si>
  <si>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</si>
  <si>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</si>
  <si>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</si>
  <si>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</si>
  <si>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</si>
  <si>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</si>
  <si>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</si>
  <si>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</si>
  <si>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</si>
  <si>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</si>
  <si>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</si>
  <si>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</si>
  <si>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</si>
  <si>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</si>
  <si>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</si>
  <si>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</si>
  <si>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</si>
  <si>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</si>
  <si>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</si>
  <si>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</si>
  <si>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</si>
  <si>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</si>
  <si>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</si>
  <si>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</si>
  <si>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</si>
  <si>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</si>
  <si>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</si>
  <si>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</si>
  <si>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</si>
  <si>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</si>
  <si>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</si>
  <si>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</si>
  <si>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</si>
  <si>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</si>
  <si>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</si>
  <si>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</si>
  <si>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</si>
  <si>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</si>
  <si>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</si>
  <si>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</si>
  <si>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</si>
  <si>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</si>
  <si>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</si>
  <si>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</si>
  <si>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</si>
  <si>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</si>
  <si>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</si>
  <si>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</si>
  <si>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</si>
  <si>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</si>
  <si>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</si>
  <si>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</si>
  <si>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</si>
  <si>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</si>
  <si>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</si>
  <si>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</si>
  <si>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</si>
  <si>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</si>
  <si>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</si>
  <si>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</si>
  <si>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</si>
  <si>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</si>
  <si>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</si>
  <si>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</si>
  <si>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</si>
  <si>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</si>
  <si>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</si>
  <si>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</si>
  <si>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</si>
  <si>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</si>
  <si>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</si>
  <si>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</si>
  <si>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</si>
  <si>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</si>
  <si>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</si>
  <si>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</si>
  <si>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</si>
  <si>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</si>
  <si>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</si>
  <si>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</si>
  <si>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</si>
  <si>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</si>
  <si>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</si>
  <si>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</si>
  <si>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</si>
  <si>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</si>
  <si>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</si>
  <si>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</si>
  <si>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</si>
  <si>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</si>
  <si>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</si>
  <si>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</si>
  <si>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</si>
  <si>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</si>
  <si>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</si>
  <si>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</si>
  <si>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</si>
  <si>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</si>
  <si>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</si>
  <si>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</si>
  <si>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</si>
  <si>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</si>
  <si>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</si>
  <si>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</si>
  <si>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</si>
  <si>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</si>
  <si>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</si>
  <si>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</si>
  <si>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</si>
  <si>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</si>
  <si>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</si>
  <si>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</si>
  <si>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</si>
  <si>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</si>
  <si>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</si>
  <si>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</si>
  <si>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</si>
  <si>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</si>
  <si>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</si>
  <si>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</si>
  <si>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</si>
  <si>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</si>
  <si>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</si>
  <si>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</si>
  <si>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</si>
  <si>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</si>
  <si>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</si>
  <si>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</si>
  <si>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</si>
  <si>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</si>
  <si>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</si>
  <si>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</si>
  <si>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</si>
  <si>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</si>
  <si>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</si>
  <si>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</si>
  <si>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</si>
  <si>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</si>
  <si>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</si>
  <si>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</si>
  <si>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</si>
  <si>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</si>
  <si>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</si>
  <si>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</si>
  <si>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</si>
  <si>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</si>
  <si>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</si>
  <si>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</si>
  <si>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</si>
  <si>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</si>
  <si>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</si>
  <si>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</si>
  <si>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</si>
  <si>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</si>
  <si>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</si>
  <si>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</si>
  <si>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</si>
  <si>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</si>
  <si>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</si>
  <si>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</si>
  <si>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</si>
  <si>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</si>
  <si>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</si>
  <si>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</si>
  <si>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</si>
  <si>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</si>
  <si>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</si>
  <si>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</si>
  <si>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</si>
  <si>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</si>
  <si>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</si>
  <si>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</si>
  <si>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</si>
  <si>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</si>
  <si>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</si>
  <si>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</si>
  <si>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</si>
  <si>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</si>
  <si>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</si>
  <si>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</si>
  <si>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</si>
  <si>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</si>
  <si>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</si>
  <si>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</si>
  <si>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</si>
  <si>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</si>
  <si>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</si>
  <si>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</si>
  <si>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</si>
  <si>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</si>
  <si>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</si>
  <si>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</si>
  <si>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</si>
  <si>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</si>
  <si>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</si>
  <si>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</si>
  <si>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</si>
  <si>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</si>
  <si>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</si>
  <si>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</si>
  <si>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</si>
  <si>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</si>
  <si>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</si>
  <si>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</si>
  <si>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</si>
  <si>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</si>
  <si>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</si>
  <si>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</si>
  <si>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</si>
  <si>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</si>
  <si>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</si>
  <si>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</si>
  <si>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</si>
  <si>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</si>
  <si>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</si>
  <si>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</si>
  <si>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</si>
  <si>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</si>
  <si>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</si>
  <si>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</si>
  <si>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</si>
  <si>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</si>
  <si>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</si>
  <si>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</si>
  <si>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</si>
  <si>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</si>
  <si>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</si>
  <si>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</si>
  <si>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</si>
  <si>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</si>
  <si>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</si>
  <si>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</si>
  <si>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</si>
  <si>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</si>
  <si>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</si>
  <si>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</si>
  <si>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</si>
  <si>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</si>
  <si>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</si>
  <si>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</si>
  <si>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</si>
  <si>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</si>
  <si>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</si>
  <si>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</si>
  <si>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</si>
  <si>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</si>
  <si>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</si>
  <si>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</si>
  <si>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</si>
  <si>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</si>
  <si>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</si>
  <si>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</si>
  <si>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</si>
  <si>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</si>
  <si>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</si>
  <si>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</si>
  <si>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</si>
  <si>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</si>
  <si>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</si>
  <si>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</si>
  <si>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</si>
  <si>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</si>
  <si>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</si>
  <si>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</si>
  <si>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</si>
  <si>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</si>
  <si>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</si>
  <si>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</si>
  <si>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</si>
  <si>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</si>
  <si>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</si>
  <si>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</si>
  <si>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</si>
  <si>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</si>
  <si>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</si>
  <si>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</si>
  <si>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</si>
  <si>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</si>
  <si>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</si>
  <si>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</si>
  <si>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</si>
  <si>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</si>
  <si>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</si>
  <si>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</si>
  <si>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</si>
  <si>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</si>
  <si>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</si>
  <si>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</si>
  <si>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</si>
  <si>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</si>
  <si>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</si>
  <si>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</si>
  <si>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</si>
  <si>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</si>
  <si>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</si>
  <si>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</si>
  <si>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</si>
  <si>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</si>
  <si>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</si>
  <si>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</si>
  <si>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</si>
  <si>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</si>
  <si>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</si>
  <si>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</si>
  <si>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</si>
  <si>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</si>
  <si>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</si>
  <si>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</si>
  <si>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</si>
  <si>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</si>
  <si>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</si>
  <si>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</si>
  <si>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</si>
  <si>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</si>
  <si>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</si>
  <si>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</si>
  <si>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</si>
  <si>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</si>
  <si>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</si>
  <si>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</si>
  <si>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</si>
  <si>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</si>
  <si>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</si>
  <si>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</si>
  <si>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</si>
  <si>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</si>
  <si>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</si>
  <si>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</si>
  <si>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</si>
  <si>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</si>
  <si>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</si>
  <si>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</si>
  <si>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</si>
  <si>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</si>
  <si>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</si>
  <si>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</si>
  <si>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</si>
  <si>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</si>
  <si>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</si>
  <si>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</si>
  <si>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</si>
  <si>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</si>
  <si>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</si>
  <si>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</si>
  <si>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</si>
  <si>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</si>
  <si>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</si>
  <si>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</si>
  <si>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</si>
  <si>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</si>
  <si>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</si>
  <si>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</si>
  <si>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</si>
  <si>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</si>
  <si>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</si>
  <si>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</si>
  <si>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</si>
  <si>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</si>
  <si>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</si>
  <si>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</si>
  <si>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</si>
  <si>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</si>
  <si>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</si>
  <si>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</si>
  <si>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</si>
  <si>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</si>
  <si>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</si>
  <si>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</si>
  <si>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</si>
  <si>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</si>
  <si>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</si>
  <si>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</si>
  <si>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</si>
  <si>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</si>
  <si>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</si>
  <si>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</si>
  <si>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</si>
  <si>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</si>
  <si>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</si>
  <si>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</si>
  <si>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</si>
  <si>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</si>
  <si>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</si>
  <si>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</si>
  <si>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</si>
  <si>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</si>
  <si>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</si>
  <si>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</si>
  <si>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</si>
  <si>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</si>
  <si>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</si>
  <si>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</si>
  <si>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</si>
  <si>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</si>
  <si>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</si>
  <si>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</si>
  <si>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</si>
  <si>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</si>
  <si>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</si>
  <si>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</si>
  <si>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</si>
  <si>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</si>
  <si>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</si>
  <si>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</si>
  <si>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</si>
  <si>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</si>
  <si>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</si>
  <si>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</si>
  <si>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</si>
  <si>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</si>
  <si>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</si>
  <si>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</si>
  <si>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</si>
  <si>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</si>
  <si>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</si>
  <si>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</si>
  <si>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</si>
  <si>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</si>
  <si>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</si>
  <si>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</si>
  <si>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</si>
  <si>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</si>
  <si>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</si>
  <si>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</si>
  <si>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</si>
  <si>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</si>
  <si>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</si>
  <si>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</si>
  <si>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</si>
  <si>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</si>
  <si>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</si>
  <si>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</si>
  <si>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</si>
  <si>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</si>
  <si>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</si>
  <si>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</si>
  <si>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</si>
  <si>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</si>
  <si>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</si>
  <si>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</si>
  <si>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</si>
  <si>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</si>
  <si>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</si>
  <si>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</si>
  <si>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</si>
  <si>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</si>
  <si>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</si>
  <si>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</si>
  <si>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</si>
  <si>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</si>
  <si>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</si>
  <si>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</si>
  <si>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</si>
  <si>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</si>
  <si>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</si>
  <si>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</si>
  <si>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</si>
  <si>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</si>
  <si>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</si>
  <si>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</si>
  <si>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</si>
  <si>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</si>
  <si>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</si>
  <si>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</si>
  <si>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</si>
  <si>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</si>
  <si>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</si>
  <si>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</si>
  <si>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</si>
  <si>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</si>
  <si>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</si>
  <si>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</si>
  <si>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</si>
  <si>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</si>
  <si>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</si>
  <si>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</si>
  <si>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</si>
  <si>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</si>
  <si>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</si>
  <si>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</si>
  <si>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</si>
  <si>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</si>
  <si>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</si>
  <si>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</si>
  <si>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</si>
  <si>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</si>
  <si>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</si>
  <si>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</si>
  <si>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</si>
  <si>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</si>
  <si>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</si>
  <si>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</si>
  <si>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</si>
  <si>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</si>
  <si>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</si>
  <si>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</si>
  <si>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</si>
  <si>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</si>
  <si>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</si>
  <si>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</si>
  <si>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</si>
  <si>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</si>
  <si>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</si>
  <si>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</si>
  <si>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</si>
  <si>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</si>
  <si>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</si>
  <si>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</si>
  <si>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</si>
  <si>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</si>
  <si>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</si>
  <si>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</si>
  <si>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</si>
  <si>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</si>
  <si>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</si>
  <si>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</si>
  <si>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</si>
  <si>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</si>
  <si>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</si>
  <si>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</si>
  <si>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</si>
  <si>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</si>
  <si>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</si>
  <si>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</si>
  <si>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</si>
  <si>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</si>
  <si>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</si>
  <si>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</si>
  <si>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</si>
  <si>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</si>
  <si>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</si>
  <si>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</si>
  <si>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</si>
  <si>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</si>
  <si>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</si>
  <si>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</si>
  <si>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</si>
  <si>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</si>
  <si>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</si>
  <si>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</si>
  <si>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</si>
  <si>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</si>
  <si>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</si>
  <si>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</si>
  <si>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</si>
  <si>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</si>
  <si>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</si>
  <si>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</si>
  <si>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</si>
  <si>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</si>
  <si>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</si>
  <si>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</si>
  <si>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</si>
  <si>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</si>
  <si>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</si>
  <si>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</si>
  <si>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</si>
  <si>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</si>
  <si>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</si>
  <si>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</si>
  <si>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</si>
  <si>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</si>
  <si>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</si>
  <si>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</si>
  <si>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</si>
  <si>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</si>
  <si>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</si>
  <si>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</si>
  <si>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</si>
  <si>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</si>
  <si>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</si>
  <si>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</si>
  <si>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</si>
  <si>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</si>
  <si>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</si>
  <si>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</si>
  <si>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</si>
  <si>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</si>
  <si>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</si>
  <si>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</si>
  <si>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</si>
  <si>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</si>
  <si>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</si>
  <si>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</si>
  <si>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</si>
  <si>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</si>
  <si>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</si>
  <si>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</si>
  <si>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</si>
  <si>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</si>
  <si>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</si>
  <si>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</si>
  <si>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</si>
  <si>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</si>
  <si>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</si>
  <si>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</si>
  <si>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</si>
  <si>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</si>
  <si>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</si>
  <si>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</si>
  <si>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</si>
  <si>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</si>
  <si>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</si>
  <si>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</si>
  <si>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</si>
  <si>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</si>
  <si>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</si>
  <si>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</si>
  <si>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</si>
  <si>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</si>
  <si>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</si>
  <si>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</si>
  <si>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</si>
  <si>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</si>
  <si>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</si>
  <si>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</si>
  <si>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</si>
  <si>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</si>
  <si>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</si>
  <si>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</si>
  <si>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</si>
  <si>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</si>
  <si>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</si>
  <si>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</si>
  <si>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</si>
  <si>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</si>
  <si>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</si>
  <si>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</si>
  <si>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</si>
  <si>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</si>
  <si>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</si>
  <si>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</si>
  <si>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</si>
  <si>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</si>
  <si>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</si>
  <si>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</si>
  <si>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</si>
  <si>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</si>
  <si>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</si>
  <si>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</si>
  <si>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</si>
  <si>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</si>
  <si>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</si>
  <si>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</si>
  <si>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</si>
  <si>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</si>
  <si>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</si>
  <si>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</si>
  <si>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</si>
  <si>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</si>
  <si>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</si>
  <si>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</si>
  <si>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</si>
  <si>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</si>
  <si>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</si>
  <si>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</si>
  <si>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</si>
  <si>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</si>
  <si>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</si>
  <si>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</si>
  <si>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</si>
  <si>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</si>
  <si>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</si>
  <si>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</si>
  <si>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</si>
  <si>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</si>
  <si>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</si>
  <si>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</si>
  <si>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</si>
  <si>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</si>
  <si>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</si>
  <si>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</si>
  <si>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</si>
  <si>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</si>
  <si>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</si>
  <si>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</si>
  <si>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</si>
  <si>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</si>
  <si>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</si>
  <si>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</si>
  <si>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</si>
  <si>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</si>
  <si>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</si>
  <si>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</si>
  <si>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</si>
  <si>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</si>
  <si>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</si>
  <si>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</si>
  <si>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</si>
  <si>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</si>
  <si>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</si>
  <si>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</si>
  <si>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</si>
  <si>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</si>
  <si>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</si>
  <si>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</si>
  <si>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</si>
  <si>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</si>
  <si>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</si>
  <si>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</si>
  <si>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</si>
  <si>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</si>
  <si>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</si>
  <si>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</si>
  <si>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</si>
  <si>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</si>
  <si>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</si>
  <si>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</si>
  <si>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</si>
  <si>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</si>
  <si>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</si>
  <si>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</si>
  <si>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</si>
  <si>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</si>
  <si>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</si>
  <si>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</si>
  <si>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</si>
  <si>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</si>
  <si>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</si>
  <si>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</si>
  <si>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</si>
  <si>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</si>
  <si>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</si>
  <si>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</si>
  <si>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</si>
  <si>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</si>
  <si>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</si>
  <si>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</si>
  <si>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</si>
  <si>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</si>
  <si>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</si>
  <si>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</si>
  <si>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</si>
  <si>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</si>
  <si>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</si>
  <si>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</si>
  <si>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</si>
  <si>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</si>
  <si>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</si>
  <si>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</si>
  <si>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</si>
  <si>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</si>
  <si>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</si>
  <si>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</si>
  <si>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</si>
  <si>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</si>
  <si>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</si>
  <si>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</si>
  <si>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</si>
  <si>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</si>
  <si>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</si>
  <si>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</si>
  <si>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</si>
  <si>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</si>
  <si>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</si>
  <si>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</si>
  <si>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</si>
  <si>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</si>
  <si>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</si>
  <si>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</si>
  <si>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</si>
  <si>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</si>
  <si>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</si>
  <si>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</si>
  <si>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</si>
  <si>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</si>
  <si>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</si>
  <si>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</si>
  <si>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</si>
  <si>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</si>
  <si>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</si>
  <si>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</si>
  <si>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</si>
  <si>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</si>
  <si>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</si>
  <si>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</si>
  <si>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</si>
  <si>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</si>
  <si>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</si>
  <si>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</si>
  <si>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</si>
  <si>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</si>
  <si>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</si>
  <si>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</si>
  <si>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</si>
  <si>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</si>
  <si>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</si>
  <si>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</si>
  <si>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</si>
  <si>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</si>
  <si>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</si>
  <si>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</si>
  <si>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</si>
  <si>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</si>
  <si>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</si>
  <si>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</si>
  <si>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</si>
  <si>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</si>
  <si>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</si>
  <si>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</si>
  <si>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</si>
  <si>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</si>
  <si>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</si>
  <si>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</si>
  <si>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</si>
  <si>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</si>
  <si>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</si>
  <si>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</si>
  <si>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</si>
  <si>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</si>
  <si>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</si>
  <si>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</si>
  <si>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</si>
  <si>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</si>
  <si>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</si>
  <si>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</si>
  <si>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</si>
  <si>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</si>
  <si>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</si>
  <si>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</si>
  <si>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</si>
  <si>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</si>
  <si>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</si>
  <si>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</si>
  <si>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</si>
  <si>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</si>
  <si>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</si>
  <si>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</si>
  <si>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</si>
  <si>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</si>
  <si>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</si>
  <si>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</si>
  <si>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</si>
  <si>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</si>
  <si>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</si>
  <si>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</si>
  <si>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</si>
  <si>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</si>
  <si>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</si>
  <si>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</si>
  <si>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</si>
  <si>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</si>
  <si>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</si>
  <si>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</si>
  <si>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</si>
  <si>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</si>
  <si>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</si>
  <si>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</si>
  <si>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</si>
  <si>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</si>
  <si>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</si>
  <si>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</si>
  <si>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</si>
  <si>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</si>
  <si>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</si>
  <si>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</si>
  <si>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</si>
  <si>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</si>
  <si>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</si>
  <si>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</si>
  <si>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</si>
  <si>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</si>
  <si>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</si>
  <si>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</si>
  <si>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</si>
  <si>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</si>
  <si>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</si>
  <si>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</si>
  <si>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</si>
  <si>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</si>
  <si>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</si>
  <si>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</si>
  <si>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</si>
  <si>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</si>
  <si>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</si>
  <si>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</si>
  <si>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</si>
  <si>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</si>
  <si>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</si>
  <si>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</si>
  <si>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</si>
  <si>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</si>
  <si>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</si>
  <si>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</si>
  <si>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</si>
  <si>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</si>
  <si>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</si>
  <si>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</si>
  <si>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</si>
  <si>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</si>
  <si>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</si>
  <si>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</si>
  <si>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</si>
  <si>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</si>
  <si>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</si>
  <si>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</si>
  <si>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</si>
  <si>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</si>
  <si>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</si>
  <si>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</si>
  <si>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</si>
  <si>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</si>
  <si>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</si>
  <si>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</si>
  <si>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</si>
  <si>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</si>
  <si>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</si>
  <si>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</si>
  <si>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</si>
  <si>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</si>
  <si>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</si>
  <si>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</si>
  <si>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</si>
  <si>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</si>
  <si>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</si>
  <si>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</si>
  <si>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</si>
  <si>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</si>
  <si>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</si>
  <si>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</si>
  <si>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</si>
  <si>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</si>
  <si>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</si>
  <si>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</si>
  <si>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</si>
  <si>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</si>
  <si>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</si>
  <si>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</si>
  <si>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</si>
  <si>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</si>
  <si>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</si>
  <si>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</si>
  <si>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</si>
  <si>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</si>
  <si>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</si>
  <si>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</si>
  <si>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</si>
  <si>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</si>
  <si>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</si>
  <si>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</si>
  <si>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</si>
  <si>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</si>
  <si>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</si>
  <si>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</si>
  <si>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</si>
  <si>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</si>
  <si>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</si>
  <si>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</si>
  <si>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</si>
  <si>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</si>
  <si>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</si>
  <si>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</si>
  <si>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</si>
  <si>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</si>
  <si>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</si>
  <si>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</si>
  <si>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</si>
  <si>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</si>
  <si>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</si>
  <si>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</si>
  <si>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</si>
  <si>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</si>
  <si>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</si>
  <si>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</si>
  <si>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</si>
  <si>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</si>
  <si>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</si>
  <si>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</si>
  <si>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</si>
  <si>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</si>
  <si>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</si>
  <si>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</si>
  <si>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</si>
  <si>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</si>
  <si>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</si>
  <si>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</si>
  <si>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</si>
  <si>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</si>
  <si>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</si>
  <si>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</si>
  <si>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</si>
  <si>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</si>
  <si>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</si>
  <si>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</si>
  <si>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</si>
  <si>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</si>
  <si>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</si>
  <si>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</si>
  <si>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</si>
  <si>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</si>
  <si>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</si>
  <si>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</si>
  <si>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</si>
  <si>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</si>
  <si>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</si>
  <si>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</si>
  <si>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</si>
  <si>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</si>
  <si>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</si>
  <si>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</si>
  <si>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</si>
  <si>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</si>
  <si>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</si>
  <si>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</si>
  <si>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</si>
  <si>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</si>
  <si>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</si>
  <si>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</si>
  <si>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</si>
  <si>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</si>
  <si>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</si>
  <si>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</si>
  <si>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</si>
  <si>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</si>
  <si>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</si>
  <si>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</si>
  <si>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</si>
  <si>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</si>
  <si>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</si>
  <si>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</si>
  <si>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</si>
  <si>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</si>
  <si>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</si>
  <si>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</si>
  <si>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</si>
  <si>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</si>
  <si>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</si>
  <si>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</si>
  <si>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</si>
  <si>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</si>
  <si>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</si>
  <si>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</si>
  <si>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</si>
  <si>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</si>
  <si>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</si>
  <si>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</si>
  <si>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</si>
  <si>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</si>
  <si>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</si>
  <si>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</si>
  <si>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</si>
  <si>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</si>
  <si>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</si>
  <si>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</si>
  <si>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</si>
  <si>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</si>
  <si>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</si>
  <si>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</si>
  <si>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</si>
  <si>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</si>
  <si>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</si>
  <si>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</si>
  <si>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</si>
  <si>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</si>
  <si>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</si>
  <si>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</si>
  <si>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</si>
  <si>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</si>
  <si>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</si>
  <si>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</si>
  <si>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</si>
  <si>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</si>
  <si>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</si>
  <si>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</si>
  <si>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</si>
  <si>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</si>
  <si>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</si>
  <si>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</si>
  <si>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</si>
  <si>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</si>
  <si>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</si>
  <si>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</si>
  <si>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</si>
  <si>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</si>
  <si>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</si>
  <si>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</si>
  <si>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</si>
  <si>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</si>
  <si>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</si>
  <si>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</si>
  <si>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</si>
  <si>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</si>
  <si>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</si>
  <si>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</si>
  <si>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</si>
  <si>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</si>
  <si>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</si>
  <si>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</si>
  <si>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</si>
  <si>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</si>
  <si>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</si>
  <si>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</si>
  <si>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</si>
  <si>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</si>
  <si>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</si>
  <si>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</si>
  <si>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</si>
  <si>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</si>
  <si>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</si>
  <si>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</si>
  <si>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</si>
  <si>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</si>
  <si>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</si>
  <si>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</si>
  <si>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</si>
  <si>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</si>
  <si>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</si>
  <si>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</si>
  <si>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</si>
  <si>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</si>
  <si>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</si>
  <si>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</si>
  <si>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</si>
  <si>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</si>
  <si>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</si>
  <si>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</si>
  <si>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</si>
  <si>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</si>
  <si>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</si>
  <si>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</si>
  <si>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</si>
  <si>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</si>
  <si>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</si>
  <si>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</si>
  <si>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</si>
  <si>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</si>
  <si>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</si>
  <si>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</si>
  <si>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</si>
  <si>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</si>
  <si>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</si>
  <si>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</si>
  <si>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</si>
  <si>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</si>
  <si>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</si>
  <si>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</si>
  <si>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</si>
  <si>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</si>
  <si>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</si>
  <si>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</si>
  <si>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</si>
  <si>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</si>
  <si>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</si>
  <si>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</si>
  <si>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</si>
  <si>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</si>
  <si>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</si>
  <si>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</si>
  <si>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</si>
  <si>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</si>
  <si>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</si>
  <si>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</si>
  <si>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</si>
  <si>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</si>
  <si>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</si>
  <si>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</si>
  <si>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</si>
  <si>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</si>
  <si>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</si>
  <si>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</si>
  <si>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</si>
  <si>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</si>
  <si>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</si>
  <si>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</si>
  <si>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</si>
  <si>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</si>
  <si>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</si>
  <si>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</si>
  <si>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</si>
  <si>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</si>
  <si>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</si>
  <si>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</si>
  <si>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</si>
  <si>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</si>
  <si>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</si>
  <si>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</si>
  <si>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</si>
  <si>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</si>
  <si>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</si>
  <si>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</si>
  <si>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</si>
  <si>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</si>
  <si>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</si>
  <si>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</si>
  <si>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</si>
  <si>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</si>
  <si>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</si>
  <si>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</si>
  <si>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</si>
  <si>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</si>
  <si>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</si>
  <si>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</si>
  <si>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</si>
  <si>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</si>
  <si>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</si>
  <si>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</si>
  <si>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</si>
  <si>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</si>
  <si>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</si>
  <si>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</si>
  <si>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</si>
  <si>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</si>
  <si>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</si>
  <si>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</si>
  <si>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</si>
  <si>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</si>
  <si>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</si>
  <si>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</si>
  <si>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</si>
  <si>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</si>
  <si>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</si>
  <si>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</si>
  <si>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</si>
  <si>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</si>
  <si>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</si>
  <si>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</si>
  <si>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</si>
  <si>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</si>
  <si>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</si>
  <si>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</si>
  <si>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</si>
  <si>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</si>
  <si>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</si>
  <si>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</si>
  <si>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</si>
  <si>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</si>
  <si>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</si>
  <si>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</si>
  <si>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</si>
  <si>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</si>
  <si>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</si>
  <si>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</si>
  <si>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</si>
  <si>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</si>
  <si>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</si>
  <si>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</si>
  <si>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</si>
  <si>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</si>
  <si>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</si>
  <si>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</si>
  <si>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</si>
  <si>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</si>
  <si>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</si>
  <si>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</si>
  <si>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</si>
  <si>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</si>
  <si>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</si>
  <si>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</si>
  <si>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</si>
  <si>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</si>
  <si>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</si>
  <si>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</si>
  <si>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</si>
  <si>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</si>
  <si>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</si>
  <si>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</si>
  <si>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</si>
  <si>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</si>
  <si>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</si>
  <si>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</si>
  <si>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</si>
  <si>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</si>
  <si>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</si>
  <si>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</si>
  <si>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</si>
  <si>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</si>
  <si>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</si>
  <si>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</si>
  <si>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</si>
  <si>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</si>
  <si>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</si>
  <si>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</si>
  <si>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</si>
  <si>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</si>
  <si>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</si>
  <si>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</si>
  <si>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</si>
  <si>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</si>
  <si>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</si>
  <si>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</si>
  <si>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</si>
  <si>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</si>
  <si>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</si>
  <si>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</si>
  <si>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</si>
  <si>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</si>
  <si>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</si>
  <si>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</si>
  <si>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</si>
  <si>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</si>
  <si>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</si>
  <si>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</si>
  <si>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</si>
  <si>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</si>
  <si>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</si>
  <si>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</si>
  <si>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</si>
  <si>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</si>
  <si>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</si>
  <si>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</si>
  <si>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</si>
  <si>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</si>
  <si>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</si>
  <si>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</si>
  <si>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</si>
  <si>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</si>
  <si>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</si>
  <si>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</si>
  <si>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</si>
  <si>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</si>
  <si>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</si>
  <si>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</si>
  <si>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</si>
  <si>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</si>
  <si>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</si>
  <si>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</si>
  <si>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</si>
  <si>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</si>
  <si>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</si>
  <si>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</si>
  <si>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</si>
  <si>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</si>
  <si>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</si>
  <si>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</si>
  <si>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</si>
  <si>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</si>
  <si>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</si>
  <si>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</si>
  <si>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</si>
  <si>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</si>
  <si>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</si>
  <si>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</si>
  <si>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</si>
  <si>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</si>
  <si>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</si>
  <si>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</si>
  <si>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</si>
  <si>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</si>
  <si>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</si>
  <si>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</si>
  <si>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</si>
  <si>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</si>
  <si>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</si>
  <si>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</si>
  <si>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</si>
  <si>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</si>
  <si>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</si>
  <si>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</si>
  <si>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</si>
  <si>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</si>
  <si>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</si>
  <si>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</si>
  <si>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</si>
  <si>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</si>
  <si>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</si>
  <si>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</si>
  <si>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</si>
  <si>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</si>
  <si>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</si>
  <si>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</si>
  <si>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</si>
  <si>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</si>
  <si>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</si>
  <si>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</si>
  <si>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</si>
  <si>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</si>
  <si>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</si>
  <si>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</si>
  <si>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</si>
  <si>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</si>
  <si>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</si>
  <si>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</si>
  <si>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</si>
  <si>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</si>
  <si>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</si>
  <si>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</si>
  <si>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</si>
  <si>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</si>
  <si>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</si>
  <si>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</si>
  <si>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</si>
  <si>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</si>
  <si>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</si>
  <si>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</si>
  <si>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</si>
  <si>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</si>
  <si>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</si>
  <si>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</si>
  <si>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</si>
  <si>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</si>
  <si>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</si>
  <si>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</si>
  <si>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</si>
  <si>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</si>
  <si>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</si>
  <si>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</si>
  <si>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</si>
  <si>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</si>
  <si>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</si>
  <si>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</si>
  <si>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</si>
  <si>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</si>
  <si>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</si>
  <si>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</si>
  <si>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</si>
  <si>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</si>
  <si>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</si>
  <si>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</si>
  <si>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</si>
  <si>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</si>
  <si>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</si>
  <si>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</si>
  <si>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</si>
  <si>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</si>
  <si>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</si>
  <si>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</si>
  <si>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</si>
  <si>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</si>
  <si>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</si>
  <si>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</si>
  <si>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</si>
  <si>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</si>
  <si>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</si>
  <si>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</si>
  <si>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</si>
  <si>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</si>
  <si>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</si>
  <si>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</si>
  <si>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</si>
  <si>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</si>
  <si>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</si>
  <si>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</si>
  <si>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</si>
  <si>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</si>
  <si>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</si>
  <si>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</si>
  <si>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</si>
  <si>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</si>
  <si>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</si>
  <si>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</si>
  <si>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</si>
  <si>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</si>
  <si>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</si>
  <si>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</si>
  <si>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</si>
  <si>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</si>
  <si>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</si>
  <si>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</si>
  <si>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</si>
  <si>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</si>
  <si>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</si>
  <si>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</si>
  <si>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</si>
  <si>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</si>
  <si>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</si>
  <si>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</si>
  <si>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</si>
  <si>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</si>
  <si>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</si>
  <si>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</si>
  <si>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</si>
  <si>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</si>
  <si>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</si>
  <si>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</si>
  <si>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</si>
  <si>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</si>
  <si>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</si>
  <si>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</si>
  <si>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</si>
  <si>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</si>
  <si>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</si>
  <si>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</si>
  <si>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</si>
  <si>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</si>
  <si>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</si>
  <si>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</si>
  <si>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</si>
  <si>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</si>
  <si>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</si>
  <si>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</si>
  <si>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</si>
  <si>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</si>
  <si>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</si>
  <si>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</si>
  <si>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</si>
  <si>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</si>
  <si>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</si>
  <si>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</si>
  <si>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</si>
  <si>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</si>
  <si>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</si>
  <si>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</si>
  <si>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</si>
  <si>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</si>
  <si>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</si>
  <si>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</si>
  <si>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</si>
  <si>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</si>
  <si>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</si>
  <si>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</si>
  <si>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</si>
  <si>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</si>
  <si>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</si>
  <si>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</si>
  <si>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</si>
  <si>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</si>
  <si>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</si>
  <si>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</si>
  <si>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</si>
  <si>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</si>
  <si>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</si>
  <si>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</si>
  <si>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</si>
  <si>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</si>
  <si>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</si>
  <si>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</si>
  <si>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</si>
  <si>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</si>
  <si>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</si>
  <si>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</si>
  <si>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</si>
  <si>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</si>
  <si>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</si>
  <si>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</si>
  <si>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</si>
  <si>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</si>
  <si>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</si>
  <si>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</si>
  <si>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</si>
  <si>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</si>
  <si>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</si>
  <si>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</si>
  <si>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</si>
  <si>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</si>
  <si>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</si>
  <si>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</si>
  <si>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</si>
  <si>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</si>
  <si>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</si>
  <si>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</si>
  <si>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</si>
  <si>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</si>
  <si>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</si>
  <si>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</si>
  <si>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</si>
  <si>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</si>
  <si>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</si>
  <si>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</si>
  <si>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</si>
  <si>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</si>
  <si>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</si>
  <si>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</si>
  <si>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</si>
  <si>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</si>
  <si>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</si>
  <si>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</si>
  <si>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</si>
  <si>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</si>
  <si>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</si>
  <si>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</si>
  <si>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</si>
  <si>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</si>
  <si>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</si>
  <si>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</si>
  <si>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</si>
  <si>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</si>
  <si>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</si>
  <si>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</si>
  <si>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</si>
  <si>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</si>
  <si>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</si>
  <si>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</si>
  <si>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</si>
  <si>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</si>
  <si>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</si>
  <si>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</si>
  <si>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</si>
  <si>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</si>
  <si>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</si>
  <si>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</si>
  <si>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</si>
  <si>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</si>
  <si>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</si>
  <si>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</si>
  <si>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</si>
  <si>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</si>
  <si>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</si>
  <si>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</si>
  <si>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</si>
  <si>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</si>
  <si>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</si>
  <si>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</si>
  <si>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</si>
  <si>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</si>
  <si>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</si>
  <si>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</si>
  <si>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</si>
  <si>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</si>
  <si>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</si>
  <si>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</si>
  <si>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</si>
  <si>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</si>
  <si>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</si>
  <si>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</si>
  <si>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</si>
  <si>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</si>
  <si>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</si>
  <si>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</si>
  <si>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</si>
  <si>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</si>
  <si>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</si>
  <si>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</si>
  <si>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</si>
  <si>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</si>
  <si>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</si>
  <si>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</si>
  <si>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</si>
  <si>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</si>
  <si>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</si>
  <si>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</si>
  <si>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</si>
  <si>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</si>
  <si>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</si>
  <si>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</si>
  <si>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</si>
  <si>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</si>
  <si>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</si>
  <si>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</si>
  <si>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</si>
  <si>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</si>
  <si>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</si>
  <si>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</si>
  <si>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</si>
  <si>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</si>
  <si>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</si>
  <si>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</si>
  <si>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</si>
  <si>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</si>
  <si>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</si>
  <si>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</si>
  <si>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</si>
  <si>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</si>
  <si>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</si>
  <si>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</si>
  <si>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</si>
  <si>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</si>
  <si>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</si>
  <si>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</si>
  <si>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</si>
  <si>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</si>
  <si>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</si>
  <si>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</si>
  <si>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</si>
  <si>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</si>
  <si>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</si>
  <si>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</si>
  <si>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</si>
  <si>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</si>
  <si>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</si>
  <si>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</si>
  <si>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</si>
  <si>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</si>
  <si>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</si>
  <si>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</si>
  <si>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</si>
  <si>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</si>
  <si>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</si>
  <si>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</si>
  <si>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</si>
  <si>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</si>
  <si>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</si>
  <si>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</si>
  <si>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</si>
  <si>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</si>
  <si>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</si>
  <si>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</si>
  <si>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</si>
  <si>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</si>
  <si>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</si>
  <si>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</si>
  <si>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</si>
  <si>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</si>
  <si>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</si>
  <si>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</si>
  <si>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</si>
  <si>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</si>
  <si>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</si>
  <si>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</si>
  <si>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</si>
  <si>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</si>
  <si>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</si>
  <si>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</si>
  <si>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</si>
  <si>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</si>
  <si>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</si>
  <si>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</si>
  <si>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</si>
  <si>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</si>
  <si>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</si>
  <si>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</si>
  <si>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</si>
  <si>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</si>
  <si>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</si>
  <si>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</si>
  <si>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</si>
  <si>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</si>
  <si>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</si>
  <si>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</si>
  <si>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</si>
  <si>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</si>
  <si>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</si>
  <si>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</si>
  <si>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</si>
  <si>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</si>
  <si>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</si>
  <si>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</si>
  <si>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</si>
  <si>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</si>
  <si>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</si>
  <si>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</si>
  <si>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</si>
  <si>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</si>
  <si>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</si>
  <si>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</si>
  <si>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</si>
  <si>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</si>
  <si>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</si>
  <si>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</si>
  <si>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</si>
  <si>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</si>
  <si>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</si>
  <si>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</si>
  <si>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</si>
  <si>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</si>
  <si>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</si>
  <si>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</si>
  <si>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</si>
  <si>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</si>
  <si>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</si>
  <si>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</si>
  <si>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</si>
  <si>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</si>
  <si>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</si>
  <si>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</si>
  <si>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</si>
  <si>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</si>
  <si>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</si>
  <si>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</si>
  <si>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</si>
  <si>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</si>
  <si>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</si>
  <si>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</si>
  <si>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</si>
  <si>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</si>
  <si>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</si>
  <si>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</si>
  <si>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</si>
  <si>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</si>
  <si>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</si>
  <si>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</si>
  <si>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</si>
  <si>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</si>
  <si>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</si>
  <si>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</si>
  <si>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</si>
  <si>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</si>
  <si>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</si>
  <si>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</si>
  <si>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</si>
  <si>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</si>
  <si>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</si>
  <si>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</si>
  <si>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</si>
  <si>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</si>
  <si>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</si>
  <si>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</si>
  <si>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</si>
  <si>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</si>
  <si>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</si>
  <si>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</si>
  <si>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</si>
  <si>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</si>
  <si>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</si>
  <si>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</si>
  <si>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</si>
  <si>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</si>
  <si>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</si>
  <si>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</si>
  <si>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</si>
  <si>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</si>
  <si>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</si>
  <si>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</si>
  <si>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</si>
  <si>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</si>
  <si>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</si>
  <si>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</si>
  <si>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</si>
  <si>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</si>
  <si>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</si>
  <si>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</si>
  <si>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</si>
  <si>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</si>
  <si>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</si>
  <si>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</si>
  <si>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</si>
  <si>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</si>
  <si>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</si>
  <si>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</si>
  <si>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</si>
  <si>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</si>
  <si>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</si>
  <si>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</si>
  <si>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</si>
  <si>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</si>
  <si>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</si>
  <si>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</si>
  <si>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</si>
  <si>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</si>
  <si>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</si>
  <si>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</si>
  <si>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</si>
  <si>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</si>
  <si>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</si>
  <si>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</si>
  <si>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</si>
  <si>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</si>
  <si>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</si>
  <si>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</si>
  <si>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</si>
  <si>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</si>
  <si>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</si>
  <si>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</si>
  <si>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</si>
  <si>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</si>
  <si>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</si>
  <si>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</si>
  <si>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</si>
  <si>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</si>
  <si>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</si>
  <si>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</si>
  <si>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</si>
  <si>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</si>
  <si>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</si>
  <si>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</si>
  <si>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</si>
  <si>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</si>
  <si>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</si>
  <si>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</si>
  <si>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</si>
  <si>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</si>
  <si>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</si>
  <si>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</si>
  <si>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</si>
  <si>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</si>
  <si>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</si>
  <si>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</si>
  <si>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</si>
  <si>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</si>
  <si>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</si>
  <si>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</si>
  <si>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</si>
  <si>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</si>
  <si>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</si>
  <si>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</si>
  <si>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</si>
  <si>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</si>
  <si>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</si>
  <si>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</si>
  <si>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</si>
  <si>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</si>
  <si>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</si>
  <si>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</si>
  <si>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</si>
  <si>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</si>
  <si>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</si>
  <si>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</si>
  <si>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</si>
  <si>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</si>
  <si>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</si>
  <si>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</si>
  <si>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</si>
  <si>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</si>
  <si>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</si>
  <si>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</si>
  <si>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</si>
  <si>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</si>
  <si>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</si>
  <si>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</si>
  <si>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</si>
  <si>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</si>
  <si>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</si>
  <si>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</si>
  <si>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</si>
  <si>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</si>
  <si>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</si>
  <si>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</si>
  <si>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</si>
  <si>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</si>
  <si>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</si>
  <si>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</si>
  <si>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</si>
  <si>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</si>
  <si>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</si>
  <si>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</si>
  <si>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</si>
  <si>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</si>
  <si>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</si>
  <si>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</si>
  <si>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</si>
  <si>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</si>
  <si>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</si>
  <si>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</si>
  <si>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</si>
  <si>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</si>
  <si>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</si>
  <si>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</si>
  <si>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</si>
  <si>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</si>
  <si>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</si>
  <si>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</si>
  <si>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</si>
  <si>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</si>
  <si>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</si>
  <si>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</si>
  <si>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</si>
  <si>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</si>
  <si>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</si>
  <si>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</si>
  <si>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</si>
  <si>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</si>
  <si>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</si>
  <si>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</si>
  <si>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</si>
  <si>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</si>
  <si>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</si>
  <si>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</si>
  <si>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</si>
  <si>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</si>
  <si>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</si>
  <si>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</si>
  <si>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</si>
  <si>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</si>
  <si>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</si>
  <si>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</si>
  <si>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</si>
  <si>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</si>
  <si>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</si>
  <si>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</si>
  <si>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</si>
  <si>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</si>
  <si>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</si>
  <si>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</si>
  <si>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</si>
  <si>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</si>
  <si>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</si>
  <si>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</si>
  <si>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</si>
  <si>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</si>
  <si>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</si>
  <si>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</si>
  <si>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</si>
  <si>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</si>
  <si>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</si>
  <si>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</si>
  <si>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</si>
  <si>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</si>
  <si>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</si>
  <si>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</si>
  <si>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</si>
  <si>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</si>
  <si>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</si>
  <si>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</si>
  <si>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</si>
  <si>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</si>
  <si>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</si>
  <si>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</si>
  <si>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</si>
  <si>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</si>
  <si>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</si>
  <si>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</si>
  <si>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</si>
  <si>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</si>
  <si>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</si>
  <si>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</si>
  <si>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</si>
  <si>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</si>
  <si>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</si>
  <si>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</si>
  <si>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</si>
  <si>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</si>
  <si>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</si>
  <si>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</si>
  <si>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</si>
  <si>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</si>
  <si>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</si>
  <si>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</si>
  <si>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</si>
  <si>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</si>
  <si>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</si>
  <si>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</si>
  <si>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</si>
  <si>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</si>
  <si>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</si>
  <si>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</si>
  <si>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</si>
  <si>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</si>
  <si>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</si>
  <si>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</si>
  <si>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</si>
  <si>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</si>
  <si>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</si>
  <si>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</si>
  <si>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</si>
  <si>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</si>
  <si>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</si>
  <si>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</si>
  <si>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</si>
  <si>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</si>
  <si>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</si>
  <si>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</si>
  <si>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</si>
  <si>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</si>
  <si>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</si>
  <si>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</si>
  <si>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</si>
  <si>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</si>
  <si>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</si>
  <si>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</si>
  <si>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</si>
  <si>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</si>
  <si>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</si>
  <si>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</si>
  <si>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</si>
  <si>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</si>
  <si>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</si>
  <si>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</si>
  <si>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</si>
  <si>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</si>
  <si>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</si>
  <si>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</si>
  <si>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</si>
  <si>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</si>
  <si>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</si>
  <si>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</si>
  <si>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</si>
  <si>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</si>
  <si>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</si>
  <si>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</si>
  <si>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</si>
  <si>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</si>
  <si>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</si>
  <si>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</si>
  <si>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</si>
  <si>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</si>
  <si>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</si>
  <si>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</si>
  <si>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</si>
  <si>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</si>
  <si>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</si>
  <si>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</si>
  <si>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</si>
  <si>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</si>
  <si>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</si>
  <si>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</si>
  <si>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</si>
  <si>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</si>
  <si>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</si>
  <si>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</si>
  <si>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</si>
  <si>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</si>
  <si>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</si>
  <si>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</si>
  <si>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</si>
  <si>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</si>
  <si>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</si>
  <si>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</si>
  <si>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</si>
  <si>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</si>
  <si>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</si>
  <si>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</si>
  <si>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</si>
  <si>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</si>
  <si>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</si>
  <si>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</si>
  <si>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</si>
  <si>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</si>
  <si>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</si>
  <si>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</si>
  <si>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</si>
  <si>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</si>
  <si>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</si>
  <si>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</si>
  <si>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</si>
  <si>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</si>
  <si>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</si>
  <si>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</si>
  <si>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</si>
  <si>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</si>
  <si>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</si>
  <si>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</si>
  <si>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</si>
  <si>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</si>
  <si>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</si>
  <si>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</si>
  <si>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</si>
  <si>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</si>
  <si>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</si>
  <si>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</si>
  <si>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</si>
  <si>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</si>
  <si>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</si>
  <si>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</si>
  <si>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</si>
  <si>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</si>
  <si>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</si>
  <si>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</si>
  <si>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</si>
  <si>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</si>
  <si>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</si>
  <si>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</si>
  <si>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</si>
  <si>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</si>
  <si>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</si>
  <si>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</si>
  <si>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</si>
  <si>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</si>
  <si>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</si>
  <si>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</si>
  <si>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</si>
  <si>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</si>
  <si>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</si>
  <si>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</si>
  <si>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</si>
  <si>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</si>
  <si>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</si>
  <si>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</si>
  <si>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</si>
  <si>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</si>
  <si>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</si>
  <si>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</si>
  <si>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</si>
  <si>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</si>
  <si>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</si>
  <si>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</si>
  <si>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</si>
  <si>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</si>
  <si>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</si>
  <si>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</si>
  <si>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</si>
  <si>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</si>
  <si>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</si>
  <si>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</si>
  <si>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</si>
  <si>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</si>
  <si>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</si>
  <si>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</si>
  <si>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</si>
  <si>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</si>
  <si>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</si>
  <si>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</si>
  <si>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</si>
  <si>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</si>
  <si>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</si>
  <si>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</si>
  <si>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</si>
  <si>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</si>
  <si>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</si>
  <si>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</si>
  <si>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</si>
  <si>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</si>
  <si>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</si>
  <si>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</si>
  <si>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</si>
  <si>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</si>
  <si>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</si>
  <si>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</si>
  <si>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</si>
  <si>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</si>
  <si>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</si>
  <si>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</si>
  <si>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</si>
  <si>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</si>
  <si>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</si>
  <si>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</si>
  <si>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</si>
  <si>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</si>
  <si>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</si>
  <si>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</si>
  <si>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</si>
  <si>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</si>
  <si>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</si>
  <si>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</si>
  <si>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</si>
  <si>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</si>
  <si>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</si>
  <si>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</si>
  <si>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</si>
  <si>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</si>
  <si>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</si>
  <si>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</si>
  <si>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</si>
  <si>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</si>
  <si>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</si>
  <si>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</si>
  <si>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</si>
  <si>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</si>
  <si>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</si>
  <si>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</si>
  <si>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</si>
  <si>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</si>
  <si>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</si>
  <si>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</si>
  <si>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</si>
  <si>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</si>
  <si>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</si>
  <si>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</si>
  <si>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</si>
  <si>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</si>
  <si>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</si>
  <si>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</si>
  <si>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</si>
  <si>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</si>
  <si>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</si>
  <si>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</si>
  <si>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</si>
  <si>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</si>
  <si>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</si>
  <si>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</si>
  <si>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</si>
  <si>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</si>
  <si>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</si>
  <si>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</si>
  <si>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</si>
  <si>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</si>
  <si>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</si>
  <si>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</si>
  <si>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</si>
  <si>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</si>
  <si>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</si>
  <si>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</si>
  <si>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</si>
  <si>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</si>
  <si>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</si>
  <si>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</si>
  <si>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</si>
  <si>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</si>
  <si>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</si>
  <si>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</si>
  <si>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</si>
  <si>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</si>
  <si>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</si>
  <si>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</si>
  <si>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</si>
  <si>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</si>
  <si>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</si>
  <si>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</si>
  <si>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</si>
  <si>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</si>
  <si>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</si>
  <si>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</si>
  <si>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</si>
  <si>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</si>
  <si>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</si>
  <si>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</si>
  <si>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</si>
  <si>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</si>
  <si>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</si>
  <si>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</si>
  <si>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</si>
  <si>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</si>
  <si>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</si>
  <si>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</si>
  <si>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</si>
  <si>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</si>
  <si>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</si>
  <si>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</si>
  <si>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</si>
  <si>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</si>
  <si>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</si>
  <si>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</si>
  <si>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</si>
  <si>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</si>
  <si>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</si>
  <si>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</si>
  <si>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</si>
  <si>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</si>
  <si>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</si>
  <si>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</si>
  <si>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</si>
  <si>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</si>
  <si>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</si>
  <si>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</si>
  <si>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</si>
  <si>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</si>
  <si>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</si>
  <si>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</si>
  <si>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</si>
  <si>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</si>
  <si>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</si>
  <si>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</si>
  <si>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</si>
  <si>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</si>
  <si>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</si>
  <si>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</si>
  <si>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</si>
  <si>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</si>
  <si>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</si>
  <si>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</si>
  <si>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</si>
  <si>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</si>
  <si>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</si>
  <si>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</si>
  <si>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</si>
  <si>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</si>
  <si>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</si>
  <si>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</si>
  <si>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</si>
  <si>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</si>
  <si>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</si>
  <si>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</si>
  <si>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</si>
  <si>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</si>
  <si>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</si>
  <si>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</si>
  <si>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</si>
  <si>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</si>
  <si>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</si>
  <si>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</si>
  <si>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</si>
  <si>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</si>
  <si>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</si>
  <si>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</si>
  <si>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</si>
  <si>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</si>
  <si>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</si>
  <si>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</si>
  <si>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</si>
  <si>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</si>
  <si>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</si>
  <si>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</si>
  <si>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</si>
  <si>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</si>
  <si>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</si>
  <si>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</si>
  <si>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</si>
  <si>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</si>
  <si>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</si>
  <si>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</si>
  <si>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</si>
  <si>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</si>
  <si>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</si>
  <si>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</si>
  <si>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</si>
  <si>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</si>
  <si>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</si>
  <si>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</si>
  <si>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</si>
  <si>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</si>
  <si>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</si>
  <si>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</si>
  <si>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</si>
  <si>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</si>
  <si>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</si>
  <si>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</si>
  <si>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</si>
  <si>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</si>
  <si>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</si>
  <si>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</si>
  <si>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</si>
  <si>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</si>
  <si>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</si>
  <si>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</si>
  <si>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</si>
  <si>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</si>
  <si>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</si>
  <si>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</si>
  <si>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</si>
  <si>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</si>
  <si>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</si>
  <si>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</si>
  <si>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</si>
  <si>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</si>
  <si>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</si>
  <si>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</si>
  <si>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</si>
  <si>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</si>
  <si>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</si>
  <si>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</si>
  <si>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</si>
  <si>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</si>
  <si>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</si>
  <si>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</si>
  <si>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</si>
  <si>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</si>
  <si>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</si>
  <si>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</si>
  <si>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</si>
  <si>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</si>
  <si>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</si>
  <si>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</si>
  <si>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</si>
  <si>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</si>
  <si>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</si>
  <si>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</si>
  <si>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</si>
  <si>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</si>
  <si>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</si>
  <si>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</si>
  <si>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</si>
  <si>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</si>
  <si>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</si>
  <si>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</si>
  <si>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</si>
  <si>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</si>
  <si>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</si>
  <si>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</si>
  <si>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</si>
  <si>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</si>
  <si>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</si>
  <si>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</si>
  <si>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</si>
  <si>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</si>
  <si>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</si>
  <si>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</si>
  <si>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</si>
  <si>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</si>
  <si>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</si>
  <si>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</si>
  <si>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</si>
  <si>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</si>
  <si>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</si>
  <si>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</si>
  <si>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</si>
  <si>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</si>
  <si>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</si>
  <si>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</si>
  <si>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</si>
  <si>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</si>
  <si>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</si>
  <si>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</si>
  <si>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</si>
  <si>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</si>
  <si>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</si>
  <si>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</si>
  <si>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</si>
  <si>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</si>
  <si>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</si>
  <si>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</si>
  <si>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</si>
  <si>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</si>
  <si>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</si>
  <si>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</si>
  <si>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</si>
  <si>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</si>
  <si>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</si>
  <si>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</si>
  <si>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</si>
  <si>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</si>
  <si>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</si>
  <si>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</si>
  <si>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</si>
  <si>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</si>
  <si>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</si>
  <si>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</si>
  <si>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</si>
  <si>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</si>
  <si>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</si>
  <si>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</si>
  <si>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</si>
  <si>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</si>
  <si>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</si>
  <si>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</si>
  <si>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</si>
  <si>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</si>
  <si>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</si>
  <si>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</si>
  <si>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</si>
  <si>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</si>
  <si>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</si>
  <si>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</si>
  <si>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</si>
  <si>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</si>
  <si>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</si>
  <si>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</si>
  <si>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</si>
  <si>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</si>
  <si>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</si>
  <si>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</si>
  <si>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</si>
  <si>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</si>
  <si>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</si>
  <si>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</si>
  <si>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</si>
  <si>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</si>
  <si>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</si>
  <si>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</si>
  <si>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</si>
  <si>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</si>
  <si>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</si>
  <si>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</si>
  <si>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</si>
  <si>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</si>
  <si>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</si>
  <si>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</si>
  <si>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</si>
  <si>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</si>
  <si>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</si>
  <si>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</si>
  <si>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</si>
  <si>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</si>
  <si>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</si>
  <si>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</si>
  <si>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</si>
  <si>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</si>
  <si>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</si>
  <si>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</si>
  <si>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</si>
  <si>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</si>
  <si>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</si>
  <si>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</si>
  <si>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</si>
  <si>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</si>
  <si>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</si>
  <si>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</si>
  <si>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</si>
  <si>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</si>
  <si>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</si>
  <si>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</si>
  <si>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</si>
  <si>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</si>
  <si>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</si>
  <si>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</si>
  <si>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</si>
  <si>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</si>
  <si>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</si>
  <si>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</si>
  <si>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</si>
  <si>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</si>
  <si>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</si>
  <si>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</si>
  <si>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</si>
  <si>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</si>
  <si>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</si>
  <si>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</si>
  <si>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</si>
  <si>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</si>
  <si>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</si>
  <si>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</si>
  <si>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</si>
  <si>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</si>
  <si>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</si>
  <si>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</si>
  <si>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</si>
  <si>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</si>
  <si>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</si>
  <si>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</si>
  <si>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</si>
  <si>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</si>
  <si>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</si>
  <si>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</si>
  <si>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</si>
  <si>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</si>
  <si>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</si>
  <si>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</si>
  <si>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</si>
  <si>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</si>
  <si>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</si>
  <si>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</si>
  <si>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</si>
  <si>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</si>
  <si>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</si>
  <si>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</si>
  <si>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</si>
  <si>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</si>
  <si>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</si>
  <si>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</si>
  <si>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</si>
  <si>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</si>
  <si>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</si>
  <si>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</si>
  <si>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</si>
  <si>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</si>
  <si>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</si>
  <si>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</si>
  <si>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</si>
  <si>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</si>
  <si>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</si>
  <si>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</si>
  <si>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</si>
  <si>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</si>
  <si>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</si>
  <si>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</si>
  <si>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</si>
  <si>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</si>
  <si>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</si>
  <si>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</si>
  <si>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</si>
  <si>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</si>
  <si>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</si>
  <si>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</si>
  <si>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</si>
  <si>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</si>
  <si>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</si>
  <si>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</si>
  <si>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</si>
  <si>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</si>
  <si>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</si>
  <si>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</si>
  <si>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</si>
  <si>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</si>
  <si>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</si>
  <si>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</si>
  <si>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</si>
  <si>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</si>
  <si>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</si>
  <si>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</si>
  <si>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</si>
  <si>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</si>
  <si>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</si>
  <si>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</si>
  <si>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</si>
  <si>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</si>
  <si>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</si>
  <si>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</si>
  <si>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</si>
  <si>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</si>
  <si>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</si>
  <si>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</si>
  <si>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</si>
  <si>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</si>
  <si>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</si>
  <si>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</si>
  <si>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</si>
  <si>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</si>
  <si>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</si>
  <si>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</si>
  <si>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</si>
  <si>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</si>
  <si>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</si>
  <si>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</si>
  <si>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</si>
  <si>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</si>
  <si>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</si>
  <si>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</si>
  <si>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</si>
  <si>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</si>
  <si>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</si>
  <si>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</si>
  <si>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</si>
  <si>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</si>
  <si>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</si>
  <si>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</si>
  <si>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</si>
  <si>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</si>
  <si>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</si>
  <si>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</si>
  <si>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</si>
  <si>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</si>
  <si>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</si>
  <si>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</si>
  <si>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</si>
  <si>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</si>
  <si>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</si>
  <si>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</si>
  <si>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</si>
  <si>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</si>
  <si>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</si>
  <si>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</si>
  <si>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</si>
  <si>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</si>
  <si>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</si>
  <si>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</si>
  <si>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</si>
  <si>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</si>
  <si>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</si>
  <si>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</si>
  <si>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</si>
  <si>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</si>
  <si>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</si>
  <si>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</si>
  <si>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</si>
  <si>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</si>
  <si>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</si>
  <si>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</si>
  <si>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</si>
  <si>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</si>
  <si>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</si>
  <si>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</si>
  <si>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</si>
  <si>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</si>
  <si>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</si>
  <si>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</si>
  <si>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</si>
  <si>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</si>
  <si>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</si>
  <si>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</si>
  <si>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</si>
  <si>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</si>
  <si>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</si>
  <si>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</si>
  <si>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</si>
  <si>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</si>
  <si>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</si>
  <si>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</si>
  <si>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</si>
  <si>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</si>
  <si>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</si>
  <si>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</si>
  <si>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</si>
  <si>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</si>
  <si>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</si>
  <si>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</si>
  <si>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</si>
  <si>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</si>
  <si>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</si>
  <si>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</si>
  <si>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</si>
  <si>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</si>
  <si>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</si>
  <si>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</si>
  <si>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</si>
  <si>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</si>
  <si>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</si>
  <si>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</si>
  <si>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</si>
  <si>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</si>
  <si>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</si>
  <si>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</si>
  <si>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</si>
  <si>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</si>
  <si>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</si>
  <si>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</si>
  <si>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</si>
  <si>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</si>
  <si>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</si>
  <si>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</si>
  <si>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</si>
  <si>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</si>
  <si>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</si>
  <si>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</si>
  <si>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</si>
  <si>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</si>
  <si>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</si>
  <si>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</si>
  <si>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</si>
  <si>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</si>
  <si>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</si>
  <si>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</si>
  <si>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</si>
  <si>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</si>
  <si>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</si>
  <si>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</si>
  <si>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</si>
  <si>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</si>
  <si>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</si>
  <si>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</si>
  <si>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</si>
  <si>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</si>
  <si>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</si>
  <si>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</si>
  <si>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</si>
  <si>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</si>
  <si>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</si>
  <si>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</si>
  <si>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</si>
  <si>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</si>
  <si>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</si>
  <si>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</si>
  <si>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</si>
  <si>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</si>
  <si>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</si>
  <si>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</si>
  <si>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</si>
  <si>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</si>
  <si>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</si>
  <si>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</si>
  <si>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</si>
  <si>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</si>
  <si>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</si>
  <si>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</si>
  <si>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</si>
  <si>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</si>
  <si>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</si>
  <si>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</si>
  <si>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</si>
  <si>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</si>
  <si>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</si>
  <si>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</si>
  <si>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</si>
  <si>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</si>
  <si>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</si>
  <si>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</si>
  <si>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</si>
  <si>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</si>
  <si>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</si>
  <si>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</si>
  <si>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</si>
  <si>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</si>
  <si>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</si>
  <si>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</si>
  <si>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</si>
  <si>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</si>
  <si>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</si>
  <si>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</si>
  <si>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</si>
  <si>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</si>
  <si>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</si>
  <si>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</si>
  <si>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</si>
  <si>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</si>
  <si>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</si>
  <si>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</si>
  <si>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</si>
  <si>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</si>
  <si>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</si>
  <si>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</si>
  <si>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</si>
  <si>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</si>
  <si>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</si>
  <si>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</si>
  <si>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</si>
  <si>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</si>
  <si>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</si>
  <si>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</si>
  <si>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</si>
  <si>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</si>
  <si>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</si>
  <si>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</si>
  <si>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</si>
  <si>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</si>
  <si>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</si>
  <si>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</si>
  <si>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</si>
  <si>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</si>
  <si>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</si>
  <si>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</si>
  <si>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</si>
  <si>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</si>
  <si>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</si>
  <si>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</si>
  <si>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</si>
  <si>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</si>
  <si>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</si>
  <si>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</si>
  <si>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</si>
  <si>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</si>
  <si>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</si>
  <si>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</si>
  <si>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</si>
  <si>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</si>
  <si>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</si>
  <si>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</si>
  <si>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</si>
  <si>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</si>
  <si>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</si>
  <si>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</si>
  <si>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</si>
  <si>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</si>
  <si>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</si>
  <si>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</si>
  <si>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</si>
  <si>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</si>
  <si>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</si>
  <si>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</si>
  <si>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</si>
  <si>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</si>
  <si>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</si>
  <si>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</si>
  <si>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</si>
  <si>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</si>
  <si>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</si>
  <si>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</si>
  <si>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</si>
  <si>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</si>
  <si>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</si>
  <si>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</si>
  <si>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</si>
  <si>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</si>
  <si>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</si>
  <si>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</si>
  <si>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</si>
  <si>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</si>
  <si>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</si>
  <si>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</si>
  <si>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</si>
  <si>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</si>
  <si>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</si>
  <si>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</si>
  <si>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</si>
  <si>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</si>
  <si>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</si>
  <si>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</si>
  <si>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</si>
  <si>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</si>
  <si>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</si>
  <si>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</si>
  <si>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</si>
  <si>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</si>
  <si>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</si>
  <si>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</si>
  <si>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</si>
  <si>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</si>
  <si>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</si>
  <si>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</si>
  <si>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</si>
  <si>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</si>
  <si>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</si>
  <si>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</si>
  <si>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</si>
  <si>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</si>
  <si>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</si>
  <si>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</si>
  <si>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</si>
  <si>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</si>
  <si>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</si>
  <si>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</si>
  <si>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</si>
  <si>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</si>
  <si>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</si>
  <si>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</si>
  <si>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</si>
  <si>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</si>
  <si>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</si>
  <si>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</si>
  <si>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</si>
  <si>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</si>
  <si>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</si>
  <si>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</si>
  <si>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</si>
  <si>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</si>
  <si>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</si>
  <si>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</si>
  <si>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</si>
  <si>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</si>
  <si>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</si>
  <si>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</si>
  <si>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</si>
  <si>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</si>
  <si>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</si>
  <si>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</si>
  <si>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</si>
  <si>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</si>
  <si>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</si>
  <si>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</si>
  <si>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</si>
  <si>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</si>
  <si>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</si>
  <si>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</si>
  <si>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</si>
  <si>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</si>
  <si>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</si>
  <si>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</si>
  <si>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</si>
  <si>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</si>
  <si>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</si>
  <si>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</si>
  <si>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</si>
  <si>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</si>
  <si>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</si>
  <si>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</si>
  <si>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</si>
  <si>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</si>
  <si>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</si>
  <si>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</si>
  <si>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</si>
  <si>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</si>
  <si>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</si>
  <si>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</si>
  <si>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</si>
  <si>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</si>
  <si>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</si>
  <si>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</si>
  <si>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</si>
  <si>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</si>
  <si>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</si>
  <si>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</si>
  <si>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</si>
  <si>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</si>
  <si>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</si>
  <si>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</si>
  <si>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</si>
  <si>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</si>
  <si>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</si>
  <si>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</si>
  <si>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</si>
  <si>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</si>
  <si>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</si>
  <si>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</si>
  <si>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</si>
  <si>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</si>
  <si>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</si>
  <si>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</si>
  <si>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</si>
  <si>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</si>
  <si>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</si>
  <si>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</si>
  <si>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</si>
  <si>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</si>
  <si>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</si>
  <si>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</si>
  <si>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</si>
  <si>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</si>
  <si>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</si>
  <si>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</si>
  <si>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</si>
  <si>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</si>
  <si>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</si>
  <si>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</si>
  <si>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</si>
  <si>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</si>
  <si>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</si>
  <si>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</si>
  <si>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</si>
  <si>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</si>
  <si>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</si>
  <si>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</si>
  <si>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</si>
  <si>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</si>
  <si>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</si>
  <si>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</si>
  <si>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</si>
  <si>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</si>
  <si>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</si>
  <si>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</si>
  <si>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</si>
  <si>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</si>
  <si>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</si>
  <si>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</si>
  <si>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</si>
  <si>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</si>
  <si>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</si>
  <si>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</si>
  <si>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</si>
  <si>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</si>
  <si>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</si>
  <si>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</si>
  <si>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</si>
  <si>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</si>
  <si>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</si>
  <si>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</si>
  <si>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</si>
  <si>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</si>
  <si>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</si>
  <si>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</si>
  <si>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</si>
  <si>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</si>
  <si>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</si>
  <si>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</si>
  <si>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</si>
  <si>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</si>
  <si>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</si>
  <si>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</si>
  <si>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</si>
  <si>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</si>
  <si>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</si>
  <si>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</si>
  <si>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</si>
  <si>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</si>
  <si>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</si>
  <si>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</si>
  <si>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</si>
  <si>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</si>
  <si>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</si>
  <si>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</si>
  <si>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</si>
  <si>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</si>
  <si>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</si>
  <si>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</si>
  <si>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</si>
  <si>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</si>
  <si>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</si>
  <si>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</si>
  <si>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</si>
  <si>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</si>
  <si>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</si>
  <si>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</si>
  <si>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</si>
  <si>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</si>
  <si>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</si>
  <si>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</si>
  <si>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</si>
  <si>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</si>
  <si>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</si>
  <si>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</si>
  <si>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</si>
  <si>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</si>
  <si>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</si>
  <si>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</si>
  <si>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</si>
  <si>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</si>
  <si>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</si>
  <si>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</si>
  <si>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</si>
  <si>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</si>
  <si>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</si>
  <si>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</si>
  <si>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</si>
  <si>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</si>
  <si>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</si>
  <si>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</si>
  <si>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</si>
  <si>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</si>
  <si>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</si>
  <si>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</si>
  <si>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</si>
  <si>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</si>
  <si>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</si>
  <si>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</si>
  <si>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</si>
  <si>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</si>
  <si>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</si>
  <si>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</si>
  <si>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</si>
  <si>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</si>
  <si>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</si>
  <si>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</si>
  <si>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</si>
  <si>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</si>
  <si>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</si>
  <si>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</si>
  <si>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</si>
  <si>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</si>
  <si>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</si>
  <si>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</si>
  <si>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</si>
  <si>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</si>
  <si>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</si>
  <si>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</si>
  <si>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</si>
  <si>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</si>
  <si>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</si>
  <si>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</si>
  <si>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</si>
  <si>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</si>
  <si>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</si>
  <si>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</si>
  <si>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</si>
  <si>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</si>
  <si>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</si>
  <si>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</si>
  <si>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</si>
  <si>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</si>
  <si>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</si>
  <si>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</si>
  <si>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</si>
  <si>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</si>
  <si>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</si>
  <si>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</si>
  <si>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</si>
  <si>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</si>
  <si>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</si>
  <si>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</si>
  <si>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</si>
  <si>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</si>
  <si>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</si>
  <si>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</si>
  <si>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</si>
  <si>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</si>
  <si>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</si>
  <si>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</si>
  <si>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</si>
  <si>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</si>
  <si>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</si>
  <si>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</si>
  <si>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</si>
  <si>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</si>
  <si>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</si>
  <si>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</si>
  <si>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</si>
  <si>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</si>
  <si>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</si>
  <si>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</si>
  <si>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</si>
  <si>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</si>
  <si>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</si>
  <si>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</si>
  <si>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</si>
  <si>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</si>
  <si>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</si>
  <si>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</si>
  <si>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</si>
  <si>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</si>
  <si>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</si>
  <si>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</si>
  <si>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</si>
  <si>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</si>
  <si>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</si>
  <si>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</si>
  <si>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</si>
  <si>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</si>
  <si>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</si>
  <si>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</si>
  <si>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</si>
  <si>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</si>
  <si>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</si>
  <si>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</si>
  <si>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</si>
  <si>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</si>
  <si>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</si>
  <si>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</si>
  <si>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</si>
  <si>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</si>
  <si>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</si>
  <si>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</si>
  <si>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</si>
  <si>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</si>
  <si>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</si>
  <si>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</si>
  <si>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</si>
  <si>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</si>
  <si>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</si>
  <si>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</si>
  <si>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</si>
  <si>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</si>
  <si>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</si>
  <si>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</si>
  <si>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</si>
  <si>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</si>
  <si>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</si>
  <si>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</si>
  <si>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</si>
  <si>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</si>
  <si>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</si>
  <si>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</si>
  <si>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</si>
  <si>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</si>
  <si>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</si>
  <si>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</si>
  <si>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</si>
  <si>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</si>
  <si>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</si>
  <si>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</si>
  <si>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</si>
  <si>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</si>
  <si>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</si>
  <si>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</si>
  <si>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</si>
  <si>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</si>
  <si>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</si>
  <si>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</si>
  <si>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</si>
  <si>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</si>
  <si>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</si>
  <si>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</si>
  <si>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</si>
  <si>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</si>
  <si>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</si>
  <si>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</si>
  <si>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</si>
  <si>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</si>
  <si>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</si>
  <si>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</si>
  <si>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</si>
  <si>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</si>
  <si>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</si>
  <si>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</si>
  <si>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</si>
  <si>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</si>
  <si>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</si>
  <si>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</si>
  <si>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</si>
  <si>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</si>
  <si>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</si>
  <si>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</si>
  <si>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</si>
  <si>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</si>
  <si>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</si>
  <si>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</si>
  <si>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</si>
  <si>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</si>
  <si>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</si>
  <si>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</si>
  <si>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</si>
  <si>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</si>
  <si>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</si>
  <si>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</si>
  <si>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</si>
  <si>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</si>
  <si>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</si>
  <si>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</si>
  <si>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</si>
  <si>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</si>
  <si>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</si>
  <si>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</si>
  <si>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</si>
  <si>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</si>
  <si>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</si>
  <si>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</si>
  <si>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</si>
  <si>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</si>
  <si>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</si>
  <si>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</si>
  <si>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</si>
  <si>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</si>
  <si>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</si>
  <si>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</si>
  <si>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</si>
  <si>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</si>
  <si>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</si>
  <si>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</si>
  <si>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</si>
  <si>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</si>
  <si>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</si>
  <si>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</si>
  <si>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</si>
  <si>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</si>
  <si>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</si>
  <si>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</si>
  <si>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</si>
  <si>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</si>
  <si>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</si>
  <si>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</si>
  <si>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</si>
  <si>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</si>
  <si>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</si>
  <si>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</si>
  <si>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</si>
  <si>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</si>
  <si>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</si>
  <si>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</si>
  <si>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</si>
  <si>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</si>
  <si>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</si>
  <si>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</si>
  <si>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</si>
  <si>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</si>
  <si>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</si>
  <si>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</si>
  <si>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</si>
  <si>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</si>
  <si>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</si>
  <si>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</si>
  <si>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</si>
  <si>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</si>
  <si>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</si>
  <si>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</si>
  <si>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</si>
  <si>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</si>
  <si>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</si>
  <si>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</si>
  <si>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</si>
  <si>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</si>
  <si>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</si>
  <si>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</si>
  <si>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</si>
  <si>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</si>
  <si>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</si>
  <si>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</si>
  <si>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</si>
  <si>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</si>
  <si>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</si>
  <si>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</si>
  <si>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</si>
  <si>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</si>
  <si>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</si>
  <si>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</si>
  <si>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</si>
  <si>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</si>
  <si>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</si>
  <si>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</si>
  <si>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</si>
  <si>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</si>
  <si>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</si>
  <si>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</si>
  <si>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</si>
  <si>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</si>
  <si>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</si>
  <si>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</si>
  <si>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</si>
  <si>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</si>
  <si>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</si>
  <si>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</si>
  <si>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</si>
  <si>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</si>
  <si>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</si>
  <si>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</si>
  <si>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</si>
  <si>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</si>
  <si>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</si>
  <si>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</si>
  <si>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</si>
  <si>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</si>
  <si>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</si>
  <si>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</si>
  <si>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</si>
  <si>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</si>
  <si>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</si>
  <si>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</si>
  <si>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</si>
  <si>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</si>
  <si>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</si>
  <si>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</si>
  <si>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</si>
  <si>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</si>
  <si>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</si>
  <si>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</si>
  <si>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</si>
  <si>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</si>
  <si>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</si>
  <si>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</si>
  <si>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</si>
  <si>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</si>
  <si>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</si>
  <si>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</si>
  <si>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</si>
  <si>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</si>
  <si>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</si>
  <si>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</si>
  <si>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</si>
  <si>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</si>
  <si>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</si>
  <si>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</si>
  <si>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</si>
  <si>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</si>
  <si>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</si>
  <si>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</si>
  <si>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</si>
  <si>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</si>
  <si>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</si>
  <si>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</si>
  <si>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</si>
  <si>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</si>
  <si>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</si>
  <si>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</si>
  <si>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</si>
  <si>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</si>
  <si>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</si>
  <si>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</si>
  <si>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</si>
  <si>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</si>
  <si>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</si>
  <si>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</si>
  <si>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</si>
  <si>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</si>
  <si>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</si>
  <si>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</si>
  <si>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</si>
  <si>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</si>
  <si>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</si>
  <si>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</si>
  <si>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</si>
  <si>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</si>
  <si>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</si>
  <si>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</si>
  <si>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</si>
  <si>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</si>
  <si>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</si>
  <si>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</si>
  <si>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</si>
  <si>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</si>
  <si>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</si>
  <si>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</si>
  <si>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</si>
  <si>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</si>
  <si>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</si>
  <si>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</si>
  <si>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</si>
  <si>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</si>
  <si>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</si>
  <si>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</si>
  <si>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</si>
  <si>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</si>
  <si>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</si>
  <si>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</si>
  <si>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</si>
  <si>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</si>
  <si>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</si>
  <si>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</si>
  <si>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</si>
  <si>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</si>
  <si>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</si>
  <si>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</si>
  <si>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</si>
  <si>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</si>
  <si>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</si>
  <si>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</si>
  <si>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</si>
  <si>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</si>
  <si>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</si>
  <si>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</si>
  <si>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</si>
  <si>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</si>
  <si>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</si>
  <si>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</si>
  <si>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</si>
  <si>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</si>
  <si>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</si>
  <si>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</si>
  <si>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</si>
  <si>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</si>
  <si>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</si>
  <si>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</si>
  <si>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</si>
  <si>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</si>
  <si>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</si>
  <si>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</si>
  <si>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</si>
  <si>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</si>
  <si>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</si>
  <si>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</si>
  <si>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</si>
  <si>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</si>
  <si>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</si>
  <si>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</si>
  <si>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</si>
  <si>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</si>
  <si>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</si>
  <si>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</si>
  <si>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</si>
  <si>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</si>
  <si>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</si>
  <si>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</si>
  <si>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</si>
  <si>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</si>
  <si>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</si>
  <si>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</si>
  <si>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</si>
  <si>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</si>
  <si>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</si>
  <si>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</si>
  <si>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</si>
  <si>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</si>
  <si>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</si>
  <si>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</si>
  <si>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</si>
  <si>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</si>
  <si>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</si>
  <si>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</si>
  <si>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</si>
  <si>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</si>
  <si>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</si>
  <si>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</si>
  <si>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</si>
  <si>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</si>
  <si>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</si>
  <si>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</si>
  <si>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</si>
  <si>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</si>
  <si>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</si>
  <si>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</si>
  <si>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</si>
  <si>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</si>
  <si>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</si>
  <si>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</si>
  <si>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</si>
  <si>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</si>
  <si>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</si>
  <si>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</si>
  <si>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</si>
  <si>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</si>
  <si>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</si>
  <si>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</si>
  <si>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</si>
  <si>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</si>
  <si>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</si>
  <si>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</si>
  <si>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</si>
  <si>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</si>
  <si>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</si>
  <si>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</si>
  <si>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</si>
  <si>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</si>
  <si>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</si>
  <si>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</si>
  <si>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</si>
  <si>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</si>
  <si>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</si>
  <si>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</si>
  <si>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</si>
  <si>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</si>
  <si>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</si>
  <si>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</si>
  <si>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</si>
  <si>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</si>
  <si>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</si>
  <si>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</si>
  <si>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</si>
  <si>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</si>
  <si>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</si>
  <si>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</si>
  <si>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</si>
  <si>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</si>
  <si>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</si>
  <si>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</si>
  <si>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</si>
  <si>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</si>
  <si>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</si>
  <si>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</si>
  <si>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</si>
  <si>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</si>
  <si>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</si>
  <si>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</si>
  <si>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</si>
  <si>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</si>
  <si>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</si>
  <si>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</si>
  <si>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</si>
  <si>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</si>
  <si>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</si>
  <si>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</si>
  <si>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</si>
  <si>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</si>
  <si>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</si>
  <si>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</si>
  <si>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</si>
  <si>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</si>
  <si>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</si>
  <si>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</si>
  <si>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</si>
  <si>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</si>
  <si>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</si>
  <si>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</si>
  <si>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</si>
  <si>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</si>
  <si>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</si>
  <si>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</si>
  <si>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</si>
  <si>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</si>
  <si>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</si>
  <si>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</si>
  <si>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</si>
  <si>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</si>
  <si>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</si>
  <si>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</si>
  <si>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</si>
  <si>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</si>
  <si>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</si>
  <si>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</si>
  <si>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</si>
  <si>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</si>
  <si>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</si>
  <si>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</si>
  <si>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</si>
  <si>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</si>
  <si>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</si>
  <si>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</si>
  <si>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</si>
  <si>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</si>
  <si>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</si>
  <si>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</si>
  <si>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</si>
  <si>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</si>
  <si>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</si>
  <si>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</si>
  <si>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</si>
  <si>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</si>
  <si>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</si>
  <si>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</si>
  <si>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</si>
  <si>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</si>
  <si>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</si>
  <si>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</si>
  <si>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</si>
  <si>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</si>
  <si>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</si>
  <si>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</si>
  <si>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</si>
  <si>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</si>
  <si>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</si>
  <si>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</si>
  <si>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</si>
  <si>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</si>
  <si>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</si>
  <si>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</si>
  <si>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</si>
  <si>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</si>
  <si>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</si>
  <si>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</si>
  <si>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</si>
  <si>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</si>
  <si>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</si>
  <si>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</si>
  <si>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</si>
  <si>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</si>
  <si>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</si>
  <si>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</si>
  <si>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</si>
  <si>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</si>
  <si>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</si>
  <si>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</si>
  <si>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</si>
  <si>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</si>
  <si>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</si>
  <si>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</si>
  <si>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</si>
  <si>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</si>
  <si>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</si>
  <si>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</si>
  <si>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</si>
  <si>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</si>
  <si>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</si>
  <si>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</si>
  <si>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</si>
  <si>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</si>
  <si>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</si>
  <si>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</si>
  <si>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</si>
  <si>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</si>
  <si>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</si>
  <si>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</si>
  <si>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</si>
  <si>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</si>
  <si>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</si>
  <si>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</si>
  <si>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</si>
  <si>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</si>
  <si>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</si>
  <si>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</si>
  <si>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</si>
  <si>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</si>
  <si>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</si>
  <si>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</si>
  <si>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</si>
  <si>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</si>
  <si>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</si>
  <si>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</si>
  <si>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</si>
  <si>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</si>
  <si>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</si>
  <si>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</si>
  <si>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</si>
  <si>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</si>
  <si>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</si>
  <si>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</si>
  <si>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</si>
  <si>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</si>
  <si>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</si>
  <si>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</si>
  <si>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</si>
  <si>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</si>
  <si>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</si>
  <si>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</si>
  <si>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</si>
  <si>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</si>
  <si>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</si>
  <si>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</si>
  <si>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</si>
  <si>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</si>
  <si>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</si>
  <si>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</si>
  <si>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</si>
  <si>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</si>
  <si>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</si>
  <si>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</si>
  <si>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</si>
  <si>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</si>
  <si>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</si>
  <si>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</si>
  <si>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</si>
  <si>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</si>
  <si>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</si>
  <si>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</si>
  <si>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</si>
  <si>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</si>
  <si>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</si>
  <si>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</si>
  <si>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</si>
  <si>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</si>
  <si>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</si>
  <si>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</si>
  <si>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</si>
  <si>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</si>
  <si>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</si>
  <si>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</si>
  <si>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</si>
  <si>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</si>
  <si>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</si>
  <si>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</si>
  <si>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</si>
  <si>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</si>
  <si>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</si>
  <si>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</si>
  <si>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</si>
  <si>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</si>
  <si>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</si>
  <si>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</si>
  <si>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</si>
  <si>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</si>
  <si>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</si>
  <si>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</si>
  <si>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</si>
  <si>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</si>
  <si>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</si>
  <si>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</si>
  <si>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</si>
  <si>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</si>
  <si>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</si>
  <si>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</si>
  <si>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</si>
  <si>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</si>
  <si>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</si>
  <si>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</si>
  <si>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</si>
  <si>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</si>
  <si>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</si>
  <si>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</si>
  <si>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</si>
  <si>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</si>
  <si>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</si>
  <si>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</si>
  <si>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</si>
  <si>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</si>
  <si>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</si>
  <si>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</si>
  <si>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</si>
  <si>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</si>
  <si>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</si>
  <si>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</si>
  <si>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</si>
  <si>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</si>
  <si>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</si>
  <si>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</si>
  <si>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</si>
  <si>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</si>
  <si>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</si>
  <si>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</si>
  <si>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</si>
  <si>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</si>
  <si>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</si>
  <si>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</si>
  <si>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</si>
  <si>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</si>
  <si>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</si>
  <si>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</si>
  <si>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</si>
  <si>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</si>
  <si>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</si>
  <si>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</si>
  <si>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</si>
  <si>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</si>
  <si>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</si>
  <si>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</si>
  <si>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</si>
  <si>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</si>
  <si>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</si>
  <si>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</si>
  <si>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</si>
  <si>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</si>
  <si>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</si>
  <si>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</si>
  <si>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</si>
  <si>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</si>
  <si>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</si>
  <si>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</si>
  <si>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</si>
  <si>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</si>
  <si>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</si>
  <si>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</si>
  <si>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</si>
  <si>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</si>
  <si>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</si>
  <si>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</si>
  <si>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</si>
  <si>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</si>
  <si>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</si>
  <si>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</si>
  <si>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</si>
  <si>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</si>
  <si>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</si>
  <si>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</si>
  <si>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</si>
  <si>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</si>
  <si>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</si>
  <si>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</si>
  <si>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</si>
  <si>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</si>
  <si>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</si>
  <si>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</si>
  <si>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</si>
  <si>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</si>
  <si>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</si>
  <si>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</si>
  <si>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</si>
  <si>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</si>
  <si>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</si>
  <si>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</si>
  <si>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</si>
  <si>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</si>
  <si>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</si>
  <si>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</si>
  <si>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</si>
  <si>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</si>
  <si>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</si>
  <si>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</si>
  <si>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</si>
  <si>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</si>
  <si>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</si>
  <si>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</si>
  <si>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</si>
  <si>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</si>
  <si>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</si>
  <si>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</si>
  <si>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</si>
  <si>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</si>
  <si>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</si>
  <si>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</si>
  <si>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</si>
  <si>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</si>
  <si>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</si>
  <si>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</si>
  <si>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</si>
  <si>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</si>
  <si>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</si>
  <si>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</si>
  <si>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</si>
  <si>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</si>
  <si>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</si>
  <si>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</si>
  <si>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</si>
  <si>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</si>
  <si>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</si>
  <si>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</si>
  <si>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</si>
  <si>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</si>
  <si>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</si>
  <si>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</si>
  <si>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</si>
  <si>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</si>
  <si>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</si>
  <si>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</si>
  <si>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</si>
  <si>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</si>
  <si>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</si>
  <si>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</si>
  <si>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</si>
  <si>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</si>
  <si>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</si>
  <si>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</si>
  <si>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</si>
  <si>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</si>
  <si>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</si>
  <si>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</si>
  <si>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</si>
  <si>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</si>
  <si>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</si>
  <si>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</si>
  <si>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</si>
  <si>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</si>
  <si>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</si>
  <si>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</si>
  <si>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</si>
  <si>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</si>
  <si>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</si>
  <si>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</si>
  <si>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</si>
  <si>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</si>
  <si>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</si>
  <si>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</si>
  <si>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</si>
  <si>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</si>
  <si>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</si>
  <si>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</si>
  <si>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</si>
  <si>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</si>
  <si>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</si>
  <si>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</si>
  <si>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</si>
  <si>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</si>
  <si>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</si>
  <si>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</si>
  <si>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</si>
  <si>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</si>
  <si>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</si>
  <si>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</si>
  <si>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</si>
  <si>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</si>
  <si>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</si>
  <si>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</si>
  <si>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</si>
  <si>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</si>
  <si>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</si>
  <si>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</si>
  <si>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</si>
  <si>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</si>
  <si>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</si>
  <si>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</si>
  <si>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</si>
  <si>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</si>
  <si>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</si>
  <si>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</si>
  <si>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</si>
  <si>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</si>
  <si>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</si>
  <si>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</si>
  <si>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</si>
  <si>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</si>
  <si>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</si>
  <si>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</si>
  <si>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</si>
  <si>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</si>
  <si>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</si>
  <si>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</si>
  <si>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</si>
  <si>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</si>
  <si>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</si>
  <si>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</si>
  <si>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</si>
  <si>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</si>
  <si>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</si>
  <si>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</si>
  <si>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</si>
  <si>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</si>
  <si>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</si>
  <si>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</si>
  <si>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</si>
  <si>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</si>
  <si>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</si>
  <si>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</si>
  <si>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</si>
  <si>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</si>
  <si>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</si>
  <si>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</si>
  <si>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</si>
  <si>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</si>
  <si>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</si>
  <si>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</si>
  <si>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</si>
  <si>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</si>
  <si>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</si>
  <si>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</si>
  <si>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</si>
  <si>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</si>
  <si>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</si>
  <si>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</si>
  <si>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</si>
  <si>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</si>
  <si>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</si>
  <si>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</si>
  <si>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</si>
  <si>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</si>
  <si>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</si>
  <si>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</si>
  <si>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</si>
  <si>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</si>
  <si>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</si>
  <si>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</si>
  <si>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</si>
  <si>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</si>
  <si>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</si>
  <si>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</si>
  <si>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</si>
  <si>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</si>
  <si>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</si>
  <si>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</si>
  <si>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</si>
  <si>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</si>
  <si>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</si>
  <si>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</si>
  <si>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</si>
  <si>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</si>
  <si>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</si>
  <si>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</si>
  <si>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</si>
  <si>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</si>
  <si>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</si>
  <si>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</si>
  <si>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</si>
  <si>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</si>
  <si>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</si>
  <si>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</si>
  <si>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</si>
  <si>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</si>
  <si>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</si>
  <si>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</si>
  <si>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</si>
  <si>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</si>
  <si>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</si>
  <si>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</si>
  <si>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</si>
  <si>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</si>
  <si>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</si>
  <si>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</si>
  <si>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</si>
  <si>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</si>
  <si>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</si>
  <si>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</si>
  <si>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</si>
  <si>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</si>
  <si>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</si>
  <si>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</si>
  <si>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</si>
  <si>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</si>
  <si>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</si>
  <si>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</si>
  <si>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</si>
  <si>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</si>
  <si>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</si>
  <si>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</si>
  <si>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</si>
  <si>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</si>
  <si>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</si>
  <si>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</si>
  <si>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</si>
  <si>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</si>
  <si>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</si>
  <si>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</si>
  <si>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</si>
  <si>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</si>
  <si>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</si>
  <si>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</si>
  <si>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</si>
  <si>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</si>
  <si>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</si>
  <si>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</si>
  <si>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</si>
  <si>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</si>
  <si>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</si>
  <si>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</si>
  <si>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</si>
  <si>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</si>
  <si>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</si>
  <si>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</si>
  <si>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</si>
  <si>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</si>
  <si>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</si>
  <si>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</si>
  <si>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</si>
  <si>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</si>
  <si>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</si>
  <si>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</si>
  <si>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</si>
  <si>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</si>
  <si>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</si>
  <si>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</si>
  <si>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</si>
  <si>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</si>
  <si>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</si>
  <si>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</si>
  <si>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</si>
  <si>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</si>
  <si>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</si>
  <si>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</si>
  <si>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</si>
  <si>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</si>
  <si>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</si>
  <si>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</si>
  <si>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</si>
  <si>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</si>
  <si>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</si>
  <si>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</si>
  <si>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</si>
  <si>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</si>
  <si>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</si>
  <si>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</si>
  <si>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</si>
  <si>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</si>
  <si>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</si>
  <si>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</si>
  <si>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</si>
  <si>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</si>
  <si>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</si>
  <si>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</si>
  <si>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</si>
  <si>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</si>
  <si>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</si>
  <si>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</si>
  <si>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</si>
  <si>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</si>
  <si>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</si>
  <si>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</si>
  <si>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</si>
  <si>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</si>
  <si>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</si>
  <si>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</si>
  <si>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</si>
  <si>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</si>
  <si>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</si>
  <si>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</si>
  <si>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</si>
  <si>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</si>
  <si>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</si>
  <si>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</si>
  <si>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</si>
  <si>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</si>
  <si>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</si>
  <si>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</si>
  <si>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</si>
  <si>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</si>
  <si>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</si>
  <si>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</si>
  <si>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</si>
  <si>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</si>
  <si>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</si>
  <si>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</si>
  <si>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</si>
  <si>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</si>
  <si>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</si>
  <si>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</si>
  <si>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</si>
  <si>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</si>
  <si>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</si>
  <si>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</si>
  <si>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</si>
  <si>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</si>
  <si>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</si>
  <si>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</si>
  <si>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</si>
  <si>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</si>
  <si>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</si>
  <si>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</si>
  <si>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</si>
  <si>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</si>
  <si>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</si>
  <si>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</si>
  <si>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</si>
  <si>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</si>
  <si>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</si>
  <si>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</si>
  <si>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</si>
  <si>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</si>
  <si>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</si>
  <si>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</si>
  <si>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</si>
  <si>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</si>
  <si>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</si>
  <si>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</si>
  <si>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</si>
  <si>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</si>
  <si>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</si>
  <si>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</si>
  <si>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</si>
  <si>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</si>
  <si>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</si>
  <si>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</si>
  <si>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</si>
  <si>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</si>
  <si>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</si>
  <si>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</si>
  <si>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</si>
  <si>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</si>
  <si>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</si>
  <si>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</si>
  <si>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</si>
  <si>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</si>
  <si>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</si>
  <si>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</si>
  <si>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</si>
  <si>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</si>
  <si>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</si>
  <si>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</si>
  <si>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</si>
  <si>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</si>
  <si>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</si>
  <si>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</si>
  <si>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</si>
  <si>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</si>
  <si>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</si>
  <si>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</si>
  <si>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</si>
  <si>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</si>
  <si>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</si>
  <si>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</si>
  <si>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</si>
  <si>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</si>
  <si>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</si>
  <si>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</si>
  <si>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</si>
  <si>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</si>
  <si>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</si>
  <si>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</si>
  <si>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</si>
  <si>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</si>
  <si>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</si>
  <si>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</si>
  <si>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</si>
  <si>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</si>
  <si>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</si>
  <si>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</si>
  <si>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</si>
  <si>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</si>
  <si>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</si>
  <si>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</si>
  <si>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</si>
  <si>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</si>
  <si>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</si>
  <si>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</si>
  <si>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</si>
  <si>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</si>
  <si>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</si>
  <si>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</si>
  <si>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</si>
  <si>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</si>
  <si>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</si>
  <si>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</si>
  <si>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</si>
  <si>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</si>
  <si>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</si>
  <si>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</si>
  <si>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</si>
  <si>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</si>
  <si>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</si>
  <si>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</si>
  <si>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</si>
  <si>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</si>
  <si>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</si>
  <si>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</si>
  <si>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</si>
  <si>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</si>
  <si>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</si>
  <si>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</si>
  <si>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</si>
  <si>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</si>
  <si>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</si>
  <si>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</si>
  <si>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</si>
  <si>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</si>
  <si>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</si>
  <si>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</si>
  <si>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</si>
  <si>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</si>
  <si>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</si>
  <si>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</si>
  <si>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</si>
  <si>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</si>
  <si>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</si>
  <si>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</si>
  <si>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</si>
  <si>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</si>
  <si>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</si>
  <si>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</si>
  <si>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</si>
  <si>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</si>
  <si>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</si>
  <si>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</si>
  <si>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</si>
  <si>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</si>
  <si>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</si>
  <si>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</si>
  <si>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</si>
  <si>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</si>
  <si>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</si>
  <si>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</si>
  <si>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</si>
  <si>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</si>
  <si>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</si>
  <si>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</si>
  <si>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</si>
  <si>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</si>
  <si>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</si>
  <si>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</si>
  <si>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</si>
  <si>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</si>
  <si>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</si>
  <si>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</si>
  <si>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</si>
  <si>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</si>
  <si>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</si>
  <si>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</si>
  <si>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</si>
  <si>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</si>
  <si>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</si>
  <si>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</si>
  <si>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</si>
  <si>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</si>
  <si>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</si>
  <si>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</si>
  <si>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</si>
  <si>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</si>
  <si>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</si>
  <si>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</si>
  <si>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</si>
  <si>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</si>
  <si>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</si>
  <si>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</si>
  <si>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</si>
  <si>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</si>
  <si>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</si>
  <si>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</si>
  <si>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</si>
  <si>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</si>
  <si>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</si>
  <si>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</si>
  <si>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</si>
  <si>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</si>
  <si>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</si>
  <si>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</si>
  <si>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</si>
  <si>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</si>
  <si>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</si>
  <si>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</si>
  <si>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</si>
  <si>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</si>
  <si>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</si>
  <si>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</si>
  <si>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</si>
  <si>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</si>
  <si>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</si>
  <si>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</si>
  <si>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</si>
  <si>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</si>
  <si>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</si>
  <si>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</si>
  <si>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</si>
  <si>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</si>
  <si>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</si>
  <si>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</si>
  <si>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</si>
  <si>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</si>
  <si>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</si>
  <si>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</si>
  <si>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</si>
  <si>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</si>
  <si>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</si>
  <si>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</si>
  <si>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</si>
  <si>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</si>
  <si>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</si>
  <si>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</si>
  <si>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</si>
  <si>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</si>
  <si>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</si>
  <si>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</si>
  <si>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</si>
  <si>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</si>
  <si>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</si>
  <si>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</si>
  <si>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</si>
  <si>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</si>
  <si>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</si>
  <si>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</si>
  <si>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</si>
  <si>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</si>
  <si>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</si>
  <si>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</si>
  <si>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</si>
  <si>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</si>
  <si>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</si>
  <si>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</si>
  <si>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</si>
  <si>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</si>
  <si>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</si>
  <si>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</si>
  <si>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</si>
  <si>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</si>
  <si>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</si>
  <si>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</si>
  <si>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</si>
  <si>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</si>
  <si>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</si>
  <si>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</si>
  <si>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</si>
  <si>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</si>
  <si>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</si>
  <si>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</si>
  <si>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</si>
  <si>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</si>
  <si>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</si>
  <si>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</si>
  <si>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</si>
  <si>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</si>
  <si>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</si>
  <si>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</si>
  <si>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</si>
  <si>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</si>
  <si>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</si>
  <si>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</si>
  <si>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</si>
  <si>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</si>
  <si>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</si>
  <si>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</si>
  <si>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</si>
  <si>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</si>
  <si>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</si>
  <si>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</si>
  <si>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</si>
  <si>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</si>
  <si>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</si>
  <si>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</si>
  <si>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</si>
  <si>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</si>
  <si>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</si>
  <si>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</si>
  <si>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</si>
  <si>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</si>
  <si>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</si>
  <si>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</si>
  <si>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</si>
  <si>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</si>
  <si>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</si>
  <si>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</si>
  <si>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</si>
  <si>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</si>
  <si>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</si>
  <si>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</si>
  <si>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</si>
  <si>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</si>
  <si>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</si>
  <si>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</si>
  <si>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</si>
  <si>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</si>
  <si>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</si>
  <si>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</si>
  <si>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</si>
  <si>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</si>
  <si>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</si>
  <si>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</si>
  <si>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</si>
  <si>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</si>
  <si>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</si>
  <si>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</si>
  <si>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</si>
  <si>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</si>
  <si>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</si>
  <si>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</si>
  <si>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</si>
  <si>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</si>
  <si>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</si>
  <si>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</si>
  <si>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</si>
  <si>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</si>
  <si>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</si>
  <si>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</si>
  <si>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</si>
  <si>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</si>
  <si>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</si>
  <si>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</si>
  <si>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</si>
  <si>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</si>
  <si>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</si>
  <si>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</si>
  <si>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</si>
  <si>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</si>
  <si>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</si>
  <si>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</si>
  <si>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</si>
  <si>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</si>
  <si>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</si>
  <si>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</si>
  <si>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</si>
  <si>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</si>
  <si>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</si>
  <si>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</si>
  <si>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</si>
  <si>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</si>
  <si>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</si>
  <si>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</si>
  <si>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</si>
  <si>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</si>
  <si>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</si>
  <si>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</si>
  <si>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</si>
  <si>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</si>
  <si>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</si>
  <si>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</si>
  <si>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</si>
  <si>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</si>
  <si>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</si>
  <si>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</si>
  <si>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</si>
  <si>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</si>
  <si>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</si>
  <si>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</si>
  <si>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</si>
  <si>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</si>
  <si>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</si>
  <si>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</si>
  <si>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</si>
  <si>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</si>
  <si>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</si>
  <si>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</si>
  <si>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</si>
  <si>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</si>
  <si>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</si>
  <si>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</si>
  <si>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</si>
  <si>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</si>
  <si>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</si>
  <si>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</si>
  <si>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</si>
  <si>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</si>
  <si>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</si>
  <si>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</si>
  <si>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</si>
  <si>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</si>
  <si>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</si>
  <si>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</si>
  <si>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</si>
  <si>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</si>
  <si>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</si>
  <si>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</si>
  <si>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</si>
  <si>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</si>
  <si>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</si>
  <si>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</si>
  <si>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</si>
  <si>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</si>
  <si>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</si>
  <si>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</si>
  <si>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</si>
  <si>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</si>
  <si>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</si>
  <si>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</si>
  <si>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</si>
  <si>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</si>
  <si>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</si>
  <si>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</si>
  <si>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</si>
  <si>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</si>
  <si>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</si>
  <si>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</si>
  <si>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</si>
  <si>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</si>
  <si>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</si>
  <si>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</si>
  <si>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</si>
  <si>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</si>
  <si>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</si>
  <si>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</si>
  <si>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</si>
  <si>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</si>
  <si>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</si>
  <si>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</si>
  <si>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</si>
  <si>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</si>
  <si>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</si>
  <si>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</si>
  <si>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</si>
  <si>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</si>
  <si>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</si>
  <si>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</si>
  <si>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</si>
  <si>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</si>
  <si>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</si>
  <si>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</si>
  <si>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</si>
  <si>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</si>
  <si>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</si>
  <si>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</si>
  <si>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</si>
  <si>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</si>
  <si>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</si>
  <si>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</si>
  <si>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</si>
  <si>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</si>
  <si>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</si>
  <si>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</si>
  <si>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</si>
  <si>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</si>
  <si>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</si>
  <si>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</si>
  <si>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</si>
  <si>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</si>
  <si>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</si>
  <si>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</si>
  <si>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</si>
  <si>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</si>
  <si>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</si>
  <si>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</si>
  <si>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</si>
  <si>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</si>
  <si>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</si>
  <si>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</si>
  <si>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</si>
  <si>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</si>
  <si>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</si>
  <si>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</si>
  <si>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</si>
  <si>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</si>
  <si>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</si>
  <si>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</si>
  <si>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</si>
  <si>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</si>
  <si>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</si>
  <si>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</si>
  <si>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</si>
  <si>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</si>
  <si>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</si>
  <si>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</si>
  <si>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</si>
  <si>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</si>
  <si>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</si>
  <si>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</si>
  <si>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</si>
  <si>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</si>
  <si>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</si>
  <si>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</si>
  <si>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</si>
  <si>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</si>
  <si>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</si>
  <si>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</si>
  <si>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</si>
  <si>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</si>
  <si>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</si>
  <si>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</si>
  <si>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</si>
  <si>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</si>
  <si>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</si>
  <si>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</si>
  <si>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</si>
  <si>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</si>
  <si>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</si>
  <si>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</si>
  <si>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</si>
  <si>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</si>
  <si>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</si>
  <si>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</si>
  <si>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</si>
  <si>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</si>
  <si>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</si>
  <si>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</si>
  <si>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</si>
  <si>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</si>
  <si>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</si>
  <si>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</si>
  <si>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</si>
  <si>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</si>
  <si>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</si>
  <si>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</si>
  <si>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</si>
  <si>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</si>
  <si>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</si>
  <si>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</si>
  <si>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</si>
  <si>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</si>
  <si>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</si>
  <si>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</si>
  <si>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</si>
  <si>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</si>
  <si>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</si>
  <si>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</si>
  <si>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</si>
  <si>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</si>
  <si>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</si>
  <si>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</si>
  <si>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</si>
  <si>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</si>
  <si>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</si>
  <si>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</si>
  <si>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</si>
  <si>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</si>
  <si>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</si>
  <si>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</si>
  <si>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</si>
  <si>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</si>
  <si>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</si>
  <si>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</si>
  <si>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</si>
  <si>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</si>
  <si>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</si>
  <si>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</si>
  <si>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</si>
  <si>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</si>
  <si>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</si>
  <si>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</si>
  <si>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</si>
  <si>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</si>
  <si>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</si>
  <si>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</si>
  <si>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</si>
  <si>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</si>
  <si>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</si>
  <si>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</si>
  <si>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</si>
  <si>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</si>
  <si>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</si>
  <si>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</si>
  <si>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</si>
  <si>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</si>
  <si>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</si>
  <si>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</si>
  <si>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</si>
  <si>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</si>
  <si>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</si>
  <si>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</si>
  <si>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</si>
  <si>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</si>
  <si>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</si>
  <si>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</si>
  <si>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</si>
  <si>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</si>
  <si>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</si>
  <si>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</si>
  <si>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</si>
  <si>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</si>
  <si>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</si>
  <si>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</si>
  <si>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</si>
  <si>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</si>
  <si>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</si>
  <si>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</si>
  <si>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</si>
  <si>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</si>
  <si>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</si>
  <si>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</si>
  <si>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</si>
  <si>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</si>
  <si>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</si>
  <si>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</si>
  <si>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</si>
  <si>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</si>
  <si>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</si>
  <si>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</si>
  <si>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</si>
  <si>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</si>
  <si>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</si>
  <si>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</si>
  <si>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</si>
  <si>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</si>
  <si>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</si>
  <si>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</si>
  <si>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</si>
  <si>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</si>
  <si>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</si>
  <si>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</si>
  <si>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</si>
  <si>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</si>
  <si>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</si>
  <si>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</si>
  <si>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</si>
  <si>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</si>
  <si>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</si>
  <si>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</si>
  <si>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</si>
  <si>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</si>
  <si>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</si>
  <si>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</si>
  <si>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</si>
  <si>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</si>
  <si>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</si>
  <si>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</si>
  <si>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</si>
  <si>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</si>
  <si>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</si>
  <si>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</si>
  <si>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</si>
  <si>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</si>
  <si>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</si>
  <si>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</si>
  <si>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</si>
  <si>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</si>
  <si>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</si>
  <si>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</si>
  <si>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</si>
  <si>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</si>
  <si>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</si>
  <si>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</si>
  <si>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</si>
  <si>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</si>
  <si>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</si>
  <si>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</si>
  <si>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</si>
  <si>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</si>
  <si>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</si>
  <si>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</si>
  <si>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</si>
  <si>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</si>
  <si>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</si>
  <si>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</si>
  <si>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</si>
  <si>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</si>
  <si>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</si>
  <si>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</si>
  <si>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</si>
  <si>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</si>
  <si>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</si>
  <si>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</si>
  <si>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</si>
  <si>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</si>
  <si>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</si>
  <si>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</si>
  <si>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</si>
  <si>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</si>
  <si>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</si>
  <si>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</si>
  <si>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</si>
  <si>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</si>
  <si>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</si>
  <si>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</si>
  <si>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</si>
  <si>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</si>
  <si>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</si>
  <si>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</si>
  <si>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</si>
  <si>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</si>
  <si>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</si>
  <si>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</si>
  <si>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</si>
  <si>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</si>
  <si>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</si>
  <si>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</si>
  <si>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</si>
  <si>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</si>
  <si>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</si>
  <si>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</si>
  <si>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</si>
  <si>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</si>
  <si>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</si>
  <si>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</si>
  <si>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</si>
  <si>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</si>
  <si>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</si>
  <si>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</si>
  <si>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</si>
  <si>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</si>
  <si>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</si>
  <si>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</si>
  <si>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</si>
  <si>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</si>
  <si>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</si>
  <si>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</si>
  <si>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</si>
  <si>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</si>
  <si>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</si>
  <si>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</si>
  <si>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</si>
  <si>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</si>
  <si>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</si>
  <si>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</si>
  <si>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</si>
  <si>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</si>
  <si>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</si>
  <si>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</si>
  <si>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</si>
  <si>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</si>
  <si>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</si>
  <si>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</si>
  <si>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</si>
  <si>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</si>
  <si>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</si>
  <si>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</si>
  <si>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</si>
  <si>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</si>
  <si>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</si>
  <si>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</si>
  <si>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</si>
  <si>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</si>
  <si>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</si>
  <si>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</si>
  <si>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</si>
  <si>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</si>
  <si>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</si>
  <si>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</si>
  <si>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</si>
  <si>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</si>
  <si>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</si>
  <si>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</si>
  <si>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</si>
  <si>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</si>
  <si>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</si>
  <si>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</si>
  <si>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</si>
  <si>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</si>
  <si>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</si>
  <si>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</si>
  <si>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</si>
  <si>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</si>
  <si>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</si>
  <si>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</si>
  <si>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</si>
  <si>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</si>
  <si>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</si>
  <si>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</si>
  <si>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</si>
  <si>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</si>
  <si>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</si>
  <si>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</si>
  <si>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</si>
  <si>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</si>
  <si>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</si>
  <si>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</si>
  <si>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</si>
  <si>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</si>
  <si>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</si>
  <si>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</si>
  <si>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</si>
  <si>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</si>
  <si>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</si>
  <si>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</si>
  <si>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</si>
  <si>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</si>
  <si>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</si>
  <si>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</si>
  <si>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</si>
  <si>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</si>
  <si>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</si>
  <si>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</si>
  <si>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</si>
  <si>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</si>
  <si>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</si>
  <si>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</si>
  <si>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</si>
  <si>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</si>
  <si>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</si>
  <si>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</si>
  <si>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</si>
  <si>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</si>
  <si>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</si>
  <si>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</si>
  <si>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</si>
  <si>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</si>
  <si>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</si>
  <si>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</si>
  <si>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</si>
  <si>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</si>
  <si>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</si>
  <si>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</si>
  <si>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</si>
  <si>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</si>
  <si>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</si>
  <si>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</si>
  <si>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</si>
  <si>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</si>
  <si>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</si>
  <si>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</si>
  <si>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</si>
  <si>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</si>
  <si>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</si>
  <si>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</si>
  <si>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</si>
  <si>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</si>
  <si>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</si>
  <si>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</si>
  <si>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</si>
  <si>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</si>
  <si>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</si>
  <si>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</si>
  <si>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</si>
  <si>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</si>
  <si>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</si>
  <si>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</si>
  <si>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</si>
  <si>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</si>
  <si>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</si>
  <si>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</si>
  <si>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</si>
  <si>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</si>
  <si>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</si>
  <si>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</si>
  <si>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</si>
  <si>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</si>
  <si>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</si>
  <si>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</si>
  <si>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</si>
  <si>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</si>
  <si>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</si>
  <si>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</si>
  <si>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</si>
  <si>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</si>
  <si>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</si>
  <si>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</si>
  <si>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</si>
  <si>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</si>
  <si>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</si>
  <si>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</si>
  <si>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</si>
  <si>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</si>
  <si>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</si>
  <si>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</si>
  <si>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</si>
  <si>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</si>
  <si>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</si>
  <si>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</si>
  <si>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</si>
  <si>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</si>
  <si>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</si>
  <si>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</si>
  <si>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</si>
  <si>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</si>
  <si>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</si>
  <si>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</si>
  <si>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</si>
  <si>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</si>
  <si>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</si>
  <si>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</si>
  <si>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</si>
  <si>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</si>
  <si>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</si>
  <si>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</si>
  <si>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</si>
  <si>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</si>
  <si>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</si>
  <si>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</si>
  <si>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</si>
  <si>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</si>
  <si>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</si>
  <si>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</si>
  <si>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</si>
  <si>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</si>
  <si>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</si>
  <si>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</si>
  <si>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</si>
  <si>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</si>
  <si>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</si>
  <si>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</si>
  <si>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</si>
  <si>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</si>
  <si>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</si>
  <si>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</si>
  <si>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</si>
  <si>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</si>
  <si>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</si>
  <si>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</si>
  <si>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</si>
  <si>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</si>
  <si>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</si>
  <si>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</si>
  <si>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</si>
  <si>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</si>
  <si>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</si>
  <si>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</si>
  <si>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</si>
  <si>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</si>
  <si>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</si>
  <si>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</si>
  <si>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</si>
  <si>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</si>
  <si>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</si>
  <si>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</si>
  <si>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</si>
  <si>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</si>
  <si>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</si>
  <si>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</si>
  <si>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</si>
  <si>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</si>
  <si>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</si>
  <si>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</si>
  <si>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</si>
  <si>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</si>
  <si>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</si>
  <si>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</si>
  <si>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</si>
  <si>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</si>
  <si>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</si>
  <si>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</si>
  <si>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</si>
  <si>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</si>
  <si>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</si>
  <si>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</si>
  <si>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</si>
  <si>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</si>
  <si>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</si>
  <si>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</si>
  <si>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</si>
  <si>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</si>
  <si>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</si>
  <si>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</si>
  <si>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</si>
  <si>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</si>
  <si>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</si>
  <si>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</si>
  <si>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</si>
  <si>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</si>
  <si>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</si>
  <si>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</si>
  <si>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</si>
  <si>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</si>
  <si>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</si>
  <si>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</si>
  <si>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</si>
  <si>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</si>
  <si>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</si>
  <si>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</si>
  <si>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</si>
  <si>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</si>
  <si>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</si>
  <si>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</si>
  <si>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</si>
  <si>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</si>
  <si>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</si>
  <si>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</si>
  <si>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</si>
  <si>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</si>
  <si>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</si>
  <si>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</si>
  <si>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</si>
  <si>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</si>
  <si>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</si>
  <si>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</si>
  <si>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</si>
  <si>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</si>
  <si>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</si>
  <si>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</si>
  <si>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</si>
  <si>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</si>
  <si>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</si>
  <si>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</si>
  <si>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</si>
  <si>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</si>
  <si>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</si>
  <si>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</si>
  <si>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</si>
  <si>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</si>
  <si>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</si>
  <si>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</si>
  <si>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</si>
  <si>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</si>
  <si>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</si>
  <si>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</si>
  <si>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</si>
  <si>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</si>
  <si>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</si>
  <si>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</si>
  <si>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</si>
  <si>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</si>
  <si>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</si>
  <si>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</si>
  <si>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</si>
  <si>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</si>
  <si>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</si>
  <si>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</si>
  <si>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</si>
  <si>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</si>
  <si>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</si>
  <si>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</si>
  <si>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</si>
  <si>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</si>
  <si>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</si>
  <si>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</si>
  <si>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</si>
  <si>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</si>
  <si>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</si>
  <si>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</si>
  <si>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</si>
  <si>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</si>
  <si>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</si>
  <si>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</si>
  <si>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</si>
  <si>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</si>
  <si>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</si>
  <si>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</si>
  <si>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</si>
  <si>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</si>
  <si>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</si>
  <si>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</si>
  <si>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</si>
  <si>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</si>
  <si>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</si>
  <si>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</si>
  <si>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</si>
  <si>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</si>
  <si>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</si>
  <si>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</si>
  <si>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</si>
  <si>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</si>
  <si>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</si>
  <si>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</si>
  <si>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</si>
  <si>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</si>
  <si>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</si>
  <si>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</si>
  <si>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</si>
  <si>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</si>
  <si>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</si>
  <si>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</si>
  <si>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</si>
  <si>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</si>
  <si>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</si>
  <si>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</si>
  <si>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</si>
  <si>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</si>
  <si>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</si>
  <si>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</si>
  <si>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</si>
  <si>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</si>
  <si>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</si>
  <si>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</si>
  <si>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</si>
  <si>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</si>
  <si>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</si>
  <si>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</si>
  <si>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</si>
  <si>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</si>
  <si>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</si>
  <si>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</si>
  <si>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</si>
  <si>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</si>
  <si>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</si>
  <si>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</si>
  <si>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</si>
  <si>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</si>
  <si>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</si>
  <si>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</si>
  <si>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</si>
  <si>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</si>
  <si>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</si>
  <si>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</si>
  <si>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</si>
  <si>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</si>
  <si>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</si>
  <si>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</si>
  <si>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</si>
  <si>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</si>
  <si>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</si>
  <si>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</si>
  <si>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</si>
  <si>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</si>
  <si>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</si>
  <si>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</si>
  <si>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</si>
  <si>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</si>
  <si>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</si>
  <si>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</si>
  <si>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</si>
  <si>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</si>
  <si>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</si>
  <si>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</si>
  <si>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</si>
  <si>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</si>
  <si>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</si>
  <si>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</si>
  <si>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</si>
  <si>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</si>
  <si>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</si>
  <si>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</si>
  <si>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</si>
  <si>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</si>
  <si>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</si>
  <si>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</si>
  <si>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</si>
  <si>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</si>
  <si>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</si>
  <si>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</si>
  <si>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</si>
  <si>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</si>
  <si>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</si>
  <si>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</si>
  <si>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</si>
  <si>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</si>
  <si>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</si>
  <si>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</si>
  <si>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</si>
  <si>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</si>
  <si>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</si>
  <si>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</si>
  <si>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</si>
  <si>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</si>
  <si>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</si>
  <si>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</si>
  <si>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</si>
  <si>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</si>
  <si>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</si>
  <si>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</si>
  <si>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</si>
  <si>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</si>
  <si>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</si>
  <si>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</si>
  <si>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</si>
  <si>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</si>
  <si>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</si>
  <si>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</si>
  <si>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</si>
  <si>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</si>
  <si>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</si>
  <si>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</si>
  <si>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</si>
  <si>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</si>
  <si>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</si>
  <si>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</si>
  <si>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</si>
  <si>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</si>
  <si>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</si>
  <si>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</si>
  <si>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</si>
  <si>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</si>
  <si>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</si>
  <si>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</si>
  <si>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</si>
  <si>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</si>
  <si>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</si>
  <si>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</si>
  <si>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</si>
  <si>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</si>
  <si>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</si>
  <si>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</si>
  <si>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</si>
  <si>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</si>
  <si>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</si>
  <si>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</si>
  <si>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</si>
  <si>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</si>
  <si>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</si>
  <si>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</si>
  <si>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</si>
  <si>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</si>
  <si>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</si>
  <si>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</si>
  <si>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</si>
  <si>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</si>
  <si>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</si>
  <si>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</si>
  <si>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</si>
  <si>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</si>
  <si>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</si>
  <si>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</si>
  <si>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</si>
  <si>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</si>
  <si>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</si>
  <si>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</si>
  <si>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</si>
  <si>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</si>
  <si>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</si>
  <si>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</si>
  <si>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</si>
  <si>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</si>
  <si>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</si>
  <si>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</si>
  <si>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</si>
  <si>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</si>
  <si>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</si>
  <si>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</si>
  <si>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</si>
  <si>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</si>
  <si>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</si>
  <si>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</si>
  <si>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</si>
  <si>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</si>
  <si>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</si>
  <si>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</si>
  <si>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</si>
  <si>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</si>
  <si>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</si>
  <si>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</si>
  <si>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</si>
  <si>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</si>
  <si>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</si>
  <si>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</si>
  <si>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</si>
  <si>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</si>
  <si>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</si>
  <si>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</si>
  <si>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</si>
  <si>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</si>
  <si>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</si>
  <si>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</si>
  <si>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</si>
  <si>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</si>
  <si>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</si>
  <si>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</si>
  <si>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</si>
  <si>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</si>
  <si>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</si>
  <si>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</si>
  <si>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</si>
  <si>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</si>
  <si>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</si>
  <si>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</si>
  <si>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</si>
  <si>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</si>
  <si>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</si>
  <si>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</si>
  <si>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</si>
  <si>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</si>
  <si>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</si>
  <si>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</si>
  <si>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</si>
  <si>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</si>
  <si>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</si>
  <si>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</si>
  <si>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</si>
  <si>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</si>
  <si>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</si>
  <si>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</si>
  <si>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</si>
  <si>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</si>
  <si>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</si>
  <si>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</si>
  <si>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</si>
  <si>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</si>
  <si>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</si>
  <si>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</si>
  <si>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</si>
  <si>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</si>
  <si>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</si>
  <si>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</si>
  <si>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</si>
  <si>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</si>
  <si>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</si>
  <si>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</si>
  <si>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</si>
  <si>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</si>
  <si>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</si>
  <si>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</si>
  <si>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</si>
  <si>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</si>
  <si>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</si>
  <si>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</si>
  <si>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</si>
  <si>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</si>
  <si>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</si>
  <si>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</si>
  <si>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</si>
  <si>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</si>
  <si>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</si>
  <si>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</si>
  <si>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</si>
  <si>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</si>
  <si>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</si>
  <si>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</si>
  <si>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</si>
  <si>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</si>
  <si>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</si>
  <si>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</si>
  <si>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</si>
  <si>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</si>
  <si>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</si>
  <si>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</si>
  <si>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</si>
  <si>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</si>
  <si>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</si>
  <si>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</si>
  <si>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</si>
  <si>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</si>
  <si>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</si>
  <si>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</si>
  <si>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</si>
  <si>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</si>
  <si>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</si>
  <si>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</si>
  <si>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</si>
  <si>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</si>
  <si>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</si>
  <si>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</si>
  <si>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</si>
  <si>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</si>
  <si>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</si>
  <si>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</si>
  <si>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</si>
  <si>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</si>
  <si>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</si>
  <si>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</si>
  <si>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</si>
  <si>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</si>
  <si>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</si>
  <si>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</si>
  <si>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</si>
  <si>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</si>
  <si>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</si>
  <si>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</si>
  <si>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</si>
  <si>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</si>
  <si>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</si>
  <si>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</si>
  <si>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</si>
  <si>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</si>
  <si>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</si>
  <si>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</si>
  <si>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</si>
  <si>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</si>
  <si>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</si>
  <si>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</si>
  <si>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</si>
  <si>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</si>
  <si>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</si>
  <si>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</si>
  <si>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</si>
  <si>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</si>
  <si>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</si>
  <si>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</si>
  <si>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</si>
  <si>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</si>
  <si>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</si>
  <si>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</si>
  <si>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</si>
  <si>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</si>
  <si>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</si>
  <si>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</si>
  <si>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</si>
  <si>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</si>
  <si>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</si>
  <si>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</si>
  <si>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</si>
  <si>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</si>
  <si>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</si>
  <si>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</si>
  <si>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</si>
  <si>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</si>
  <si>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</si>
  <si>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</si>
  <si>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</si>
  <si>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</si>
  <si>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</si>
  <si>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</si>
  <si>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</si>
  <si>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</si>
  <si>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</si>
  <si>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</si>
  <si>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</si>
  <si>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</si>
  <si>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</si>
  <si>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</si>
  <si>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</si>
  <si>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</si>
  <si>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</si>
  <si>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</si>
  <si>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</si>
  <si>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</si>
  <si>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</si>
  <si>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</si>
  <si>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</si>
  <si>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</si>
  <si>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</si>
  <si>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</si>
  <si>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</si>
  <si>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</si>
  <si>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</si>
  <si>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</si>
  <si>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</si>
  <si>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</si>
  <si>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</si>
  <si>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</si>
  <si>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</si>
  <si>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</si>
  <si>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</si>
  <si>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</si>
  <si>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</si>
  <si>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</si>
  <si>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</si>
  <si>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</si>
  <si>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</si>
  <si>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</si>
  <si>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</si>
  <si>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</si>
  <si>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</si>
  <si>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</si>
  <si>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</si>
  <si>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</si>
  <si>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</si>
  <si>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</si>
  <si>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</si>
  <si>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</si>
  <si>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</si>
  <si>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</si>
  <si>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</si>
  <si>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</si>
  <si>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</si>
  <si>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</si>
  <si>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</si>
  <si>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</si>
  <si>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</si>
  <si>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</si>
  <si>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</si>
  <si>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</si>
  <si>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</si>
  <si>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</si>
  <si>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</si>
  <si>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</si>
  <si>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</si>
  <si>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</si>
  <si>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</si>
  <si>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</si>
  <si>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</si>
  <si>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</si>
  <si>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</si>
  <si>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</si>
  <si>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</si>
  <si>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</si>
  <si>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</si>
  <si>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</si>
  <si>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</si>
  <si>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</si>
  <si>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</si>
  <si>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</si>
  <si>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</si>
  <si>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</si>
  <si>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</si>
  <si>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</si>
  <si>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</si>
  <si>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</si>
  <si>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</si>
  <si>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</si>
  <si>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</si>
  <si>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</si>
  <si>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</si>
  <si>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</si>
  <si>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</si>
  <si>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</si>
  <si>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</si>
  <si>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</si>
  <si>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</si>
  <si>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</si>
  <si>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</si>
  <si>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</si>
  <si>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</si>
  <si>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</si>
  <si>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</si>
  <si>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</si>
  <si>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</si>
  <si>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</si>
  <si>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</si>
  <si>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</si>
  <si>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</si>
  <si>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</si>
  <si>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</si>
  <si>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</si>
  <si>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</si>
  <si>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</si>
  <si>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</si>
  <si>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</si>
  <si>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</si>
  <si>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</si>
  <si>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</si>
  <si>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</si>
  <si>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</si>
  <si>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</si>
  <si>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</si>
  <si>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</si>
  <si>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</si>
  <si>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</si>
  <si>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</si>
  <si>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</si>
  <si>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</si>
  <si>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</si>
  <si>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</si>
  <si>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</si>
  <si>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</si>
  <si>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</si>
  <si>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</si>
  <si>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</si>
  <si>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</si>
  <si>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</si>
  <si>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</si>
  <si>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</si>
  <si>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</si>
  <si>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</si>
  <si>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</si>
  <si>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</si>
  <si>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</si>
  <si>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</si>
  <si>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</si>
  <si>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</si>
  <si>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</si>
  <si>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</si>
  <si>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</si>
  <si>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</si>
  <si>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</si>
  <si>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</si>
  <si>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</si>
  <si>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</si>
  <si>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</si>
  <si>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</si>
  <si>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</si>
  <si>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</si>
  <si>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</si>
  <si>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</si>
  <si>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</si>
  <si>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</si>
  <si>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</si>
  <si>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</si>
  <si>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</si>
  <si>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</si>
  <si>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</si>
  <si>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</si>
  <si>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</si>
  <si>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</si>
  <si>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</si>
  <si>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</si>
  <si>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</si>
  <si>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</si>
  <si>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</si>
  <si>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</si>
  <si>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</si>
  <si>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</si>
  <si>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</si>
  <si>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</si>
  <si>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</si>
  <si>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</si>
  <si>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</si>
  <si>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</si>
  <si>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</si>
  <si>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</si>
  <si>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</si>
  <si>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</si>
  <si>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</si>
  <si>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</si>
  <si>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</si>
  <si>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</si>
  <si>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</si>
  <si>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</si>
  <si>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</si>
  <si>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</si>
  <si>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</si>
  <si>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</si>
  <si>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</si>
  <si>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</si>
  <si>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</si>
  <si>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</si>
  <si>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</si>
  <si>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</si>
  <si>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</si>
  <si>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</si>
  <si>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</si>
  <si>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</si>
  <si>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</si>
  <si>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</si>
  <si>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</si>
  <si>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</si>
  <si>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</si>
  <si>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</si>
  <si>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</si>
  <si>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</si>
  <si>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</si>
  <si>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</si>
  <si>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</si>
  <si>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</si>
  <si>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</si>
  <si>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</si>
  <si>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</si>
  <si>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</si>
  <si>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</si>
  <si>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</si>
  <si>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</si>
  <si>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</si>
  <si>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</si>
  <si>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</si>
  <si>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</si>
  <si>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</si>
  <si>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</si>
  <si>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</si>
  <si>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</si>
  <si>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</si>
  <si>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</si>
  <si>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</si>
  <si>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</si>
  <si>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</si>
  <si>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</si>
  <si>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</si>
  <si>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</si>
  <si>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</si>
  <si>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</si>
  <si>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</si>
  <si>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</si>
  <si>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</si>
  <si>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</si>
  <si>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</si>
  <si>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</si>
  <si>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</si>
  <si>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</si>
  <si>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</si>
  <si>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</si>
  <si>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</si>
  <si>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</si>
  <si>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</si>
  <si>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</si>
  <si>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</si>
  <si>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</si>
  <si>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</si>
  <si>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</si>
  <si>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</si>
  <si>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</si>
  <si>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</si>
  <si>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</si>
  <si>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</si>
  <si>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</si>
  <si>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</si>
  <si>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</si>
  <si>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</si>
  <si>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</si>
  <si>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</si>
  <si>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</si>
  <si>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</si>
  <si>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</si>
  <si>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</si>
  <si>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</si>
  <si>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</si>
  <si>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</si>
  <si>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</si>
  <si>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</si>
  <si>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</si>
  <si>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</si>
  <si>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</si>
  <si>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</si>
  <si>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</si>
  <si>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</si>
  <si>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</si>
  <si>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</si>
  <si>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</si>
  <si>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</si>
  <si>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</si>
  <si>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</si>
  <si>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</si>
  <si>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</si>
  <si>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</si>
  <si>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</si>
  <si>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</si>
  <si>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</si>
  <si>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</si>
  <si>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</si>
  <si>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</si>
  <si>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</si>
  <si>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</si>
  <si>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</si>
  <si>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</si>
  <si>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</si>
  <si>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</si>
  <si>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</si>
  <si>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</si>
  <si>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</si>
  <si>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</si>
  <si>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</si>
  <si>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</si>
  <si>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</si>
  <si>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</si>
  <si>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</si>
  <si>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</si>
  <si>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</si>
  <si>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</si>
  <si>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</si>
  <si>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</si>
  <si>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</si>
  <si>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</si>
  <si>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</si>
  <si>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</si>
  <si>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</si>
  <si>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</si>
  <si>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</si>
  <si>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</si>
  <si>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</si>
  <si>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</si>
  <si>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</si>
  <si>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</si>
  <si>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</si>
  <si>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</si>
  <si>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</si>
  <si>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</si>
  <si>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</si>
  <si>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</si>
  <si>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</si>
  <si>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</si>
  <si>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</si>
  <si>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</si>
  <si>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</si>
  <si>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</si>
  <si>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</si>
  <si>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</si>
  <si>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</si>
  <si>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</si>
  <si>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</si>
  <si>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</si>
  <si>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</si>
  <si>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</si>
  <si>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</si>
  <si>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</si>
  <si>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</si>
  <si>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</si>
  <si>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</si>
  <si>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</si>
  <si>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</si>
  <si>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</si>
  <si>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</si>
  <si>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</si>
  <si>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</si>
  <si>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</si>
  <si>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</si>
  <si>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</si>
  <si>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</si>
  <si>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</si>
  <si>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</si>
  <si>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</si>
  <si>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</si>
  <si>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</si>
  <si>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</si>
  <si>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</si>
  <si>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</si>
  <si>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</si>
  <si>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</si>
  <si>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</si>
  <si>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</si>
  <si>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</si>
  <si>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</si>
  <si>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</si>
  <si>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</si>
  <si>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</si>
  <si>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</si>
  <si>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</si>
  <si>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</si>
  <si>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</si>
  <si>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</si>
  <si>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</si>
  <si>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</si>
  <si>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</si>
  <si>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</si>
  <si>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</si>
  <si>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</si>
  <si>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</si>
  <si>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</si>
  <si>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</si>
  <si>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</si>
  <si>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</si>
  <si>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</si>
  <si>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</si>
  <si>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</si>
  <si>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</si>
  <si>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</si>
  <si>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</si>
  <si>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</si>
  <si>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</si>
  <si>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</si>
  <si>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</si>
  <si>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</si>
  <si>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</si>
  <si>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</si>
  <si>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</si>
  <si>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</si>
  <si>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</si>
  <si>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</si>
  <si>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</si>
  <si>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</si>
  <si>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</si>
  <si>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</si>
  <si>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</si>
  <si>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</si>
  <si>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</si>
  <si>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</si>
  <si>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</si>
  <si>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</si>
  <si>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</si>
  <si>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</si>
  <si>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</si>
  <si>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</si>
  <si>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</si>
  <si>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</si>
  <si>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</si>
  <si>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</si>
  <si>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</si>
  <si>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</si>
  <si>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</si>
  <si>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</si>
  <si>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</si>
  <si>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</si>
  <si>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</si>
  <si>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</si>
  <si>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</si>
  <si>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</si>
  <si>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</si>
  <si>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</si>
  <si>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</si>
  <si>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</si>
  <si>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</si>
  <si>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</si>
  <si>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</si>
  <si>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</si>
  <si>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</si>
  <si>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</si>
  <si>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</si>
  <si>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</si>
  <si>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</si>
  <si>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</si>
  <si>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</si>
  <si>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</si>
  <si>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</si>
  <si>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</si>
  <si>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</si>
  <si>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</si>
  <si>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</si>
  <si>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</si>
  <si>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</si>
  <si>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</si>
  <si>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</si>
  <si>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</si>
  <si>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</si>
  <si>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</si>
  <si>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</si>
  <si>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</si>
  <si>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</si>
  <si>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</si>
  <si>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</si>
  <si>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</si>
  <si>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</si>
  <si>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</si>
  <si>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</si>
  <si>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</si>
  <si>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</si>
  <si>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</si>
  <si>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</si>
  <si>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</si>
  <si>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</si>
  <si>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</si>
  <si>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</si>
  <si>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</si>
  <si>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</si>
  <si>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</si>
  <si>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</si>
  <si>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</si>
  <si>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</si>
  <si>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</si>
  <si>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</si>
  <si>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</si>
  <si>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</si>
  <si>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</si>
  <si>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</si>
  <si>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</si>
  <si>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</si>
  <si>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</si>
  <si>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</si>
  <si>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</si>
  <si>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</si>
  <si>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</si>
  <si>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</si>
  <si>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</si>
  <si>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</si>
  <si>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</si>
  <si>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</si>
  <si>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</si>
  <si>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</si>
  <si>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</si>
  <si>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</si>
  <si>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</si>
  <si>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</si>
  <si>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</si>
  <si>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</si>
  <si>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</si>
  <si>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</si>
  <si>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</si>
  <si>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</si>
  <si>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</si>
  <si>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</si>
  <si>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</si>
  <si>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</si>
  <si>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</si>
  <si>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</si>
  <si>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</si>
  <si>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</si>
  <si>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</si>
  <si>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</si>
  <si>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</si>
  <si>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</si>
  <si>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</si>
  <si>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</si>
  <si>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</si>
  <si>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</si>
  <si>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</si>
  <si>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</si>
  <si>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</si>
  <si>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</si>
  <si>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</si>
  <si>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</si>
  <si>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</si>
  <si>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</si>
  <si>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</si>
  <si>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</si>
  <si>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</si>
  <si>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</si>
  <si>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</si>
  <si>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</si>
  <si>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</si>
  <si>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</si>
  <si>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</si>
  <si>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</si>
  <si>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</si>
  <si>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</si>
  <si>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</si>
  <si>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</si>
  <si>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</si>
  <si>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</si>
  <si>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</si>
  <si>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</si>
  <si>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</si>
  <si>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</si>
  <si>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</si>
  <si>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</si>
  <si>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</si>
  <si>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</si>
  <si>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</si>
  <si>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</si>
  <si>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</si>
  <si>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</si>
  <si>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</si>
  <si>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</si>
  <si>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</si>
  <si>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</si>
  <si>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</si>
  <si>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</si>
  <si>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</si>
  <si>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</si>
  <si>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</si>
  <si>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</si>
  <si>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</si>
  <si>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</si>
  <si>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</si>
  <si>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</si>
  <si>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</si>
  <si>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</si>
  <si>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</si>
  <si>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</si>
  <si>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</si>
  <si>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</si>
  <si>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</si>
  <si>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</si>
  <si>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</si>
  <si>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</si>
  <si>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</si>
  <si>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</si>
  <si>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</si>
  <si>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</si>
  <si>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</si>
  <si>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</si>
  <si>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</si>
  <si>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</si>
  <si>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</si>
  <si>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</si>
  <si>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</si>
  <si>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</si>
  <si>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</si>
  <si>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</si>
  <si>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</si>
  <si>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</si>
  <si>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</si>
  <si>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</si>
  <si>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</si>
  <si>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</si>
  <si>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</si>
  <si>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</si>
  <si>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</si>
  <si>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</si>
  <si>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</si>
  <si>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</si>
  <si>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</si>
  <si>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</si>
  <si>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</si>
  <si>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</si>
  <si>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</si>
  <si>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</si>
  <si>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</si>
  <si>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</si>
  <si>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</si>
  <si>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</si>
  <si>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</si>
  <si>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</si>
  <si>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</si>
  <si>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</si>
  <si>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</si>
  <si>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</si>
  <si>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</si>
  <si>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</si>
  <si>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</si>
  <si>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</si>
  <si>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</si>
  <si>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</si>
  <si>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</si>
  <si>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</si>
  <si>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</si>
  <si>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</si>
  <si>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</si>
  <si>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</si>
  <si>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</si>
  <si>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</si>
  <si>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</si>
  <si>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</si>
  <si>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</si>
  <si>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</si>
  <si>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</si>
  <si>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</si>
  <si>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</si>
  <si>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</si>
  <si>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</si>
  <si>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</si>
  <si>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</si>
  <si>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</si>
  <si>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</si>
  <si>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</si>
  <si>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</si>
  <si>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</si>
  <si>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</si>
  <si>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</si>
  <si>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</si>
  <si>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</si>
  <si>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</si>
  <si>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</si>
  <si>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</si>
  <si>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</si>
  <si>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</si>
  <si>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</si>
  <si>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</si>
  <si>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</si>
  <si>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</si>
  <si>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</si>
  <si>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</si>
  <si>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</si>
  <si>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</si>
  <si>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</si>
  <si>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</si>
  <si>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</si>
  <si>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</si>
  <si>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</si>
  <si>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</si>
  <si>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</si>
  <si>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</si>
  <si>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</si>
  <si>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</si>
  <si>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</si>
  <si>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</si>
  <si>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</si>
  <si>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</si>
  <si>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</si>
  <si>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</si>
  <si>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</si>
  <si>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</si>
  <si>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</si>
  <si>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</si>
  <si>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</si>
  <si>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</si>
  <si>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</si>
  <si>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</si>
  <si>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</si>
  <si>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</si>
  <si>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</si>
  <si>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</si>
  <si>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</si>
  <si>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</si>
  <si>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</si>
  <si>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</si>
  <si>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</si>
  <si>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</si>
  <si>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</si>
  <si>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</si>
  <si>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</si>
  <si>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</si>
  <si>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</si>
  <si>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</si>
  <si>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</si>
  <si>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</si>
  <si>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</si>
  <si>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</si>
  <si>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</si>
  <si>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</si>
  <si>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</si>
  <si>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</si>
  <si>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</si>
  <si>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</si>
  <si>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</si>
  <si>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</si>
  <si>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</si>
  <si>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</si>
  <si>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</si>
  <si>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</si>
  <si>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</si>
  <si>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</si>
  <si>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</si>
  <si>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</si>
  <si>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</si>
  <si>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</si>
  <si>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</si>
  <si>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</si>
  <si>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</si>
  <si>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</si>
  <si>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</si>
  <si>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</si>
  <si>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</si>
  <si>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</si>
  <si>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</si>
  <si>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</si>
  <si>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</si>
  <si>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</si>
  <si>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</si>
  <si>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</si>
  <si>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</si>
  <si>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</si>
  <si>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</si>
  <si>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</si>
  <si>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</si>
  <si>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</si>
  <si>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</si>
  <si>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</si>
  <si>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</si>
  <si>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</si>
  <si>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</si>
  <si>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</si>
  <si>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</si>
  <si>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</si>
  <si>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</si>
  <si>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</si>
  <si>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</si>
  <si>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</si>
  <si>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</si>
  <si>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</si>
  <si>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</si>
  <si>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</si>
  <si>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</si>
  <si>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</si>
  <si>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</si>
  <si>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</si>
  <si>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</si>
  <si>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</si>
  <si>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</si>
  <si>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</si>
  <si>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</si>
  <si>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</si>
  <si>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</si>
  <si>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</si>
  <si>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</si>
  <si>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</si>
  <si>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</si>
  <si>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</si>
  <si>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</si>
  <si>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</si>
  <si>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</si>
  <si>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</si>
  <si>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</si>
  <si>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</si>
  <si>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</si>
  <si>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</si>
  <si>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</si>
  <si>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</si>
  <si>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</si>
  <si>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</si>
  <si>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</si>
  <si>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</si>
  <si>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</si>
  <si>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</si>
  <si>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</si>
  <si>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</si>
  <si>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</si>
  <si>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</si>
  <si>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</si>
  <si>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</si>
  <si>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</si>
  <si>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</si>
  <si>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</si>
  <si>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</si>
  <si>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</si>
  <si>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</si>
  <si>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</si>
  <si>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</si>
  <si>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</si>
  <si>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</si>
  <si>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</si>
  <si>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</si>
  <si>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</si>
  <si>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</si>
  <si>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</si>
  <si>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</si>
  <si>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</si>
  <si>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</si>
  <si>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</si>
  <si>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</si>
  <si>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</si>
  <si>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</si>
  <si>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</si>
  <si>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</si>
  <si>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</si>
  <si>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</si>
  <si>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</si>
  <si>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</si>
  <si>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</si>
  <si>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</si>
  <si>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</si>
  <si>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</si>
  <si>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</si>
  <si>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</si>
  <si>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</si>
  <si>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</si>
  <si>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</si>
  <si>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</si>
  <si>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</si>
  <si>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</si>
  <si>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</si>
  <si>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</si>
  <si>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</si>
  <si>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</si>
  <si>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</si>
  <si>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</si>
  <si>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</si>
  <si>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</si>
  <si>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</si>
  <si>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</si>
  <si>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</si>
  <si>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</si>
  <si>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</si>
  <si>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</si>
  <si>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</si>
  <si>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</si>
  <si>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</si>
  <si>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</si>
  <si>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</si>
  <si>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</si>
  <si>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</si>
  <si>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</si>
  <si>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</si>
  <si>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</si>
  <si>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</si>
  <si>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</si>
  <si>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</si>
  <si>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</si>
  <si>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</si>
  <si>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</si>
  <si>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</si>
  <si>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</si>
  <si>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</si>
  <si>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</si>
  <si>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</si>
  <si>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</si>
  <si>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</si>
  <si>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</si>
  <si>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</si>
  <si>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</si>
  <si>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</si>
  <si>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</si>
  <si>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</si>
  <si>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</si>
  <si>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</si>
  <si>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</si>
  <si>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</si>
  <si>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</si>
  <si>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</si>
  <si>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</si>
  <si>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</si>
  <si>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</si>
  <si>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</si>
  <si>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</si>
  <si>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</si>
  <si>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</si>
  <si>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</si>
  <si>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</si>
  <si>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</si>
  <si>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</si>
  <si>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</si>
  <si>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</si>
  <si>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</si>
  <si>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</si>
  <si>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</si>
  <si>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</si>
  <si>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</si>
  <si>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</si>
  <si>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</si>
  <si>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</si>
  <si>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</si>
  <si>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</si>
  <si>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</si>
  <si>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</si>
  <si>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</si>
  <si>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</si>
  <si>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</si>
  <si>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</si>
  <si>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</si>
  <si>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</si>
  <si>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</si>
  <si>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</si>
  <si>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</si>
  <si>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</si>
  <si>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</si>
  <si>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</si>
  <si>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</si>
  <si>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</si>
  <si>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</si>
  <si>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</si>
  <si>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</si>
  <si>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</si>
  <si>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</si>
  <si>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</si>
  <si>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</si>
  <si>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</si>
  <si>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</si>
  <si>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</si>
  <si>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</si>
  <si>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</si>
  <si>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</si>
  <si>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</si>
  <si>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</si>
  <si>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</si>
  <si>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</si>
  <si>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</si>
  <si>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</si>
  <si>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</si>
  <si>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</si>
  <si>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</si>
  <si>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</si>
  <si>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</si>
  <si>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</si>
  <si>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</si>
  <si>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</si>
  <si>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</si>
  <si>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</si>
  <si>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</si>
  <si>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</si>
  <si>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</si>
  <si>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</si>
  <si>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</si>
  <si>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</si>
  <si>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</si>
  <si>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</si>
  <si>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</si>
  <si>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</si>
  <si>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</si>
  <si>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</si>
  <si>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</si>
  <si>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</si>
  <si>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</si>
  <si>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</si>
  <si>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</si>
  <si>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</si>
  <si>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</si>
  <si>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</si>
  <si>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</si>
  <si>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</si>
  <si>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</si>
  <si>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</si>
  <si>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</si>
  <si>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</si>
  <si>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</si>
  <si>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</si>
  <si>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</si>
  <si>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</si>
  <si>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</si>
  <si>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</si>
  <si>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</si>
  <si>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</si>
  <si>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</si>
  <si>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</si>
  <si>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</si>
  <si>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</si>
  <si>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</si>
  <si>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</si>
  <si>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</si>
  <si>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</si>
  <si>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</si>
  <si>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</si>
  <si>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</si>
  <si>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</si>
  <si>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</si>
  <si>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</si>
  <si>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</si>
  <si>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</si>
  <si>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</si>
  <si>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</si>
  <si>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</si>
  <si>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</si>
  <si>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</si>
  <si>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</si>
  <si>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</si>
  <si>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</si>
  <si>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</si>
  <si>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</si>
  <si>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</si>
  <si>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</si>
  <si>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</si>
  <si>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</si>
  <si>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</si>
  <si>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</si>
  <si>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</si>
  <si>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</si>
  <si>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</si>
  <si>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</si>
  <si>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</si>
  <si>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</si>
  <si>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</si>
  <si>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</si>
  <si>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</si>
  <si>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</si>
  <si>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</si>
  <si>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</si>
  <si>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</si>
  <si>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</si>
  <si>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</si>
  <si>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</si>
  <si>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</si>
  <si>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</si>
  <si>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</si>
  <si>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</si>
  <si>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</si>
  <si>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</si>
  <si>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</si>
  <si>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</si>
  <si>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</si>
  <si>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</si>
  <si>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</si>
  <si>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</si>
  <si>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</si>
  <si>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</si>
  <si>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</si>
  <si>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</si>
  <si>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</si>
  <si>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</si>
  <si>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</si>
  <si>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</si>
  <si>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</si>
  <si>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</si>
  <si>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</si>
  <si>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</si>
  <si>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</si>
  <si>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</si>
  <si>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</si>
  <si>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</si>
  <si>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</si>
  <si>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</si>
  <si>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</si>
  <si>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</si>
  <si>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</si>
  <si>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</si>
  <si>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</si>
  <si>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</si>
  <si>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</si>
  <si>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</si>
  <si>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</si>
  <si>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</si>
  <si>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</si>
  <si>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</si>
  <si>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</si>
  <si>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</si>
  <si>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</si>
  <si>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</si>
  <si>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</si>
  <si>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</si>
  <si>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</si>
  <si>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</si>
  <si>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</si>
  <si>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</si>
  <si>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</si>
  <si>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</si>
  <si>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</si>
  <si>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</si>
  <si>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</si>
  <si>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</si>
  <si>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</si>
  <si>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</si>
  <si>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</si>
  <si>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</si>
  <si>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</si>
  <si>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</si>
  <si>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</si>
  <si>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</si>
  <si>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</si>
  <si>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</si>
  <si>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</si>
  <si>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</si>
  <si>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</si>
  <si>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</si>
  <si>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</si>
  <si>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</si>
  <si>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</si>
  <si>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</si>
  <si>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</si>
  <si>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</si>
  <si>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</si>
  <si>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</si>
  <si>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</si>
  <si>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</si>
  <si>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</si>
  <si>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</si>
  <si>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</si>
  <si>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</si>
  <si>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</si>
  <si>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</si>
  <si>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</si>
  <si>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</si>
  <si>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</si>
  <si>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</si>
  <si>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</si>
  <si>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</si>
  <si>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</si>
  <si>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</si>
  <si>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</si>
  <si>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</si>
  <si>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</si>
  <si>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</si>
  <si>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</si>
  <si>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</si>
  <si>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</si>
  <si>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</si>
  <si>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</si>
  <si>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</si>
  <si>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</si>
  <si>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</si>
  <si>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</si>
  <si>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</si>
  <si>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</si>
  <si>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</si>
  <si>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</si>
  <si>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</si>
  <si>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</si>
  <si>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</si>
  <si>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</si>
  <si>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</si>
  <si>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</si>
  <si>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</si>
  <si>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</si>
  <si>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</si>
  <si>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</si>
  <si>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</si>
  <si>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</si>
  <si>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</si>
  <si>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</si>
  <si>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</si>
  <si>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</si>
  <si>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</si>
  <si>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</si>
  <si>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</si>
  <si>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</si>
  <si>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</si>
  <si>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</si>
  <si>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</si>
  <si>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</si>
  <si>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</si>
  <si>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</si>
  <si>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</si>
  <si>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</si>
  <si>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</si>
  <si>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</si>
  <si>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</si>
  <si>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</si>
  <si>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</si>
  <si>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</si>
  <si>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</si>
  <si>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</si>
  <si>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</si>
  <si>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</si>
  <si>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</si>
  <si>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</si>
  <si>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</si>
  <si>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</si>
  <si>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</si>
  <si>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</si>
  <si>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</si>
  <si>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</si>
  <si>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</si>
  <si>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</si>
  <si>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</si>
  <si>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</si>
  <si>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</si>
  <si>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</si>
  <si>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</si>
  <si>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</si>
  <si>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</si>
  <si>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</si>
  <si>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</si>
  <si>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</si>
  <si>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</si>
  <si>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</si>
  <si>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</si>
  <si>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</si>
  <si>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</si>
  <si>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</si>
  <si>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</si>
  <si>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</si>
  <si>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</si>
  <si>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</si>
  <si>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</si>
  <si>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</si>
  <si>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</si>
  <si>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</si>
  <si>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</si>
  <si>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</si>
  <si>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</si>
  <si>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</si>
  <si>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</si>
  <si>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</si>
  <si>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</si>
  <si>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</si>
  <si>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</si>
  <si>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</si>
  <si>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</si>
  <si>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</si>
  <si>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</si>
  <si>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</si>
  <si>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</si>
  <si>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</si>
  <si>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</si>
  <si>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</si>
  <si>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</si>
  <si>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</si>
  <si>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</si>
  <si>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</si>
  <si>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</si>
  <si>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</si>
  <si>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</si>
  <si>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</si>
  <si>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</si>
  <si>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</si>
  <si>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</si>
  <si>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</si>
  <si>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</si>
  <si>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</si>
  <si>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</si>
  <si>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</si>
  <si>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</si>
  <si>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</si>
  <si>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</si>
  <si>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</si>
  <si>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</si>
  <si>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</si>
  <si>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</si>
  <si>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</si>
  <si>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</si>
  <si>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</si>
  <si>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</si>
  <si>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</si>
  <si>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</si>
  <si>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</si>
  <si>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</si>
  <si>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</si>
  <si>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</si>
  <si>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</si>
  <si>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</si>
  <si>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</si>
  <si>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</si>
  <si>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</si>
  <si>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</si>
  <si>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</si>
  <si>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</si>
  <si>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</si>
  <si>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</si>
  <si>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</si>
  <si>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</si>
  <si>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</si>
  <si>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</si>
  <si>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</si>
  <si>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</si>
  <si>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</si>
  <si>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</si>
  <si>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</si>
  <si>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</si>
  <si>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</si>
  <si>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</si>
  <si>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</si>
  <si>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</si>
  <si>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</si>
  <si>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</si>
  <si>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</si>
  <si>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</si>
  <si>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</si>
  <si>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</si>
  <si>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</si>
  <si>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</si>
  <si>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</si>
  <si>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</si>
  <si>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</si>
  <si>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</si>
  <si>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</si>
  <si>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</si>
  <si>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</si>
  <si>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</si>
  <si>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</si>
  <si>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</si>
  <si>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</si>
  <si>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</si>
  <si>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</si>
  <si>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</si>
  <si>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</si>
  <si>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</si>
  <si>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</si>
  <si>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</si>
  <si>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</si>
  <si>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</si>
  <si>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</si>
  <si>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</si>
  <si>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</si>
  <si>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</si>
  <si>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</si>
  <si>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</si>
  <si>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</si>
  <si>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</si>
  <si>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</si>
  <si>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</si>
  <si>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</si>
  <si>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</si>
  <si>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</si>
  <si>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</si>
  <si>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</si>
  <si>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</si>
  <si>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</si>
  <si>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</si>
  <si>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</si>
  <si>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</si>
  <si>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</si>
  <si>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</si>
  <si>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</si>
  <si>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</si>
  <si>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</si>
  <si>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</si>
  <si>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</si>
  <si>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</si>
  <si>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</si>
  <si>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</si>
  <si>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</si>
  <si>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</si>
  <si>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</si>
  <si>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</si>
  <si>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</si>
  <si>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</si>
  <si>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</si>
  <si>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</si>
  <si>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</si>
  <si>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</si>
  <si>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</si>
  <si>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</si>
  <si>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</si>
  <si>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</si>
  <si>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</si>
  <si>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</si>
  <si>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</si>
  <si>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</si>
  <si>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</si>
  <si>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</si>
  <si>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</si>
  <si>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</si>
  <si>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</si>
  <si>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</si>
  <si>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</si>
  <si>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</si>
  <si>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</si>
  <si>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</si>
  <si>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</si>
  <si>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</si>
  <si>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</si>
  <si>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</si>
  <si>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</si>
  <si>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</si>
  <si>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</si>
  <si>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</si>
  <si>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</si>
  <si>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</si>
  <si>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</si>
  <si>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</si>
  <si>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</si>
  <si>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</si>
  <si>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</si>
  <si>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</si>
  <si>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</si>
  <si>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</si>
  <si>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</si>
  <si>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</si>
  <si>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</si>
  <si>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</si>
  <si>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</si>
  <si>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</si>
  <si>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</si>
  <si>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</si>
  <si>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</si>
  <si>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</si>
  <si>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</si>
  <si>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</si>
  <si>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</si>
  <si>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</si>
  <si>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</si>
  <si>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</si>
  <si>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</si>
  <si>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</si>
  <si>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</si>
  <si>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</si>
  <si>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</si>
  <si>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</si>
  <si>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</si>
  <si>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</si>
  <si>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</si>
  <si>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</si>
  <si>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</si>
  <si>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</si>
  <si>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</si>
  <si>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</si>
  <si>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</si>
  <si>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</si>
  <si>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</si>
  <si>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</si>
  <si>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</si>
  <si>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</si>
  <si>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</si>
  <si>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</si>
  <si>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</si>
  <si>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</si>
  <si>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</si>
  <si>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</si>
  <si>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</si>
  <si>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</si>
  <si>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</si>
  <si>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</si>
  <si>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</si>
  <si>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</si>
  <si>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</si>
  <si>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</si>
  <si>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</si>
  <si>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</si>
  <si>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</si>
  <si>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</si>
  <si>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</si>
  <si>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</si>
  <si>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</si>
  <si>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</si>
  <si>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</si>
  <si>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</si>
  <si>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</si>
  <si>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</si>
  <si>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</si>
  <si>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</si>
  <si>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</si>
  <si>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</si>
  <si>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</si>
  <si>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</si>
  <si>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</si>
  <si>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</si>
  <si>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</si>
  <si>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</si>
  <si>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</si>
  <si>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</si>
  <si>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</si>
  <si>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</si>
  <si>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</si>
  <si>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</si>
  <si>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</si>
  <si>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</si>
  <si>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</si>
  <si>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</si>
  <si>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</si>
  <si>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</si>
  <si>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</si>
  <si>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</si>
  <si>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</si>
  <si>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</si>
  <si>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</si>
  <si>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</si>
  <si>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</si>
  <si>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</si>
  <si>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</si>
  <si>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</si>
  <si>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</si>
  <si>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</si>
  <si>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</si>
  <si>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</si>
  <si>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</si>
  <si>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</si>
  <si>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</si>
  <si>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</si>
  <si>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</si>
  <si>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</si>
  <si>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</si>
  <si>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</si>
  <si>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</si>
  <si>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</si>
  <si>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</si>
  <si>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</si>
  <si>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</si>
  <si>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</si>
  <si>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</si>
  <si>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</si>
  <si>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</si>
  <si>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</si>
  <si>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</si>
  <si>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</si>
  <si>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</si>
  <si>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</si>
  <si>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</si>
  <si>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</si>
  <si>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</si>
  <si>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</si>
  <si>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</si>
  <si>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</si>
  <si>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</si>
  <si>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</si>
  <si>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</si>
  <si>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</si>
  <si>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</si>
  <si>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</si>
  <si>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</si>
  <si>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</si>
  <si>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</si>
  <si>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</si>
  <si>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</si>
  <si>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</si>
  <si>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</si>
  <si>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</si>
  <si>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</si>
  <si>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</si>
  <si>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</si>
  <si>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</si>
  <si>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</si>
  <si>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</si>
  <si>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</si>
  <si>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</si>
  <si>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</si>
  <si>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</si>
  <si>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</si>
  <si>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</si>
  <si>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</si>
  <si>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</si>
  <si>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</si>
  <si>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</si>
  <si>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</si>
  <si>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</si>
  <si>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</si>
  <si>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</si>
  <si>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</si>
  <si>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</si>
  <si>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</si>
  <si>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</si>
  <si>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</si>
  <si>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</si>
  <si>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</si>
  <si>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</si>
  <si>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</si>
  <si>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</si>
  <si>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</si>
  <si>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</si>
  <si>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</si>
  <si>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</si>
  <si>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</si>
  <si>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</si>
  <si>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</si>
  <si>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</si>
  <si>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</si>
  <si>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</si>
  <si>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</si>
  <si>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</si>
  <si>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</si>
  <si>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</si>
  <si>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</si>
  <si>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</si>
  <si>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</si>
  <si>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</si>
  <si>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</si>
  <si>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</si>
  <si>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</si>
  <si>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</si>
  <si>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</si>
  <si>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</si>
  <si>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</si>
  <si>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</si>
  <si>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</si>
  <si>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</si>
  <si>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</si>
  <si>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</si>
  <si>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</si>
  <si>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</si>
  <si>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</si>
  <si>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</si>
  <si>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</si>
  <si>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</si>
  <si>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</si>
  <si>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</si>
  <si>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</si>
  <si>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</si>
  <si>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</si>
  <si>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</si>
  <si>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</si>
  <si>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</si>
  <si>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</si>
  <si>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</si>
  <si>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</si>
  <si>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</si>
  <si>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</si>
  <si>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</si>
  <si>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</si>
  <si>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</si>
  <si>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</si>
  <si>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</si>
  <si>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</si>
  <si>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</si>
  <si>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</si>
  <si>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</si>
  <si>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</si>
  <si>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</si>
  <si>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</si>
  <si>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</si>
  <si>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</si>
  <si>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</si>
  <si>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</si>
  <si>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</si>
  <si>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</si>
  <si>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</si>
  <si>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</si>
  <si>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</si>
  <si>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</si>
  <si>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</si>
  <si>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</si>
  <si>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</si>
  <si>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</si>
  <si>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</si>
  <si>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</si>
  <si>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</si>
  <si>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</si>
  <si>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</si>
  <si>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</si>
  <si>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</si>
  <si>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</si>
  <si>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</si>
  <si>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</si>
  <si>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</si>
  <si>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</si>
  <si>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</si>
  <si>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</si>
  <si>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</si>
  <si>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</si>
  <si>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</si>
  <si>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</si>
  <si>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</si>
  <si>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</si>
  <si>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</si>
  <si>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</si>
  <si>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</si>
  <si>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</si>
  <si>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</si>
  <si>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</si>
  <si>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</si>
  <si>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</si>
  <si>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</si>
  <si>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</si>
  <si>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</si>
  <si>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</si>
  <si>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</si>
  <si>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</si>
  <si>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</si>
  <si>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</si>
  <si>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</si>
  <si>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</si>
  <si>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</si>
  <si>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</si>
  <si>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</si>
  <si>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</si>
  <si>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</si>
  <si>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</si>
  <si>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</si>
  <si>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</si>
  <si>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</si>
  <si>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</si>
  <si>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</si>
  <si>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</si>
  <si>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</si>
  <si>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</si>
  <si>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</si>
  <si>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</si>
  <si>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</si>
  <si>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</si>
  <si>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</si>
  <si>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</si>
  <si>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</si>
  <si>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</si>
  <si>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</si>
  <si>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</si>
  <si>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</si>
  <si>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</si>
  <si>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</si>
  <si>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</si>
  <si>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</si>
  <si>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</si>
  <si>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</si>
  <si>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</si>
  <si>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</si>
  <si>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</si>
  <si>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</si>
  <si>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</si>
  <si>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</si>
  <si>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</si>
  <si>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</si>
  <si>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</si>
  <si>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</si>
  <si>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</si>
  <si>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</si>
  <si>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</si>
  <si>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</si>
  <si>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</si>
  <si>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</si>
  <si>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</si>
  <si>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</si>
  <si>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</si>
  <si>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</si>
  <si>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</si>
  <si>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</si>
  <si>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</si>
  <si>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</si>
  <si>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</si>
  <si>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</si>
  <si>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</si>
  <si>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</si>
  <si>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</si>
  <si>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</si>
  <si>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</si>
  <si>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</si>
  <si>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</si>
  <si>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</si>
  <si>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</si>
  <si>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</si>
  <si>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</si>
  <si>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</si>
  <si>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</si>
  <si>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</si>
  <si>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</si>
  <si>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</si>
  <si>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</si>
  <si>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</si>
  <si>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</si>
  <si>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</si>
  <si>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</si>
  <si>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</si>
  <si>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</si>
  <si>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</si>
  <si>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</si>
  <si>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</si>
  <si>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</si>
  <si>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</si>
  <si>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</si>
  <si>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</si>
  <si>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</si>
  <si>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</si>
  <si>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</si>
  <si>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</si>
  <si>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</si>
  <si>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</si>
  <si>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</si>
  <si>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</si>
  <si>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</si>
  <si>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</si>
  <si>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</si>
  <si>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</si>
  <si>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</si>
  <si>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</si>
  <si>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</si>
  <si>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</si>
  <si>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</si>
  <si>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</si>
  <si>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</si>
  <si>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</si>
  <si>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</si>
  <si>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</si>
  <si>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</si>
  <si>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</si>
  <si>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</si>
  <si>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</si>
  <si>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</si>
  <si>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</si>
  <si>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</si>
  <si>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</si>
  <si>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</si>
  <si>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</si>
  <si>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</si>
  <si>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</si>
  <si>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</si>
  <si>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</si>
  <si>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</si>
  <si>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</si>
  <si>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</si>
  <si>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</si>
  <si>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</si>
  <si>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</si>
  <si>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</si>
  <si>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</si>
  <si>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</si>
  <si>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</si>
  <si>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</si>
  <si>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</si>
  <si>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</si>
  <si>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</si>
  <si>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</si>
  <si>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</si>
  <si>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</si>
  <si>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</si>
  <si>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</si>
  <si>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</si>
  <si>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</si>
  <si>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</si>
  <si>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</si>
  <si>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</si>
  <si>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</si>
  <si>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</si>
  <si>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</si>
  <si>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</si>
  <si>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</si>
  <si>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</si>
  <si>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</si>
  <si>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</si>
  <si>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</si>
  <si>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</si>
  <si>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</si>
  <si>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</si>
  <si>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</si>
  <si>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</si>
  <si>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</si>
  <si>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</si>
  <si>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</si>
  <si>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</si>
  <si>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</si>
  <si>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</si>
  <si>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</si>
  <si>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</si>
  <si>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</si>
  <si>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</si>
  <si>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</si>
  <si>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</si>
  <si>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</si>
  <si>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</si>
  <si>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</si>
  <si>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</si>
  <si>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</si>
  <si>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</si>
  <si>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</si>
  <si>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</si>
  <si>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</si>
  <si>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</si>
  <si>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</si>
  <si>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</si>
  <si>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</si>
  <si>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</si>
  <si>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</si>
  <si>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</si>
  <si>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</si>
  <si>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</si>
  <si>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</si>
  <si>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</si>
  <si>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</si>
  <si>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</si>
  <si>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</si>
  <si>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</si>
  <si>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</si>
  <si>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</si>
  <si>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</si>
  <si>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</si>
  <si>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</si>
  <si>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</si>
  <si>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</si>
  <si>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</si>
  <si>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</si>
  <si>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</si>
  <si>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</si>
  <si>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</si>
  <si>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</si>
  <si>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</si>
  <si>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</si>
  <si>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</si>
  <si>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</si>
  <si>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</si>
  <si>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</si>
  <si>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</si>
  <si>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</si>
  <si>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</si>
  <si>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</si>
  <si>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</si>
  <si>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</si>
  <si>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</si>
  <si>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</si>
  <si>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</si>
  <si>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</si>
  <si>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</si>
  <si>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</si>
  <si>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</si>
  <si>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</si>
  <si>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</si>
  <si>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</si>
  <si>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</si>
  <si>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</si>
  <si>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</si>
  <si>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</si>
  <si>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</si>
  <si>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</si>
  <si>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</si>
  <si>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</si>
  <si>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</si>
  <si>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</si>
  <si>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</si>
  <si>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</si>
  <si>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</si>
  <si>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</si>
  <si>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</si>
  <si>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</si>
  <si>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</si>
  <si>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</si>
  <si>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</si>
  <si>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</si>
  <si>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</si>
  <si>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</si>
  <si>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</si>
  <si>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</si>
  <si>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</si>
  <si>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</si>
  <si>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</si>
  <si>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</si>
  <si>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</si>
  <si>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</si>
  <si>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</si>
  <si>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</si>
  <si>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</si>
  <si>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</si>
  <si>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</si>
  <si>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</si>
  <si>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</si>
  <si>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</si>
  <si>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</si>
  <si>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</si>
  <si>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</si>
  <si>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</si>
  <si>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</si>
  <si>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</si>
  <si>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</si>
  <si>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</si>
  <si>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</si>
  <si>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</si>
  <si>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</si>
  <si>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</si>
  <si>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</si>
  <si>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</si>
  <si>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</si>
  <si>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</si>
  <si>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</si>
  <si>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</si>
  <si>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</si>
  <si>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</si>
  <si>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</si>
  <si>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</si>
  <si>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</si>
  <si>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</si>
  <si>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</si>
  <si>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</si>
  <si>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</si>
  <si>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</si>
  <si>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</si>
  <si>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</si>
  <si>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</si>
  <si>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</si>
  <si>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</si>
  <si>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</si>
  <si>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</si>
  <si>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</si>
  <si>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</si>
  <si>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</si>
  <si>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</si>
  <si>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</si>
  <si>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</si>
  <si>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</si>
  <si>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</si>
  <si>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</si>
  <si>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</si>
  <si>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</si>
  <si>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</si>
  <si>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</si>
  <si>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</si>
  <si>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</si>
  <si>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</si>
  <si>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</si>
  <si>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</si>
  <si>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</si>
  <si>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</si>
  <si>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</si>
  <si>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</si>
  <si>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</si>
  <si>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</si>
  <si>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</si>
  <si>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</si>
  <si>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</si>
  <si>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</si>
  <si>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</si>
  <si>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</si>
  <si>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</si>
  <si>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</si>
  <si>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</si>
  <si>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</si>
  <si>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</si>
  <si>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</si>
  <si>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</si>
  <si>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</si>
  <si>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</si>
  <si>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</si>
  <si>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</si>
  <si>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</si>
  <si>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</si>
  <si>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</si>
  <si>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</si>
  <si>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</si>
  <si>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</si>
  <si>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</si>
  <si>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</si>
  <si>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</si>
  <si>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</si>
  <si>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</si>
  <si>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</si>
  <si>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</si>
  <si>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</si>
  <si>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</si>
  <si>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</si>
  <si>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</si>
  <si>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</si>
  <si>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</si>
  <si>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</si>
  <si>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</si>
  <si>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</si>
  <si>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</si>
  <si>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</si>
  <si>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</si>
  <si>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</si>
  <si>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</si>
  <si>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</si>
  <si>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</si>
  <si>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</si>
  <si>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</si>
  <si>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</si>
  <si>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</si>
  <si>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</si>
  <si>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</si>
  <si>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</si>
  <si>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</si>
  <si>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</si>
  <si>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</si>
  <si>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</si>
  <si>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</si>
  <si>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</si>
  <si>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</si>
  <si>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</si>
  <si>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</si>
  <si>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</si>
  <si>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</si>
  <si>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</si>
  <si>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</si>
  <si>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</si>
  <si>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</si>
  <si>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</si>
  <si>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</si>
  <si>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</si>
  <si>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</si>
  <si>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</si>
  <si>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</si>
  <si>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</si>
  <si>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</si>
  <si>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</si>
  <si>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</si>
  <si>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</si>
  <si>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</si>
  <si>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</si>
  <si>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</si>
  <si>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</si>
  <si>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</si>
  <si>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</si>
  <si>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</si>
  <si>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</si>
  <si>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</si>
  <si>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</si>
  <si>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</si>
  <si>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</si>
  <si>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</si>
  <si>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</si>
  <si>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</si>
  <si>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</si>
  <si>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</si>
  <si>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</si>
  <si>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</si>
  <si>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</si>
  <si>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</si>
  <si>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</si>
  <si>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</si>
  <si>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</si>
  <si>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</si>
  <si>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</si>
  <si>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</si>
  <si>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</si>
  <si>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</si>
  <si>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</si>
  <si>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</si>
  <si>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</si>
  <si>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</si>
  <si>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</si>
  <si>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</si>
  <si>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</si>
  <si>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</si>
  <si>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</si>
  <si>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</si>
  <si>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</si>
  <si>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</si>
  <si>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</si>
  <si>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</si>
  <si>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</si>
  <si>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</si>
  <si>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</si>
  <si>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</si>
  <si>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</si>
  <si>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</si>
  <si>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</si>
  <si>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</si>
  <si>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</si>
  <si>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</si>
  <si>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</si>
  <si>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</si>
  <si>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</si>
  <si>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</si>
  <si>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</si>
  <si>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</si>
  <si>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</si>
  <si>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</si>
  <si>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</si>
  <si>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</si>
  <si>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</si>
  <si>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</si>
  <si>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</si>
  <si>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</si>
  <si>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</si>
  <si>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</si>
  <si>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</si>
  <si>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</si>
  <si>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</si>
  <si>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</si>
  <si>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</si>
  <si>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</si>
  <si>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</si>
  <si>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</si>
  <si>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</si>
  <si>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</si>
  <si>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</si>
  <si>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</si>
  <si>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</si>
  <si>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</si>
  <si>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</si>
  <si>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</si>
  <si>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</si>
  <si>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</si>
  <si>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</si>
  <si>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</si>
  <si>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</si>
  <si>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</si>
  <si>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</si>
  <si>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</si>
  <si>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</si>
  <si>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</si>
  <si>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</si>
  <si>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</si>
  <si>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</si>
  <si>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</si>
  <si>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</si>
  <si>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</si>
  <si>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</si>
  <si>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</si>
  <si>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</si>
  <si>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</si>
  <si>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</si>
  <si>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</si>
  <si>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</si>
  <si>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</si>
  <si>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</si>
  <si>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</si>
  <si>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</si>
  <si>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</si>
  <si>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</si>
  <si>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</si>
  <si>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</si>
  <si>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</si>
  <si>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</si>
  <si>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</si>
  <si>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</si>
  <si>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</si>
  <si>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</si>
  <si>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</si>
  <si>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</si>
  <si>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</si>
  <si>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</si>
  <si>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</si>
  <si>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</si>
  <si>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</si>
  <si>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</si>
  <si>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</si>
  <si>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</si>
  <si>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</si>
  <si>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</si>
  <si>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</si>
  <si>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</si>
  <si>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</si>
  <si>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</si>
  <si>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</si>
  <si>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</si>
  <si>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</si>
  <si>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</si>
  <si>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</si>
  <si>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</si>
  <si>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</si>
  <si>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</si>
  <si>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</si>
  <si>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</si>
  <si>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</si>
  <si>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</si>
  <si>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</si>
  <si>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</si>
  <si>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</si>
  <si>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</si>
  <si>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</si>
  <si>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</si>
  <si>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</si>
  <si>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</si>
  <si>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</si>
  <si>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</si>
  <si>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</si>
  <si>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</si>
  <si>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</si>
  <si>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</si>
  <si>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</si>
  <si>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</si>
  <si>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</si>
  <si>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</si>
  <si>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</si>
  <si>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</si>
  <si>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</si>
  <si>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</si>
  <si>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</si>
  <si>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</si>
  <si>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</si>
  <si>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</si>
  <si>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</si>
  <si>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</si>
  <si>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</si>
  <si>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</si>
  <si>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</si>
  <si>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</si>
  <si>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</si>
  <si>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</si>
  <si>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</si>
  <si>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</si>
  <si>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</si>
  <si>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</si>
  <si>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</si>
  <si>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</si>
  <si>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</si>
  <si>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</si>
  <si>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</si>
  <si>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</si>
  <si>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</si>
  <si>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</si>
  <si>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</si>
  <si>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</si>
  <si>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</si>
  <si>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</si>
  <si>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</si>
  <si>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</si>
  <si>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</si>
  <si>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</si>
  <si>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</si>
  <si>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</si>
  <si>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</si>
  <si>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</si>
  <si>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</si>
  <si>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</si>
  <si>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</si>
  <si>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</si>
  <si>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</si>
  <si>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</si>
  <si>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</si>
  <si>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</si>
  <si>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</si>
  <si>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</si>
  <si>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</si>
  <si>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</si>
  <si>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</si>
  <si>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</si>
  <si>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</si>
  <si>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</si>
  <si>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</si>
  <si>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</si>
  <si>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</si>
  <si>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</si>
  <si>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</si>
  <si>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</si>
  <si>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</si>
  <si>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</si>
  <si>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</si>
  <si>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</si>
  <si>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</si>
  <si>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</si>
  <si>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</si>
  <si>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</si>
  <si>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</si>
  <si>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</si>
  <si>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</si>
  <si>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</si>
  <si>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</si>
  <si>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</si>
  <si>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</si>
  <si>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</si>
  <si>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</si>
  <si>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</si>
  <si>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</si>
  <si>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</si>
  <si>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</si>
  <si>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</si>
  <si>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</si>
  <si>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</si>
  <si>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</si>
  <si>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</si>
  <si>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</si>
  <si>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</si>
  <si>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</si>
  <si>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</si>
  <si>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</si>
  <si>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</si>
  <si>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</si>
  <si>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</si>
  <si>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</si>
  <si>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</si>
  <si>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</si>
  <si>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</si>
  <si>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</si>
  <si>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</si>
  <si>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</si>
  <si>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</si>
  <si>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</si>
  <si>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</si>
  <si>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</si>
  <si>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</si>
  <si>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</si>
  <si>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</si>
  <si>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</si>
  <si>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</si>
  <si>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</si>
  <si>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</si>
  <si>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</si>
  <si>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</si>
  <si>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</si>
  <si>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</si>
  <si>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</si>
  <si>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</si>
  <si>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</si>
  <si>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</si>
  <si>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</si>
  <si>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</si>
  <si>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</si>
  <si>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</si>
  <si>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</si>
  <si>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</si>
  <si>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</si>
  <si>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</si>
  <si>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</si>
  <si>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</si>
  <si>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</si>
  <si>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</si>
  <si>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</si>
  <si>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</si>
  <si>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</si>
  <si>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</si>
  <si>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</si>
  <si>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</si>
  <si>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</si>
  <si>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</si>
  <si>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</si>
  <si>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</si>
  <si>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</si>
  <si>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</si>
  <si>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</si>
  <si>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</si>
  <si>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</si>
  <si>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</si>
  <si>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</si>
  <si>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</si>
  <si>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</si>
  <si>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</si>
  <si>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</si>
  <si>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</si>
  <si>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</si>
  <si>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</si>
  <si>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</si>
  <si>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</si>
  <si>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</si>
  <si>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</si>
  <si>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</si>
  <si>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</si>
  <si>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</si>
  <si>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</si>
  <si>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</si>
  <si>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</si>
  <si>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</si>
  <si>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</si>
  <si>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</si>
  <si>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</si>
  <si>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</si>
  <si>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</si>
  <si>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</si>
  <si>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</si>
  <si>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</si>
  <si>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</si>
  <si>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</si>
  <si>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</si>
  <si>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</si>
  <si>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</si>
  <si>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</si>
  <si>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</si>
  <si>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</si>
  <si>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</si>
  <si>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</si>
  <si>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</si>
  <si>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</si>
  <si>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</si>
  <si>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</si>
  <si>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</si>
  <si>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</si>
  <si>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</si>
  <si>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</si>
  <si>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</si>
  <si>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</si>
  <si>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</si>
  <si>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</si>
  <si>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</si>
  <si>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</si>
  <si>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</si>
  <si>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</si>
  <si>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</si>
  <si>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</si>
  <si>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</si>
  <si>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</si>
  <si>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</si>
  <si>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</si>
  <si>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</si>
  <si>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</si>
  <si>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</si>
  <si>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</si>
  <si>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</si>
  <si>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</si>
  <si>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</si>
  <si>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</si>
  <si>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</si>
  <si>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</si>
  <si>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</si>
  <si>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</si>
  <si>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</si>
  <si>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</si>
  <si>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</si>
  <si>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</si>
  <si>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</si>
  <si>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</si>
  <si>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</si>
  <si>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</si>
  <si>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</si>
  <si>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</si>
  <si>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</si>
  <si>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</si>
  <si>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</si>
  <si>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</si>
  <si>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</si>
  <si>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</si>
  <si>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</si>
  <si>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</si>
  <si>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</si>
  <si>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</si>
  <si>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</si>
  <si>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</si>
  <si>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</si>
  <si>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</si>
  <si>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</si>
  <si>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</si>
  <si>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</si>
  <si>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</si>
  <si>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</si>
  <si>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</si>
  <si>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</si>
  <si>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</si>
  <si>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</si>
  <si>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</si>
  <si>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</si>
  <si>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</si>
  <si>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</si>
  <si>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</si>
  <si>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</si>
  <si>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</si>
  <si>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</si>
  <si>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</si>
  <si>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</si>
  <si>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</si>
  <si>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</si>
  <si>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</si>
  <si>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</si>
  <si>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</si>
  <si>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</si>
  <si>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</si>
  <si>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</si>
  <si>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</si>
  <si>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</si>
  <si>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</si>
  <si>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</si>
  <si>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</si>
  <si>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</si>
  <si>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</si>
  <si>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</si>
  <si>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</si>
  <si>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</si>
  <si>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</si>
  <si>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</si>
  <si>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</si>
  <si>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</si>
  <si>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</si>
  <si>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</si>
  <si>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</si>
  <si>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</si>
  <si>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</si>
  <si>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</si>
  <si>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</si>
  <si>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</si>
  <si>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</si>
  <si>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</si>
  <si>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</si>
  <si>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</si>
  <si>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</si>
  <si>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</si>
  <si>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</si>
  <si>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</si>
  <si>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</si>
  <si>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</si>
  <si>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</si>
  <si>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</si>
  <si>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</si>
  <si>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</si>
  <si>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</si>
  <si>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</si>
  <si>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</si>
  <si>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</si>
  <si>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</si>
  <si>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</si>
  <si>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</si>
  <si>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</si>
  <si>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</si>
  <si>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</si>
  <si>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</si>
  <si>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</si>
  <si>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</si>
  <si>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</si>
  <si>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</si>
  <si>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</si>
  <si>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</si>
  <si>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</si>
  <si>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</si>
  <si>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</si>
  <si>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</si>
  <si>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</si>
  <si>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</si>
  <si>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</si>
  <si>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</si>
  <si>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</si>
  <si>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</si>
  <si>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</si>
  <si>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</si>
  <si>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</si>
  <si>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</si>
  <si>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</si>
  <si>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</si>
  <si>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</si>
  <si>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</si>
  <si>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</si>
  <si>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</si>
  <si>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</si>
  <si>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</si>
  <si>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</si>
  <si>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</si>
  <si>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</si>
  <si>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</si>
  <si>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</si>
  <si>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</si>
  <si>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</si>
  <si>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</si>
  <si>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</si>
  <si>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</si>
  <si>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</si>
  <si>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</si>
  <si>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</si>
  <si>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</si>
  <si>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</si>
  <si>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</si>
  <si>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</si>
  <si>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</si>
  <si>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</si>
  <si>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</si>
  <si>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</si>
  <si>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</si>
  <si>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</si>
  <si>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</si>
  <si>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</si>
  <si>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</si>
  <si>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</si>
  <si>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</si>
  <si>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</si>
  <si>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</si>
  <si>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</si>
  <si>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</si>
  <si>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</si>
  <si>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</si>
  <si>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</si>
  <si>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</si>
  <si>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</si>
  <si>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</si>
  <si>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</si>
  <si>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</si>
  <si>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</si>
  <si>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</si>
  <si>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</si>
  <si>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</si>
  <si>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</si>
  <si>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</si>
  <si>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</si>
  <si>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</si>
  <si>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</si>
  <si>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</si>
  <si>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</si>
  <si>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</si>
  <si>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</si>
  <si>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</si>
  <si>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</si>
  <si>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</si>
  <si>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</si>
  <si>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</si>
  <si>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</si>
  <si>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</si>
  <si>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</si>
  <si>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</si>
  <si>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</si>
  <si>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</si>
  <si>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</si>
  <si>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</si>
  <si>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</si>
  <si>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</si>
  <si>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</si>
  <si>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</si>
  <si>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</si>
  <si>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</si>
  <si>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</si>
  <si>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</si>
  <si>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</si>
  <si>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</si>
  <si>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</si>
  <si>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</si>
  <si>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</si>
  <si>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</si>
  <si>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</si>
  <si>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</si>
  <si>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</si>
  <si>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</si>
  <si>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</si>
  <si>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</si>
  <si>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</si>
  <si>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</si>
  <si>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</si>
  <si>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</si>
  <si>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</si>
  <si>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</si>
  <si>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</si>
  <si>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</si>
  <si>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</si>
  <si>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</si>
  <si>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</si>
  <si>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</si>
  <si>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</si>
  <si>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</si>
  <si>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</si>
  <si>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</si>
  <si>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</si>
  <si>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</si>
  <si>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</si>
  <si>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</si>
  <si>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</si>
  <si>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</si>
  <si>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</si>
  <si>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</si>
  <si>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</si>
  <si>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</si>
  <si>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</si>
  <si>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</si>
  <si>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</si>
  <si>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</si>
  <si>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</si>
  <si>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</si>
  <si>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</si>
  <si>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</si>
  <si>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</si>
  <si>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</si>
  <si>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</si>
  <si>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</si>
  <si>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</si>
  <si>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</si>
  <si>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</si>
  <si>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</si>
  <si>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</si>
  <si>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</si>
  <si>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</si>
  <si>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</si>
  <si>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</si>
  <si>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</si>
  <si>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</si>
  <si>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</si>
  <si>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</si>
  <si>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</si>
  <si>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</si>
  <si>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</si>
  <si>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</si>
  <si>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</si>
  <si>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</si>
  <si>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</si>
  <si>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</si>
  <si>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</si>
  <si>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</si>
  <si>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</si>
  <si>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</si>
  <si>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</si>
  <si>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</si>
  <si>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</si>
  <si>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</si>
  <si>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</si>
  <si>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</si>
  <si>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</si>
  <si>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</si>
  <si>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</si>
  <si>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</si>
  <si>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</si>
  <si>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</si>
  <si>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</si>
  <si>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</si>
  <si>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</si>
  <si>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</si>
  <si>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</si>
  <si>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</si>
  <si>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</si>
  <si>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</si>
  <si>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</si>
  <si>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</si>
  <si>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</si>
  <si>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</si>
  <si>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</si>
  <si>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</si>
  <si>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</si>
  <si>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</si>
  <si>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</si>
  <si>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</si>
  <si>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</si>
  <si>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</si>
  <si>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</si>
  <si>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</si>
  <si>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</si>
  <si>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</si>
  <si>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</si>
  <si>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</si>
  <si>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</si>
  <si>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</si>
  <si>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</si>
  <si>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</si>
  <si>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</si>
  <si>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</si>
  <si>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</si>
  <si>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</si>
  <si>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</si>
  <si>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</si>
  <si>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</si>
  <si>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</si>
  <si>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</si>
  <si>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</si>
  <si>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</si>
  <si>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</si>
  <si>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</si>
  <si>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</si>
  <si>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</si>
  <si>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</si>
  <si>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</si>
  <si>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</si>
  <si>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</si>
  <si>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</si>
  <si>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</si>
  <si>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</si>
  <si>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</si>
  <si>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</si>
  <si>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</si>
  <si>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</si>
  <si>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</si>
  <si>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</si>
  <si>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</si>
  <si>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</si>
  <si>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</si>
  <si>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</si>
  <si>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</si>
  <si>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</si>
  <si>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</si>
  <si>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</si>
  <si>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</si>
  <si>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</si>
  <si>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</si>
  <si>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</si>
  <si>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</si>
  <si>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</si>
  <si>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</si>
  <si>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</si>
  <si>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</si>
  <si>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</si>
  <si>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</si>
  <si>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</si>
  <si>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</si>
  <si>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</si>
  <si>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</si>
  <si>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</si>
  <si>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</si>
  <si>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</si>
  <si>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</si>
  <si>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</si>
  <si>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</si>
  <si>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</si>
  <si>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</si>
  <si>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</si>
  <si>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</si>
  <si>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</si>
  <si>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</si>
  <si>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</si>
  <si>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</si>
  <si>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</si>
  <si>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</si>
  <si>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</si>
  <si>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</si>
  <si>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</si>
  <si>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</si>
  <si>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</si>
  <si>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</si>
  <si>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</si>
  <si>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</si>
  <si>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</si>
  <si>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</si>
  <si>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</si>
  <si>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</si>
  <si>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</si>
  <si>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</si>
  <si>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</si>
  <si>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</si>
  <si>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</si>
  <si>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</si>
  <si>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</si>
  <si>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</si>
  <si>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</si>
  <si>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</si>
  <si>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</si>
  <si>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</si>
  <si>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</si>
  <si>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</si>
  <si>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</si>
  <si>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</si>
  <si>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</si>
  <si>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</si>
  <si>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</si>
  <si>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</si>
  <si>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</si>
  <si>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</si>
  <si>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</si>
  <si>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</si>
  <si>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</si>
  <si>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</si>
  <si>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</si>
  <si>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</si>
  <si>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</si>
  <si>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</si>
  <si>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</si>
  <si>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</si>
  <si>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</si>
  <si>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</si>
  <si>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</si>
  <si>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</si>
  <si>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</si>
  <si>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</si>
  <si>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</si>
  <si>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</si>
  <si>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</si>
  <si>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</si>
  <si>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</si>
  <si>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</si>
  <si>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</si>
  <si>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</si>
  <si>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</si>
  <si>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</si>
  <si>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</si>
  <si>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</si>
  <si>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</si>
  <si>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</si>
  <si>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</si>
  <si>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</si>
  <si>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</si>
  <si>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</si>
  <si>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</si>
  <si>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</si>
  <si>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</si>
  <si>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</si>
  <si>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</si>
  <si>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</si>
  <si>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</si>
  <si>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</si>
  <si>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</si>
  <si>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</si>
  <si>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</si>
  <si>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</si>
  <si>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</si>
  <si>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</si>
  <si>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</si>
  <si>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</si>
  <si>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</si>
  <si>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</si>
  <si>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</si>
  <si>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</si>
  <si>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</si>
  <si>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</si>
  <si>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</si>
  <si>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</si>
  <si>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</si>
  <si>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</si>
  <si>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</si>
  <si>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</si>
  <si>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</si>
  <si>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</si>
  <si>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</si>
  <si>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</si>
  <si>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</si>
  <si>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</si>
  <si>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</si>
  <si>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</si>
  <si>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</si>
  <si>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</si>
  <si>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</si>
  <si>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</si>
  <si>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</si>
  <si>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</si>
  <si>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</si>
  <si>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</si>
  <si>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</si>
  <si>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</si>
  <si>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</si>
  <si>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</si>
  <si>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</si>
  <si>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</si>
  <si>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</si>
  <si>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</si>
  <si>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</si>
  <si>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</si>
  <si>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</si>
  <si>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</si>
  <si>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</si>
  <si>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</si>
  <si>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</si>
  <si>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</si>
  <si>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</si>
  <si>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</si>
  <si>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</si>
  <si>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</si>
  <si>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</si>
  <si>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</si>
  <si>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</si>
  <si>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</si>
  <si>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</si>
  <si>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</si>
  <si>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</si>
  <si>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</si>
  <si>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</si>
  <si>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</si>
  <si>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</si>
  <si>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</si>
  <si>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</si>
  <si>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</si>
  <si>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</si>
  <si>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</si>
  <si>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</si>
  <si>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</si>
  <si>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</si>
  <si>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</si>
  <si>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</si>
  <si>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</si>
  <si>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</si>
  <si>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</si>
  <si>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</si>
  <si>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</si>
  <si>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</si>
  <si>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</si>
  <si>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</si>
  <si>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</si>
  <si>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</si>
  <si>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</si>
  <si>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</si>
  <si>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</si>
  <si>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</si>
  <si>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</si>
  <si>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</si>
  <si>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</si>
  <si>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</si>
  <si>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</si>
  <si>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</si>
  <si>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</si>
  <si>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</si>
  <si>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</si>
  <si>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</si>
  <si>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</si>
  <si>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</si>
  <si>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</si>
  <si>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</si>
  <si>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</si>
  <si>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</si>
  <si>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</si>
  <si>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</si>
  <si>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</si>
  <si>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</si>
  <si>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</si>
  <si>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</si>
  <si>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</si>
  <si>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</si>
  <si>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</si>
  <si>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</si>
  <si>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</si>
  <si>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</si>
  <si>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</si>
  <si>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</si>
  <si>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</si>
  <si>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</si>
  <si>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</si>
  <si>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</si>
  <si>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</si>
  <si>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</si>
  <si>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</si>
  <si>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</si>
  <si>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</si>
  <si>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</si>
  <si>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</si>
  <si>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</si>
  <si>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</si>
  <si>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</si>
  <si>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</si>
  <si>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</si>
  <si>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</si>
  <si>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</si>
  <si>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</si>
  <si>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</si>
  <si>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</si>
  <si>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</si>
  <si>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</si>
  <si>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</si>
  <si>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</si>
  <si>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</si>
  <si>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</si>
  <si>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</si>
  <si>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</si>
  <si>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</si>
  <si>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</si>
  <si>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</si>
  <si>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</si>
  <si>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</si>
  <si>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</si>
  <si>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</si>
  <si>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</si>
  <si>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</si>
  <si>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</si>
  <si>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</si>
  <si>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</si>
  <si>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</si>
  <si>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</si>
  <si>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</si>
  <si>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</si>
  <si>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</si>
  <si>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</si>
  <si>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</si>
  <si>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</si>
  <si>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</si>
  <si>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</si>
  <si>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</si>
  <si>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</si>
  <si>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</si>
  <si>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</si>
  <si>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</si>
  <si>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</si>
  <si>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</si>
  <si>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</si>
  <si>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</si>
  <si>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</si>
  <si>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</si>
  <si>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</si>
  <si>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</si>
  <si>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</si>
  <si>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</si>
  <si>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</si>
  <si>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</si>
  <si>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</si>
  <si>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</si>
  <si>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</si>
  <si>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</si>
  <si>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</si>
  <si>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</si>
  <si>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</si>
  <si>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</si>
  <si>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</si>
  <si>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</si>
  <si>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</si>
  <si>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</si>
  <si>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</si>
  <si>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</si>
  <si>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</si>
  <si>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</si>
  <si>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</si>
  <si>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</si>
  <si>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</si>
  <si>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</si>
  <si>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</si>
  <si>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</si>
  <si>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</si>
  <si>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</si>
  <si>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</si>
  <si>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</si>
  <si>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</si>
  <si>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</si>
  <si>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</si>
  <si>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</si>
  <si>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</si>
  <si>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</si>
  <si>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</si>
  <si>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</si>
  <si>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</si>
  <si>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</si>
  <si>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</si>
  <si>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</si>
  <si>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</si>
  <si>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</si>
  <si>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</si>
  <si>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</si>
  <si>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</si>
  <si>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</si>
  <si>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</si>
  <si>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</si>
  <si>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</si>
  <si>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</si>
  <si>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</si>
  <si>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</si>
  <si>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</si>
  <si>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</si>
  <si>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</si>
  <si>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</si>
  <si>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</si>
  <si>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</si>
  <si>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</si>
  <si>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</si>
  <si>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</si>
  <si>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</si>
  <si>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</si>
  <si>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</si>
  <si>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</si>
  <si>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</si>
  <si>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</si>
  <si>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</si>
  <si>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</si>
  <si>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</si>
  <si>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</si>
  <si>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</si>
  <si>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</si>
  <si>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</si>
  <si>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</si>
  <si>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</si>
  <si>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</si>
  <si>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</si>
  <si>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</si>
  <si>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</si>
  <si>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</si>
  <si>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</si>
  <si>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</si>
  <si>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</si>
  <si>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</si>
  <si>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</si>
  <si>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</si>
  <si>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</si>
  <si>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</si>
  <si>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</si>
  <si>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</si>
  <si>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</si>
  <si>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</si>
  <si>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</si>
  <si>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</si>
  <si>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</si>
  <si>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</si>
  <si>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</si>
  <si>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</si>
  <si>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</si>
  <si>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</si>
  <si>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</si>
  <si>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</si>
  <si>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</si>
  <si>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</si>
  <si>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</si>
  <si>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</si>
  <si>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</si>
  <si>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</si>
  <si>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</si>
  <si>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</si>
  <si>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</si>
  <si>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</si>
  <si>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</si>
  <si>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</si>
  <si>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</si>
  <si>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</si>
  <si>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</si>
  <si>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</si>
  <si>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</si>
  <si>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</si>
  <si>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</si>
  <si>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</si>
  <si>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</si>
  <si>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</si>
  <si>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</si>
  <si>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</si>
  <si>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</si>
  <si>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</si>
  <si>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</si>
  <si>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</si>
  <si>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</si>
  <si>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</si>
  <si>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</si>
  <si>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</si>
  <si>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</si>
  <si>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</si>
  <si>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</si>
  <si>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</si>
  <si>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</si>
  <si>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</si>
  <si>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</si>
  <si>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</si>
  <si>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</si>
  <si>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</si>
  <si>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</si>
  <si>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</si>
  <si>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</si>
  <si>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</si>
  <si>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</si>
  <si>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</si>
  <si>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</si>
  <si>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</si>
  <si>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</si>
  <si>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</si>
  <si>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</si>
  <si>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</si>
  <si>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</si>
  <si>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</si>
  <si>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</si>
  <si>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</si>
  <si>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</si>
  <si>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</si>
  <si>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</si>
  <si>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</si>
  <si>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</si>
  <si>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</si>
  <si>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</si>
  <si>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</si>
  <si>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</si>
  <si>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</si>
  <si>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</si>
  <si>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</si>
  <si>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</si>
  <si>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</si>
  <si>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</si>
  <si>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</si>
  <si>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</si>
  <si>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</si>
  <si>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</si>
  <si>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</si>
  <si>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</si>
  <si>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</si>
  <si>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</si>
  <si>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</si>
  <si>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</si>
  <si>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</si>
  <si>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</si>
  <si>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</si>
  <si>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</si>
  <si>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</si>
  <si>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</si>
  <si>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</si>
  <si>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</si>
  <si>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</si>
  <si>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</si>
  <si>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</si>
  <si>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</si>
  <si>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</si>
  <si>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</si>
  <si>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</si>
  <si>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</si>
  <si>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</si>
  <si>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</si>
  <si>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</si>
  <si>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</si>
  <si>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</si>
  <si>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</si>
  <si>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</si>
  <si>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</si>
  <si>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</si>
  <si>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</si>
  <si>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</si>
  <si>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</si>
  <si>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</si>
  <si>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</si>
  <si>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</si>
  <si>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</si>
  <si>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</si>
  <si>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</si>
  <si>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</si>
  <si>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</si>
  <si>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</si>
  <si>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</si>
  <si>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</si>
  <si>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</si>
  <si>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</si>
  <si>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</si>
  <si>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</si>
  <si>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</si>
  <si>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</si>
  <si>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</si>
  <si>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</si>
  <si>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</si>
  <si>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</si>
  <si>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</si>
  <si>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</si>
  <si>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</si>
  <si>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</si>
  <si>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</si>
  <si>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</si>
  <si>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</si>
  <si>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</si>
  <si>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</si>
  <si>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</si>
  <si>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</si>
  <si>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</si>
  <si>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</si>
  <si>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</si>
  <si>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</si>
  <si>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</si>
  <si>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</si>
  <si>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</si>
  <si>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</si>
  <si>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</si>
  <si>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</si>
  <si>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</si>
  <si>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</si>
  <si>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</si>
  <si>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</si>
  <si>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</si>
  <si>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</si>
  <si>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</si>
  <si>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</si>
  <si>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</si>
  <si>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</si>
  <si>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</si>
  <si>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</si>
  <si>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</si>
  <si>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</si>
  <si>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</si>
  <si>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</si>
  <si>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</si>
  <si>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</si>
  <si>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</si>
  <si>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</si>
  <si>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</si>
  <si>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</si>
  <si>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</si>
  <si>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</si>
  <si>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</si>
  <si>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</si>
  <si>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</si>
  <si>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</si>
  <si>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</si>
  <si>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</si>
  <si>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</si>
  <si>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</si>
  <si>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</si>
  <si>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</si>
  <si>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</si>
  <si>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</si>
  <si>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</si>
  <si>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</si>
  <si>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</si>
  <si>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</si>
  <si>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</si>
  <si>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</si>
  <si>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</si>
  <si>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</si>
  <si>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</si>
  <si>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</si>
  <si>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</si>
  <si>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</si>
  <si>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</si>
  <si>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</si>
  <si>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</si>
  <si>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</si>
  <si>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</si>
  <si>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</si>
  <si>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</si>
  <si>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</si>
  <si>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</si>
  <si>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</si>
  <si>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</si>
  <si>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</si>
  <si>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</si>
  <si>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</si>
  <si>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</si>
  <si>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</si>
  <si>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</si>
  <si>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</si>
  <si>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</si>
  <si>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</si>
  <si>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</si>
  <si>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</si>
  <si>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</si>
  <si>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</si>
  <si>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</si>
  <si>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</si>
  <si>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</si>
  <si>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</si>
  <si>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</si>
  <si>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</si>
  <si>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</si>
  <si>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</si>
  <si>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</si>
  <si>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</si>
  <si>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</si>
  <si>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</si>
  <si>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</si>
  <si>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</si>
  <si>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</si>
  <si>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</si>
  <si>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</si>
  <si>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</si>
  <si>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</si>
  <si>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</si>
  <si>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</si>
  <si>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</si>
  <si>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</si>
  <si>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</si>
  <si>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</si>
  <si>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</si>
  <si>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</si>
  <si>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</si>
  <si>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</si>
  <si>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</si>
  <si>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</si>
  <si>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</si>
  <si>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</si>
  <si>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</si>
  <si>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</si>
  <si>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</si>
  <si>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</si>
  <si>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</si>
  <si>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</si>
  <si>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</si>
  <si>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</si>
  <si>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</si>
  <si>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</si>
  <si>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</si>
  <si>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</si>
  <si>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</si>
  <si>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</si>
  <si>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</si>
  <si>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</si>
  <si>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</si>
  <si>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</si>
  <si>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</si>
  <si>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</si>
  <si>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</si>
  <si>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</si>
  <si>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</si>
  <si>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</si>
  <si>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</si>
  <si>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</si>
  <si>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</si>
  <si>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</si>
  <si>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</si>
  <si>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</si>
  <si>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</si>
  <si>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</si>
  <si>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</si>
  <si>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</si>
  <si>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</si>
  <si>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</si>
  <si>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</si>
  <si>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</si>
  <si>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</si>
  <si>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</si>
  <si>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</si>
  <si>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</si>
  <si>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</si>
  <si>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</si>
  <si>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</si>
  <si>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</si>
  <si>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</si>
  <si>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</si>
  <si>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</si>
  <si>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</si>
  <si>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</si>
  <si>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</si>
  <si>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</si>
  <si>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</si>
  <si>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</si>
  <si>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</si>
  <si>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</si>
  <si>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</si>
  <si>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</si>
  <si>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</si>
  <si>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</si>
  <si>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</si>
  <si>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</si>
  <si>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</si>
  <si>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</si>
  <si>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</si>
  <si>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</si>
  <si>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</si>
  <si>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</si>
  <si>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</si>
  <si>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</si>
  <si>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</si>
  <si>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</si>
  <si>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</si>
  <si>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</si>
  <si>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</si>
  <si>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</si>
  <si>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</si>
  <si>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</si>
  <si>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</si>
  <si>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</si>
  <si>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</si>
  <si>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</si>
  <si>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</si>
  <si>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</si>
  <si>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</si>
  <si>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</si>
  <si>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</si>
  <si>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</si>
  <si>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</si>
  <si>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</si>
  <si>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</si>
  <si>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</si>
  <si>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</si>
  <si>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</si>
  <si>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</si>
  <si>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</si>
  <si>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</si>
  <si>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</si>
  <si>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</si>
  <si>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</si>
  <si>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</si>
  <si>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</si>
  <si>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</si>
  <si>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</si>
  <si>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</si>
  <si>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</si>
  <si>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</si>
  <si>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</si>
  <si>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</si>
  <si>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</si>
  <si>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</si>
  <si>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</si>
  <si>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</si>
  <si>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</si>
  <si>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</si>
  <si>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</si>
  <si>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</si>
  <si>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</si>
  <si>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</si>
  <si>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</si>
  <si>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</si>
  <si>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</si>
  <si>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</si>
  <si>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</si>
  <si>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</si>
  <si>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</si>
  <si>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</si>
  <si>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</si>
  <si>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</si>
  <si>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</si>
  <si>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</si>
  <si>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</si>
  <si>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</si>
  <si>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</si>
  <si>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</si>
  <si>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</si>
  <si>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</si>
  <si>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</si>
  <si>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</si>
  <si>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</si>
  <si>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</si>
  <si>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</si>
  <si>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</si>
  <si>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</si>
  <si>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</si>
  <si>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</si>
  <si>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</si>
  <si>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</si>
  <si>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</si>
  <si>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</si>
  <si>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</si>
  <si>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</si>
  <si>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</si>
  <si>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</si>
  <si>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</si>
  <si>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</si>
  <si>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</si>
  <si>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</si>
  <si>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</si>
  <si>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</si>
  <si>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</si>
  <si>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</si>
  <si>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</si>
  <si>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</si>
  <si>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</si>
  <si>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</si>
  <si>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</si>
  <si>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</si>
  <si>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</si>
  <si>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</si>
  <si>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</si>
  <si>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</si>
  <si>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</si>
  <si>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</si>
  <si>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</si>
  <si>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</si>
  <si>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</si>
  <si>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</si>
  <si>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</si>
  <si>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</si>
  <si>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</si>
  <si>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</si>
  <si>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</si>
  <si>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</si>
  <si>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</si>
  <si>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</si>
  <si>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</si>
  <si>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</si>
  <si>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</si>
  <si>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</si>
  <si>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</si>
  <si>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</si>
  <si>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</si>
  <si>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</si>
  <si>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</si>
  <si>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</si>
  <si>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</si>
  <si>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</si>
  <si>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</si>
  <si>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</si>
  <si>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</si>
  <si>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</si>
  <si>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</si>
  <si>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</si>
  <si>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</si>
  <si>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</si>
  <si>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</si>
  <si>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</si>
  <si>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</si>
  <si>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</si>
  <si>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</si>
  <si>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</si>
  <si>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</si>
  <si>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</si>
  <si>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</si>
  <si>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</si>
  <si>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</si>
  <si>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</si>
  <si>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</si>
  <si>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</si>
  <si>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</si>
  <si>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</si>
  <si>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</si>
  <si>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</si>
  <si>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</si>
  <si>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</si>
  <si>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</si>
  <si>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</si>
  <si>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</si>
  <si>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</si>
  <si>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</si>
  <si>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</si>
  <si>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</si>
  <si>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</si>
  <si>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</si>
  <si>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</si>
  <si>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</si>
  <si>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</si>
  <si>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</si>
  <si>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</si>
  <si>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</si>
  <si>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</si>
  <si>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</si>
  <si>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</si>
  <si>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</si>
  <si>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</si>
  <si>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</si>
  <si>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</si>
  <si>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</si>
  <si>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</si>
  <si>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</si>
  <si>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</si>
  <si>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</si>
  <si>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</si>
  <si>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</si>
  <si>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</si>
  <si>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</si>
  <si>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</si>
  <si>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</si>
  <si>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</si>
  <si>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</si>
  <si>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</si>
  <si>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</si>
  <si>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</si>
  <si>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</si>
  <si>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</si>
  <si>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</si>
  <si>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</si>
  <si>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</si>
  <si>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</si>
  <si>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</si>
  <si>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</si>
  <si>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</si>
  <si>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</si>
  <si>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</si>
  <si>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</si>
  <si>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</si>
  <si>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</si>
  <si>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</si>
  <si>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</si>
  <si>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</si>
  <si>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</si>
  <si>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</si>
  <si>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</si>
  <si>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</si>
  <si>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</si>
  <si>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</si>
  <si>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</si>
  <si>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</si>
  <si>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</si>
  <si>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</si>
  <si>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</si>
  <si>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</si>
  <si>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</si>
  <si>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</si>
  <si>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</si>
  <si>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</si>
  <si>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</si>
  <si>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</si>
  <si>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</si>
  <si>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</si>
  <si>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</si>
  <si>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</si>
  <si>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</si>
  <si>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</si>
  <si>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</si>
  <si>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</si>
  <si>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</si>
  <si>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</si>
  <si>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</si>
  <si>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</si>
  <si>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</si>
  <si>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</si>
  <si>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</si>
  <si>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</si>
  <si>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</si>
  <si>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</si>
  <si>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</si>
  <si>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</si>
  <si>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</si>
  <si>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</si>
  <si>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</si>
  <si>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</si>
  <si>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</si>
  <si>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</si>
  <si>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</si>
  <si>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</si>
  <si>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</si>
  <si>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</si>
  <si>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</si>
  <si>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</si>
  <si>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</si>
  <si>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</si>
  <si>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</si>
  <si>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</si>
  <si>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</si>
  <si>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</si>
  <si>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</si>
  <si>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</si>
  <si>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</si>
  <si>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</si>
  <si>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</si>
  <si>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</si>
  <si>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</si>
  <si>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</si>
  <si>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</si>
  <si>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</si>
  <si>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</si>
  <si>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</si>
  <si>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</si>
  <si>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</si>
  <si>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</si>
  <si>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</si>
  <si>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</si>
  <si>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</si>
  <si>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</si>
  <si>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</si>
  <si>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</si>
  <si>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</si>
  <si>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</si>
  <si>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</si>
  <si>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</si>
  <si>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</si>
  <si>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</si>
  <si>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</si>
  <si>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</si>
  <si>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</si>
  <si>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</si>
  <si>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</si>
  <si>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</si>
  <si>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</si>
  <si>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</si>
  <si>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</si>
  <si>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</si>
  <si>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</si>
  <si>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</si>
  <si>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</si>
  <si>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</si>
  <si>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</si>
  <si>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</si>
  <si>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</si>
  <si>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</si>
  <si>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</si>
  <si>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</si>
  <si>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</si>
  <si>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</si>
  <si>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</si>
  <si>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</si>
  <si>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</si>
  <si>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</si>
  <si>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</si>
  <si>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</si>
  <si>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</si>
  <si>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</si>
  <si>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</si>
  <si>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</si>
  <si>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</si>
  <si>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</si>
  <si>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</si>
  <si>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</si>
  <si>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</si>
  <si>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</si>
  <si>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</si>
  <si>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</si>
  <si>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</si>
  <si>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</si>
  <si>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</si>
  <si>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</si>
  <si>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</si>
  <si>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</si>
  <si>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</si>
  <si>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</si>
  <si>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</si>
  <si>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</si>
  <si>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</si>
  <si>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</si>
  <si>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</si>
  <si>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</si>
  <si>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</si>
  <si>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</si>
  <si>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</si>
  <si>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</si>
  <si>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</si>
  <si>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</si>
  <si>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</si>
  <si>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</si>
  <si>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</si>
  <si>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</si>
  <si>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</si>
  <si>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</si>
  <si>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</si>
  <si>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</si>
  <si>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</si>
  <si>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</si>
  <si>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</si>
  <si>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</si>
  <si>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</si>
  <si>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</si>
  <si>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</si>
  <si>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</si>
  <si>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</si>
  <si>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</si>
  <si>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</si>
  <si>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</si>
  <si>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</si>
  <si>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</si>
  <si>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</si>
  <si>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</si>
  <si>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</si>
  <si>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</si>
  <si>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</si>
  <si>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</si>
  <si>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</si>
  <si>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</si>
  <si>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</si>
  <si>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</si>
  <si>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</si>
  <si>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</si>
  <si>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</si>
  <si>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</si>
  <si>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</si>
  <si>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</si>
  <si>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</si>
  <si>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</si>
  <si>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</si>
  <si>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</si>
  <si>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</si>
  <si>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</si>
  <si>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</si>
  <si>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</si>
  <si>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</si>
  <si>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</si>
  <si>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</si>
  <si>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</si>
  <si>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</si>
  <si>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</si>
  <si>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</si>
  <si>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</si>
  <si>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</si>
  <si>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</si>
  <si>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</si>
  <si>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</si>
  <si>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</si>
  <si>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</si>
  <si>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</si>
  <si>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</si>
  <si>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</si>
  <si>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</si>
  <si>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</si>
  <si>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</si>
  <si>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</si>
  <si>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</si>
  <si>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</si>
  <si>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</si>
  <si>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</si>
  <si>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</si>
  <si>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</si>
  <si>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</si>
  <si>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</si>
  <si>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</si>
  <si>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</si>
  <si>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</si>
  <si>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</si>
  <si>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</si>
  <si>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</si>
  <si>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</si>
  <si>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</si>
  <si>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</si>
  <si>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</si>
  <si>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</si>
  <si>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</si>
  <si>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</si>
  <si>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</si>
  <si>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</si>
  <si>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</si>
  <si>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</si>
  <si>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</si>
  <si>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</si>
  <si>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</si>
  <si>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</si>
  <si>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</si>
  <si>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</si>
  <si>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</si>
  <si>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</si>
  <si>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</si>
  <si>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</si>
  <si>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</si>
  <si>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</si>
  <si>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</si>
  <si>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</si>
  <si>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</si>
  <si>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</si>
  <si>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</si>
  <si>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</si>
  <si>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</si>
  <si>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</si>
  <si>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</si>
  <si>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</si>
  <si>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</si>
  <si>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</si>
  <si>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</si>
  <si>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</si>
  <si>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</si>
  <si>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</si>
  <si>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</si>
  <si>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</si>
  <si>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</si>
  <si>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</si>
  <si>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</si>
  <si>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</si>
  <si>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</si>
  <si>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</si>
  <si>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</si>
  <si>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</si>
  <si>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</si>
  <si>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</si>
  <si>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</si>
  <si>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</si>
  <si>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</si>
  <si>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</si>
  <si>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</si>
  <si>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</si>
  <si>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</si>
  <si>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</si>
  <si>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</si>
  <si>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</si>
  <si>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</si>
  <si>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</si>
  <si>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</si>
  <si>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</si>
  <si>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</si>
  <si>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</si>
  <si>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</si>
  <si>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</si>
  <si>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</si>
  <si>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</si>
  <si>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</si>
  <si>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</si>
  <si>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</si>
  <si>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</si>
  <si>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</si>
  <si>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</si>
  <si>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</si>
  <si>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</si>
  <si>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</si>
  <si>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</si>
  <si>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</si>
  <si>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</si>
  <si>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</si>
  <si>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</si>
  <si>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</si>
  <si>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</si>
  <si>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</si>
  <si>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</si>
  <si>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</si>
  <si>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</si>
  <si>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</si>
  <si>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</si>
  <si>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</si>
  <si>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</si>
  <si>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</si>
  <si>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</si>
  <si>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</si>
  <si>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</si>
  <si>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</si>
  <si>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</si>
  <si>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</si>
  <si>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</si>
  <si>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</si>
  <si>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</si>
  <si>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</si>
  <si>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</si>
  <si>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</si>
  <si>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</si>
  <si>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</si>
  <si>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</si>
  <si>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</si>
  <si>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</si>
  <si>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</si>
  <si>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</si>
  <si>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</si>
  <si>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</si>
  <si>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</si>
  <si>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</si>
  <si>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</si>
  <si>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</si>
  <si>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</si>
  <si>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</si>
  <si>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</si>
  <si>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</si>
  <si>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</si>
  <si>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</si>
  <si>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</si>
  <si>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</si>
  <si>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</si>
  <si>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</si>
  <si>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</si>
  <si>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</si>
  <si>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</si>
  <si>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</si>
  <si>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</si>
  <si>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</si>
  <si>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</si>
  <si>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</si>
  <si>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</si>
  <si>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</si>
  <si>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</si>
  <si>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</si>
  <si>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</si>
  <si>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</si>
  <si>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</si>
  <si>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</si>
  <si>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</si>
  <si>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</si>
  <si>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</si>
  <si>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</si>
  <si>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</si>
  <si>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</si>
  <si>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</si>
  <si>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</si>
  <si>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</si>
  <si>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</si>
  <si>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</si>
  <si>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</si>
  <si>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</si>
  <si>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</si>
  <si>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</si>
  <si>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</si>
  <si>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</si>
  <si>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</si>
  <si>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</si>
  <si>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</si>
  <si>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</si>
  <si>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</si>
  <si>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</si>
  <si>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</si>
  <si>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</si>
  <si>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</si>
  <si>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</si>
  <si>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</si>
  <si>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</si>
  <si>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</si>
  <si>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</si>
  <si>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</si>
  <si>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</si>
  <si>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</si>
  <si>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</si>
  <si>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</si>
  <si>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</si>
  <si>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</si>
  <si>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</si>
  <si>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</si>
  <si>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</si>
  <si>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</si>
  <si>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</si>
  <si>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</si>
  <si>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</si>
  <si>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</si>
  <si>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</si>
  <si>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</si>
  <si>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</si>
  <si>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</si>
  <si>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</si>
  <si>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</si>
  <si>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</si>
  <si>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</si>
  <si>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</si>
  <si>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</si>
  <si>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</si>
  <si>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</si>
  <si>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</si>
  <si>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</si>
  <si>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</si>
  <si>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</si>
  <si>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</si>
  <si>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</si>
  <si>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</si>
  <si>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</si>
  <si>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</si>
  <si>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</si>
  <si>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</si>
  <si>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</si>
  <si>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</si>
  <si>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</si>
  <si>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</si>
  <si>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</si>
  <si>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</si>
  <si>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</si>
  <si>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</si>
  <si>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</si>
  <si>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</si>
  <si>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</si>
  <si>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</si>
  <si>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</si>
  <si>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</si>
  <si>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</si>
  <si>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</si>
  <si>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</si>
  <si>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</si>
  <si>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</si>
  <si>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</si>
  <si>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</si>
  <si>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</si>
  <si>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</si>
  <si>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</si>
  <si>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</si>
  <si>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</si>
  <si>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</si>
  <si>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</si>
  <si>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</si>
  <si>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</si>
  <si>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</si>
  <si>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</si>
  <si>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</si>
  <si>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</si>
  <si>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</si>
  <si>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</si>
  <si>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</si>
  <si>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</si>
  <si>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</si>
  <si>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</si>
  <si>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</si>
  <si>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</si>
  <si>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</si>
  <si>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</si>
  <si>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</si>
  <si>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</si>
  <si>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</si>
  <si>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</si>
  <si>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</si>
  <si>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</si>
  <si>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</si>
  <si>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</si>
  <si>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</si>
  <si>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</si>
  <si>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</si>
  <si>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</si>
  <si>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</si>
  <si>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</si>
  <si>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</si>
  <si>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</si>
  <si>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</si>
  <si>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</si>
  <si>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</si>
  <si>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</si>
  <si>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</si>
  <si>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</si>
  <si>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</si>
  <si>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</si>
  <si>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</si>
  <si>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</si>
  <si>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</si>
  <si>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</si>
  <si>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</si>
  <si>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</si>
  <si>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</si>
  <si>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</si>
  <si>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</si>
  <si>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</si>
  <si>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</si>
  <si>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</si>
  <si>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</si>
  <si>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</si>
  <si>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</si>
  <si>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</si>
  <si>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</si>
  <si>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</si>
  <si>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</si>
  <si>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</si>
  <si>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</si>
  <si>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</si>
  <si>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</si>
  <si>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</si>
  <si>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</si>
  <si>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</si>
  <si>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</si>
  <si>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</si>
  <si>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</si>
  <si>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</si>
  <si>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</si>
  <si>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</si>
  <si>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</si>
  <si>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</si>
  <si>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</si>
  <si>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</si>
  <si>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</si>
  <si>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</si>
  <si>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</si>
  <si>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</si>
  <si>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</si>
  <si>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</si>
  <si>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</si>
  <si>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</si>
  <si>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</si>
  <si>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</si>
  <si>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</si>
  <si>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</si>
  <si>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</si>
  <si>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</si>
  <si>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</si>
  <si>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</si>
  <si>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</si>
  <si>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</si>
  <si>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</si>
  <si>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</si>
  <si>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</si>
  <si>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</si>
  <si>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</si>
  <si>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</si>
  <si>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</si>
  <si>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</si>
  <si>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</si>
  <si>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</si>
  <si>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</si>
  <si>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</si>
  <si>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</si>
  <si>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</si>
  <si>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</si>
  <si>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</si>
  <si>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</si>
  <si>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</si>
  <si>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</si>
  <si>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</si>
  <si>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</si>
  <si>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</si>
  <si>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</si>
  <si>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</si>
  <si>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</si>
  <si>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</si>
  <si>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</si>
  <si>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</si>
  <si>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</si>
  <si>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</si>
  <si>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</si>
  <si>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</si>
  <si>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</si>
  <si>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</si>
  <si>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</si>
  <si>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</si>
  <si>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</si>
  <si>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</si>
  <si>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</si>
  <si>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</si>
  <si>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</si>
  <si>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</si>
  <si>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</si>
  <si>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</si>
  <si>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</si>
  <si>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</si>
  <si>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</si>
  <si>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</si>
  <si>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</si>
  <si>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</si>
  <si>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</si>
  <si>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</si>
  <si>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</si>
  <si>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</si>
  <si>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</si>
  <si>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</si>
  <si>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</si>
  <si>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</si>
  <si>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</si>
  <si>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</si>
  <si>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</si>
  <si>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</si>
  <si>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</si>
  <si>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</si>
  <si>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</si>
  <si>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</si>
  <si>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</si>
  <si>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</si>
  <si>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</si>
  <si>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</si>
  <si>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</si>
  <si>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</si>
  <si>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</si>
  <si>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</si>
  <si>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</si>
  <si>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</si>
  <si>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</si>
  <si>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</si>
  <si>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</si>
  <si>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</si>
  <si>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</si>
  <si>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</si>
  <si>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</si>
  <si>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</si>
  <si>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</si>
  <si>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</si>
  <si>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</si>
  <si>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</si>
  <si>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</si>
  <si>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</si>
  <si>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</si>
  <si>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</si>
  <si>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</si>
  <si>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</si>
  <si>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</si>
  <si>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</si>
  <si>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</si>
  <si>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</si>
  <si>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</si>
  <si>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</si>
  <si>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</si>
  <si>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</si>
  <si>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</si>
  <si>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</si>
  <si>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</si>
  <si>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</si>
  <si>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</si>
  <si>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</si>
  <si>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</si>
  <si>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</si>
  <si>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</si>
  <si>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</si>
  <si>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</si>
  <si>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</si>
  <si>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</si>
  <si>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</si>
  <si>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</si>
  <si>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</si>
  <si>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</si>
  <si>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</si>
  <si>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</si>
  <si>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</si>
  <si>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</si>
  <si>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</si>
  <si>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</si>
  <si>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</si>
  <si>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</si>
  <si>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</si>
  <si>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</si>
  <si>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</si>
  <si>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</si>
  <si>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</si>
  <si>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</si>
  <si>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</si>
  <si>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</si>
  <si>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</si>
  <si>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</si>
  <si>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</si>
  <si>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</si>
  <si>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</si>
  <si>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</si>
  <si>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</si>
  <si>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</si>
  <si>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</si>
  <si>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</si>
  <si>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</si>
  <si>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</si>
  <si>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</si>
  <si>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</si>
  <si>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</si>
  <si>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</si>
  <si>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</si>
  <si>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</si>
  <si>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</si>
  <si>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</si>
  <si>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</si>
  <si>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</si>
  <si>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</si>
  <si>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</si>
  <si>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</si>
  <si>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</si>
  <si>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</si>
  <si>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</si>
  <si>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</si>
  <si>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</si>
  <si>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</si>
  <si>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</si>
  <si>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</si>
  <si>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</si>
  <si>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</si>
  <si>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</si>
  <si>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</si>
  <si>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</si>
  <si>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</si>
  <si>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</si>
  <si>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</si>
  <si>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</si>
  <si>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</si>
  <si>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</si>
  <si>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</si>
  <si>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</si>
  <si>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</si>
  <si>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</si>
  <si>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</si>
  <si>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</si>
  <si>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</si>
  <si>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</si>
  <si>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</si>
  <si>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</si>
  <si>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</si>
  <si>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</si>
  <si>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</si>
  <si>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</si>
  <si>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</si>
  <si>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</si>
  <si>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</si>
  <si>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</si>
  <si>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</si>
  <si>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</si>
  <si>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</si>
  <si>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</si>
  <si>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</si>
  <si>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</si>
  <si>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</si>
  <si>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</si>
  <si>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</si>
  <si>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</si>
  <si>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</si>
  <si>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</si>
  <si>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</si>
  <si>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</si>
  <si>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</si>
  <si>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</si>
  <si>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</si>
  <si>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</si>
  <si>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</si>
  <si>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</si>
  <si>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</si>
  <si>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</si>
  <si>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</si>
  <si>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</si>
  <si>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</si>
  <si>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</si>
  <si>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</si>
  <si>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</si>
  <si>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</si>
  <si>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</si>
  <si>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</si>
  <si>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</si>
  <si>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</si>
  <si>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</si>
  <si>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</si>
  <si>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</si>
  <si>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</si>
  <si>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</si>
  <si>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</si>
  <si>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</si>
  <si>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</si>
  <si>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</si>
  <si>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</si>
  <si>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</si>
  <si>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</si>
  <si>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</si>
  <si>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</si>
  <si>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</si>
  <si>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</si>
  <si>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</si>
  <si>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</si>
  <si>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</si>
  <si>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</si>
  <si>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</si>
  <si>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</si>
  <si>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</si>
  <si>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</si>
  <si>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</si>
  <si>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</si>
  <si>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</si>
  <si>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</si>
  <si>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</si>
  <si>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</si>
  <si>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</si>
  <si>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</si>
  <si>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</si>
  <si>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</si>
  <si>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</si>
  <si>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</si>
  <si>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</si>
  <si>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</si>
  <si>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</si>
  <si>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</si>
  <si>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</si>
  <si>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</si>
  <si>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</si>
  <si>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</si>
  <si>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</si>
  <si>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</si>
  <si>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</si>
  <si>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</si>
  <si>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</si>
  <si>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</si>
  <si>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</si>
  <si>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</si>
  <si>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</si>
  <si>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</si>
  <si>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</si>
  <si>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</si>
  <si>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</si>
  <si>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</si>
  <si>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</si>
  <si>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</si>
  <si>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</si>
  <si>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</si>
  <si>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</si>
  <si>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</si>
  <si>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</si>
  <si>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</si>
  <si>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</si>
  <si>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</si>
  <si>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</si>
  <si>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</si>
  <si>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</si>
  <si>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</si>
  <si>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</si>
  <si>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</si>
  <si>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</si>
  <si>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</si>
  <si>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</si>
  <si>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</si>
  <si>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</si>
  <si>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</si>
  <si>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</si>
  <si>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</si>
  <si>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</si>
  <si>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</si>
  <si>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</si>
  <si>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</si>
  <si>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</si>
  <si>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</si>
  <si>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</si>
  <si>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</si>
  <si>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</si>
  <si>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</si>
  <si>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</si>
  <si>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</si>
  <si>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</si>
  <si>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</si>
  <si>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</si>
  <si>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</si>
  <si>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</si>
  <si>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</si>
  <si>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</si>
  <si>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</si>
  <si>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</si>
  <si>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</si>
  <si>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</si>
  <si>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</si>
  <si>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</si>
  <si>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</si>
  <si>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</si>
  <si>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</si>
  <si>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</si>
  <si>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</si>
  <si>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</si>
  <si>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</si>
  <si>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</si>
  <si>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</si>
  <si>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</si>
  <si>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</si>
  <si>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</si>
  <si>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</si>
  <si>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</si>
  <si>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</si>
  <si>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</si>
  <si>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</si>
  <si>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</si>
  <si>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</si>
  <si>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</si>
  <si>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</si>
  <si>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</si>
  <si>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</si>
  <si>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</si>
  <si>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</si>
  <si>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</si>
  <si>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</si>
  <si>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</si>
  <si>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</si>
  <si>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</si>
  <si>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</si>
  <si>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</si>
  <si>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</si>
  <si>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</si>
  <si>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</si>
  <si>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</si>
  <si>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</si>
  <si>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</si>
  <si>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</si>
  <si>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</si>
  <si>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</si>
  <si>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</si>
  <si>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</si>
  <si>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</si>
  <si>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</si>
  <si>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</si>
  <si>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</si>
  <si>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</si>
  <si>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</si>
  <si>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</si>
  <si>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</si>
  <si>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</si>
  <si>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</si>
  <si>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</si>
  <si>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</si>
  <si>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</si>
  <si>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</si>
  <si>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</si>
  <si>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</si>
  <si>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</si>
  <si>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</si>
  <si>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</si>
  <si>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</si>
  <si>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</si>
  <si>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</si>
  <si>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</si>
  <si>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</si>
  <si>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</si>
  <si>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</si>
  <si>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</si>
  <si>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</si>
  <si>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</si>
  <si>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</si>
  <si>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</si>
  <si>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</si>
  <si>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</si>
  <si>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</si>
  <si>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</si>
  <si>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</si>
  <si>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</si>
  <si>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</si>
  <si>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</si>
  <si>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</si>
  <si>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</si>
  <si>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</si>
  <si>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</si>
  <si>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</si>
  <si>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</si>
  <si>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</si>
  <si>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</si>
  <si>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</si>
  <si>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</si>
  <si>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</si>
  <si>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</si>
  <si>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</si>
  <si>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</si>
  <si>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</si>
  <si>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</si>
  <si>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</si>
  <si>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</si>
  <si>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</si>
  <si>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</si>
  <si>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</si>
  <si>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</si>
  <si>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</si>
  <si>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</si>
  <si>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</si>
  <si>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</si>
  <si>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</si>
  <si>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</si>
  <si>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</si>
  <si>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</si>
  <si>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</si>
  <si>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</si>
  <si>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</si>
  <si>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</si>
  <si>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</si>
  <si>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</si>
  <si>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</si>
  <si>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</si>
  <si>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</si>
  <si>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</si>
  <si>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</si>
  <si>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</si>
  <si>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</si>
  <si>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</si>
  <si>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</si>
  <si>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</si>
  <si>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</si>
  <si>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</si>
  <si>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</si>
  <si>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</si>
  <si>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</si>
  <si>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</si>
  <si>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</si>
  <si>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</si>
  <si>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</si>
  <si>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</si>
  <si>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</si>
  <si>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</si>
  <si>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</si>
  <si>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</si>
  <si>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</si>
  <si>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</si>
  <si>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</si>
  <si>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</si>
  <si>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</si>
  <si>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</si>
  <si>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</si>
  <si>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</si>
  <si>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</si>
  <si>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</si>
  <si>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</si>
  <si>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</si>
  <si>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</si>
  <si>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</si>
  <si>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</si>
  <si>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</si>
  <si>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</si>
  <si>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</si>
  <si>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</si>
  <si>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</si>
  <si>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</si>
  <si>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</si>
  <si>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</si>
  <si>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</si>
  <si>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</si>
  <si>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</si>
  <si>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</si>
  <si>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</si>
  <si>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</si>
  <si>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</si>
  <si>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</si>
  <si>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</si>
  <si>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</si>
  <si>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</si>
  <si>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</si>
  <si>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</si>
  <si>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</si>
  <si>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</si>
  <si>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</si>
  <si>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</si>
  <si>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</si>
  <si>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</si>
  <si>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</si>
  <si>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</si>
  <si>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</si>
  <si>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</si>
  <si>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</si>
  <si>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</si>
  <si>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</si>
  <si>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</si>
  <si>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</si>
  <si>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</si>
  <si>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</si>
  <si>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</si>
  <si>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</si>
  <si>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</si>
  <si>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</si>
  <si>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</si>
  <si>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</si>
  <si>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</si>
  <si>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</si>
  <si>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</si>
  <si>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</si>
  <si>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</si>
  <si>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</si>
  <si>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</si>
  <si>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</si>
  <si>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</si>
  <si>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</si>
  <si>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</si>
  <si>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</si>
  <si>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</si>
  <si>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</si>
  <si>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</si>
  <si>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</si>
  <si>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</si>
  <si>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</si>
  <si>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</si>
  <si>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</si>
  <si>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</si>
  <si>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</si>
  <si>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</si>
  <si>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</si>
  <si>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</si>
  <si>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</si>
  <si>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</si>
  <si>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</si>
  <si>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</si>
  <si>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</si>
  <si>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</si>
  <si>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</si>
  <si>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</si>
  <si>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</si>
  <si>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</si>
  <si>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</si>
  <si>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</si>
  <si>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</si>
  <si>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</si>
  <si>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</si>
  <si>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</si>
  <si>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</si>
  <si>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</si>
  <si>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</si>
  <si>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</si>
  <si>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</si>
  <si>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</si>
  <si>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</si>
  <si>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</si>
  <si>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</si>
  <si>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</si>
  <si>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</si>
  <si>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</si>
  <si>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</si>
  <si>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</si>
  <si>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</si>
  <si>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</si>
  <si>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</si>
  <si>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</si>
  <si>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</si>
  <si>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</si>
  <si>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</si>
  <si>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</si>
  <si>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</si>
  <si>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</si>
  <si>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</si>
  <si>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</si>
  <si>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</si>
  <si>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</si>
  <si>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</si>
  <si>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</si>
  <si>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</si>
  <si>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</si>
  <si>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</si>
  <si>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</si>
  <si>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</si>
  <si>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</si>
  <si>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</si>
  <si>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</si>
  <si>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</si>
  <si>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</si>
  <si>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</si>
  <si>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</si>
  <si>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</si>
  <si>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</si>
  <si>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</si>
  <si>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</si>
  <si>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</si>
  <si>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</si>
  <si>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</si>
  <si>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</si>
  <si>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</si>
  <si>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</si>
  <si>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</si>
  <si>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</si>
  <si>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</si>
  <si>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</si>
  <si>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</si>
  <si>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</si>
  <si>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</si>
  <si>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</si>
  <si>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</si>
  <si>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</si>
  <si>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</si>
  <si>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</si>
  <si>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</si>
  <si>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</si>
  <si>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</si>
  <si>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</si>
  <si>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</si>
  <si>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</si>
  <si>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</si>
  <si>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</si>
  <si>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</si>
  <si>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</si>
  <si>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</si>
  <si>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</si>
  <si>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</si>
  <si>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</si>
  <si>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</si>
  <si>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</si>
  <si>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</si>
  <si>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</si>
  <si>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</si>
  <si>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</si>
  <si>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</si>
  <si>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</si>
  <si>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</si>
  <si>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</si>
  <si>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</si>
  <si>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</si>
  <si>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</si>
  <si>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</si>
  <si>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</si>
  <si>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</si>
  <si>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</si>
  <si>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</si>
  <si>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</si>
  <si>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</si>
  <si>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</si>
  <si>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</si>
  <si>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</si>
  <si>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</si>
  <si>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</si>
  <si>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</si>
  <si>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</si>
  <si>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</si>
  <si>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</si>
  <si>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</si>
  <si>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</si>
  <si>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</si>
  <si>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</si>
  <si>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</si>
  <si>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</si>
  <si>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</si>
  <si>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</si>
  <si>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</si>
  <si>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</si>
  <si>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</si>
  <si>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</si>
  <si>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</si>
  <si>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</si>
  <si>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</si>
  <si>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</si>
  <si>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</si>
  <si>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</si>
  <si>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</si>
  <si>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</si>
  <si>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</si>
  <si>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</si>
  <si>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</si>
  <si>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</si>
  <si>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</si>
  <si>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</si>
  <si>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</si>
  <si>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</si>
  <si>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</si>
  <si>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</si>
  <si>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</si>
  <si>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</si>
  <si>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</si>
  <si>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</si>
  <si>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</si>
  <si>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</si>
  <si>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</si>
  <si>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</si>
  <si>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</si>
  <si>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</si>
  <si>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</si>
  <si>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</si>
  <si>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</si>
  <si>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</si>
  <si>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</si>
  <si>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</si>
  <si>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</si>
  <si>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</si>
  <si>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</si>
  <si>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</si>
  <si>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</si>
  <si>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</si>
  <si>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</si>
  <si>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</si>
  <si>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</si>
  <si>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</si>
  <si>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</si>
  <si>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</si>
  <si>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</si>
  <si>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</si>
  <si>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</si>
  <si>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</si>
  <si>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</si>
  <si>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</si>
  <si>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</si>
  <si>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</si>
  <si>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</si>
  <si>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</si>
  <si>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</si>
  <si>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</si>
  <si>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</si>
  <si>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</si>
  <si>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</si>
  <si>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</si>
  <si>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</si>
  <si>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</si>
  <si>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</si>
  <si>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</si>
  <si>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</si>
  <si>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</si>
  <si>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</si>
  <si>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</si>
  <si>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</si>
  <si>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</si>
  <si>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</si>
  <si>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</si>
  <si>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</si>
  <si>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</si>
  <si>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</si>
  <si>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</si>
  <si>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</si>
  <si>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</si>
  <si>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</si>
  <si>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</si>
  <si>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</si>
  <si>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</si>
  <si>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</si>
  <si>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</si>
  <si>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</si>
  <si>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</si>
  <si>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</si>
  <si>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</si>
  <si>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</si>
  <si>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</si>
  <si>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</si>
  <si>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</si>
  <si>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</si>
  <si>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</si>
  <si>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</si>
  <si>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</si>
  <si>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</si>
  <si>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</si>
  <si>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</si>
  <si>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</si>
  <si>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</si>
  <si>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</si>
  <si>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</si>
  <si>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</si>
  <si>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</si>
  <si>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</si>
  <si>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</si>
  <si>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</si>
  <si>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</si>
  <si>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</si>
  <si>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</si>
  <si>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</si>
  <si>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</si>
  <si>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</si>
  <si>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</si>
  <si>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</si>
  <si>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</si>
  <si>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</si>
  <si>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</si>
  <si>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</si>
  <si>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</si>
  <si>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</si>
  <si>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</si>
  <si>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</si>
  <si>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</si>
  <si>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</si>
  <si>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</si>
  <si>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</si>
  <si>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</si>
  <si>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</si>
  <si>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</si>
  <si>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</si>
  <si>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</si>
  <si>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</si>
  <si>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</si>
  <si>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</si>
  <si>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</si>
  <si>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</si>
  <si>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</si>
  <si>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</si>
  <si>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</si>
  <si>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</si>
  <si>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</si>
  <si>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</si>
  <si>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</si>
  <si>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</si>
  <si>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</si>
  <si>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</si>
  <si>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</si>
  <si>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</si>
  <si>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</si>
  <si>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</si>
  <si>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</si>
  <si>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</si>
  <si>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</si>
  <si>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</si>
  <si>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</si>
  <si>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</si>
  <si>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</si>
  <si>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</si>
  <si>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</si>
  <si>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</si>
  <si>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</si>
  <si>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</si>
  <si>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</si>
  <si>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</si>
  <si>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</si>
  <si>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</si>
  <si>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</si>
  <si>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</si>
  <si>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</si>
  <si>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</si>
  <si>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</si>
  <si>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</si>
  <si>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</si>
  <si>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</si>
  <si>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</si>
  <si>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</si>
  <si>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</si>
  <si>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</si>
  <si>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</si>
  <si>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</si>
  <si>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</si>
  <si>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</si>
  <si>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</si>
  <si>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</si>
  <si>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</si>
  <si>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</si>
  <si>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</si>
  <si>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</si>
  <si>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</si>
  <si>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</si>
  <si>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</si>
  <si>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</si>
  <si>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</si>
  <si>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</si>
  <si>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</si>
  <si>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</si>
  <si>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</si>
  <si>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</si>
  <si>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</si>
  <si>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</si>
  <si>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</si>
  <si>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</si>
  <si>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</si>
  <si>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</si>
  <si>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</si>
  <si>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</si>
  <si>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</si>
  <si>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</si>
  <si>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</si>
  <si>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</si>
  <si>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</si>
  <si>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</si>
  <si>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</si>
  <si>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</si>
  <si>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</si>
  <si>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</si>
  <si>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</si>
  <si>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</si>
  <si>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</si>
  <si>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</si>
  <si>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</si>
  <si>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</si>
  <si>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</si>
  <si>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</si>
  <si>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</si>
  <si>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</si>
  <si>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</si>
  <si>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</si>
  <si>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</si>
  <si>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</si>
  <si>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</si>
  <si>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</si>
  <si>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</si>
  <si>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</si>
  <si>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</si>
  <si>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</si>
  <si>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</si>
  <si>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</si>
  <si>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</si>
  <si>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</si>
  <si>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</si>
  <si>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</si>
  <si>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</si>
  <si>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</si>
  <si>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</si>
  <si>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</si>
  <si>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</si>
  <si>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</si>
  <si>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</si>
  <si>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</si>
  <si>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</si>
  <si>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</si>
  <si>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</si>
  <si>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</si>
  <si>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</si>
  <si>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</si>
  <si>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</si>
  <si>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</si>
  <si>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</si>
  <si>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</si>
  <si>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</si>
  <si>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</si>
  <si>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</si>
  <si>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</si>
  <si>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</si>
  <si>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</si>
  <si>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</si>
  <si>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</si>
  <si>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</si>
  <si>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</si>
  <si>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</si>
  <si>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</si>
  <si>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</si>
  <si>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</si>
  <si>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</si>
  <si>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</si>
  <si>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</si>
  <si>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</si>
  <si>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</si>
  <si>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</si>
  <si>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</si>
  <si>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</si>
  <si>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</si>
  <si>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</si>
  <si>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</si>
  <si>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</si>
  <si>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</si>
  <si>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</si>
  <si>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</si>
  <si>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</si>
  <si>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</si>
  <si>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</si>
  <si>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</si>
  <si>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</si>
  <si>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</si>
  <si>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</si>
  <si>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</si>
  <si>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</si>
  <si>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</si>
  <si>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</si>
  <si>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</si>
  <si>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</si>
  <si>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</si>
  <si>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</si>
  <si>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</si>
  <si>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</si>
  <si>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</si>
  <si>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</si>
  <si>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</si>
  <si>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</si>
  <si>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</si>
  <si>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</si>
  <si>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</si>
  <si>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</si>
  <si>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</si>
  <si>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</si>
  <si>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</si>
  <si>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</si>
  <si>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</si>
  <si>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</si>
  <si>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</si>
  <si>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</si>
  <si>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</si>
  <si>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</si>
  <si>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</si>
  <si>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</si>
  <si>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</si>
  <si>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</si>
  <si>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</si>
  <si>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</si>
  <si>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</si>
  <si>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</si>
  <si>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</si>
  <si>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</si>
  <si>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</si>
  <si>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</si>
  <si>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</si>
  <si>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</si>
  <si>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</si>
  <si>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</si>
  <si>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</si>
  <si>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</si>
  <si>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</si>
  <si>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</si>
  <si>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</si>
  <si>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</si>
  <si>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</si>
  <si>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</si>
  <si>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</si>
  <si>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</si>
  <si>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</si>
  <si>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</si>
  <si>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</si>
  <si>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</si>
  <si>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</si>
  <si>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</si>
  <si>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</si>
  <si>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</si>
  <si>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</si>
  <si>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</si>
  <si>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</si>
  <si>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</si>
  <si>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</si>
  <si>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</si>
  <si>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</si>
  <si>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</si>
  <si>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</si>
  <si>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</si>
  <si>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</si>
  <si>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</si>
  <si>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</si>
  <si>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</si>
  <si>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</si>
  <si>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</si>
  <si>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</si>
  <si>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</si>
  <si>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</si>
  <si>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</si>
  <si>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</si>
  <si>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</si>
  <si>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</si>
  <si>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</si>
  <si>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</si>
  <si>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</si>
  <si>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</si>
  <si>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</si>
  <si>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</si>
  <si>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</si>
  <si>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</si>
  <si>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</si>
  <si>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</si>
  <si>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</si>
  <si>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</si>
  <si>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</si>
  <si>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</si>
  <si>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</si>
  <si>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</si>
  <si>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</si>
  <si>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</si>
  <si>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</si>
  <si>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</si>
  <si>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</si>
  <si>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</si>
  <si>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</si>
  <si>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</si>
  <si>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</si>
  <si>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</si>
  <si>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</si>
  <si>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</si>
  <si>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</si>
  <si>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</si>
  <si>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</si>
  <si>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</si>
  <si>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</si>
  <si>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</si>
  <si>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</si>
  <si>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</si>
  <si>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</si>
  <si>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</si>
  <si>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</si>
  <si>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</si>
  <si>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</si>
  <si>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</si>
  <si>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</si>
  <si>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</si>
  <si>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</si>
  <si>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</si>
  <si>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</si>
  <si>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</si>
  <si>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</si>
  <si>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</si>
  <si>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</si>
  <si>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</si>
  <si>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</si>
  <si>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</si>
  <si>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</si>
  <si>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</si>
  <si>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</si>
  <si>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</si>
  <si>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</si>
  <si>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</si>
  <si>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</si>
  <si>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</si>
  <si>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</si>
  <si>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</si>
  <si>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</si>
  <si>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</si>
  <si>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</si>
  <si>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</si>
  <si>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</si>
  <si>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</si>
  <si>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</si>
  <si>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</si>
  <si>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</si>
  <si>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</si>
  <si>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</si>
  <si>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</si>
  <si>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</si>
  <si>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</si>
  <si>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</si>
  <si>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</si>
  <si>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</si>
  <si>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</si>
  <si>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</si>
  <si>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</si>
  <si>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</si>
  <si>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</si>
  <si>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</si>
  <si>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</si>
  <si>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</si>
  <si>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</si>
  <si>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</si>
  <si>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</si>
  <si>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</si>
  <si>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</si>
  <si>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</si>
  <si>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</si>
  <si>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</si>
  <si>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</si>
  <si>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</si>
  <si>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</si>
  <si>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</si>
  <si>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</si>
  <si>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</si>
  <si>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</si>
  <si>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</si>
  <si>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</si>
  <si>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</si>
  <si>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</si>
  <si>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</si>
  <si>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</si>
  <si>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</si>
  <si>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</si>
  <si>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</si>
  <si>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</si>
  <si>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</si>
  <si>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</si>
  <si>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</si>
  <si>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</si>
  <si>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</si>
  <si>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</si>
  <si>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</si>
  <si>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</si>
  <si>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</si>
  <si>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</si>
  <si>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</si>
  <si>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</si>
  <si>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</si>
  <si>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</si>
  <si>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</si>
  <si>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</si>
  <si>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</si>
  <si>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</si>
  <si>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</si>
  <si>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</si>
  <si>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</si>
  <si>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</si>
  <si>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</si>
  <si>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</si>
  <si>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</si>
  <si>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</si>
  <si>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</si>
  <si>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</si>
  <si>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</si>
  <si>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</si>
  <si>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</si>
  <si>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</si>
  <si>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</si>
  <si>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</si>
  <si>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</si>
  <si>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</si>
  <si>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</si>
  <si>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</si>
  <si>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</si>
  <si>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</si>
  <si>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</si>
  <si>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</si>
  <si>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</si>
  <si>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</si>
  <si>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</si>
  <si>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</si>
  <si>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</si>
  <si>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</si>
  <si>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</si>
  <si>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</si>
  <si>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</si>
  <si>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</si>
  <si>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</si>
  <si>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</si>
  <si>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</si>
  <si>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</si>
  <si>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</si>
  <si>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</si>
  <si>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</si>
  <si>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</si>
  <si>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</si>
  <si>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</si>
  <si>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</si>
  <si>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</si>
  <si>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</si>
  <si>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</si>
  <si>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</si>
  <si>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</si>
  <si>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</si>
  <si>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</si>
  <si>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</si>
  <si>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</si>
  <si>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</si>
  <si>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</si>
  <si>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</si>
  <si>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</si>
  <si>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</si>
  <si>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</si>
  <si>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</si>
  <si>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</si>
  <si>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</si>
  <si>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</si>
  <si>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</si>
  <si>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</si>
  <si>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</si>
  <si>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</si>
  <si>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</si>
  <si>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</si>
  <si>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</si>
  <si>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</si>
  <si>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</si>
  <si>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</si>
  <si>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</si>
  <si>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</si>
  <si>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</si>
  <si>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</si>
  <si>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</si>
  <si>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</si>
  <si>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</si>
  <si>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</si>
  <si>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</si>
  <si>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</si>
  <si>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</si>
  <si>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</si>
  <si>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</si>
  <si>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</si>
  <si>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</si>
  <si>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</si>
  <si>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</si>
  <si>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</si>
  <si>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</si>
  <si>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</si>
  <si>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</si>
  <si>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</si>
  <si>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</si>
  <si>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</si>
  <si>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</si>
  <si>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</si>
  <si>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</si>
  <si>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</si>
  <si>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</si>
  <si>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</si>
  <si>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</si>
  <si>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</si>
  <si>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</si>
  <si>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</si>
  <si>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</si>
  <si>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</si>
  <si>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</si>
  <si>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</si>
  <si>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</si>
  <si>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</si>
  <si>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</si>
  <si>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</si>
  <si>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</si>
  <si>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</si>
  <si>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</si>
  <si>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</si>
  <si>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</si>
  <si>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</si>
  <si>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</si>
  <si>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</si>
  <si>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</si>
  <si>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</si>
  <si>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</si>
  <si>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</si>
  <si>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</si>
  <si>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</si>
  <si>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</si>
  <si>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</si>
  <si>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</si>
  <si>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</si>
  <si>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</si>
  <si>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</si>
  <si>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</si>
  <si>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</si>
  <si>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</si>
  <si>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</si>
  <si>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</si>
  <si>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</si>
  <si>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</si>
  <si>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</si>
  <si>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</si>
  <si>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</si>
  <si>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</si>
  <si>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</si>
  <si>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</si>
  <si>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</si>
  <si>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</si>
  <si>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</si>
  <si>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</si>
  <si>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</si>
  <si>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</si>
  <si>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</si>
  <si>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</si>
  <si>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</si>
  <si>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</si>
  <si>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</si>
  <si>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</si>
  <si>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</si>
  <si>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</si>
  <si>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</si>
  <si>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</si>
  <si>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</si>
  <si>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</si>
  <si>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</si>
  <si>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</si>
  <si>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</si>
  <si>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</si>
  <si>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</si>
  <si>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</si>
  <si>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</si>
  <si>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</si>
  <si>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</si>
  <si>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</si>
  <si>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</si>
  <si>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</si>
  <si>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</si>
  <si>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</si>
  <si>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</si>
  <si>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</si>
  <si>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</si>
  <si>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</si>
  <si>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</si>
  <si>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</si>
  <si>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</si>
  <si>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</si>
  <si>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</si>
  <si>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</si>
  <si>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</si>
  <si>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</si>
  <si>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</si>
  <si>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</si>
  <si>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</si>
  <si>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</si>
  <si>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</si>
  <si>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</si>
  <si>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</si>
  <si>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</si>
  <si>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</si>
  <si>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</si>
  <si>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</si>
  <si>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</si>
  <si>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</si>
  <si>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</si>
  <si>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</si>
  <si>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</si>
  <si>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</si>
  <si>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</si>
  <si>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</si>
  <si>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</si>
  <si>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</si>
  <si>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</si>
  <si>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</si>
  <si>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</si>
  <si>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</si>
  <si>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</si>
  <si>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</si>
  <si>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</si>
  <si>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</si>
  <si>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</si>
  <si>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</si>
  <si>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</si>
  <si>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</si>
  <si>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</si>
  <si>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</si>
  <si>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</si>
  <si>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</si>
  <si>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</si>
  <si>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</si>
  <si>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</si>
  <si>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</si>
  <si>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</si>
  <si>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</si>
  <si>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</si>
  <si>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</si>
  <si>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</si>
  <si>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</si>
  <si>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</si>
  <si>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</si>
  <si>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</si>
  <si>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</si>
  <si>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</si>
  <si>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</si>
  <si>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</si>
  <si>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</si>
  <si>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</si>
  <si>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</si>
  <si>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</si>
  <si>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</si>
  <si>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</si>
  <si>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</si>
  <si>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</si>
  <si>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</si>
  <si>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</si>
  <si>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</si>
  <si>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</si>
  <si>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</si>
  <si>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</si>
  <si>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</si>
  <si>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</si>
  <si>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</si>
  <si>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</si>
  <si>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</si>
  <si>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</si>
  <si>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</si>
  <si>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</si>
  <si>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</si>
  <si>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</si>
  <si>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</si>
  <si>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</si>
  <si>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</si>
  <si>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</si>
  <si>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</si>
  <si>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</si>
  <si>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</si>
  <si>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</si>
  <si>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</si>
  <si>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</si>
  <si>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</si>
  <si>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</si>
  <si>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</si>
  <si>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</si>
  <si>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</si>
  <si>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</si>
  <si>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</si>
  <si>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</si>
  <si>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</si>
  <si>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</si>
  <si>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</si>
  <si>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</si>
  <si>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</si>
  <si>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</si>
  <si>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</si>
  <si>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</si>
  <si>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</si>
  <si>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</si>
  <si>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</si>
  <si>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</si>
  <si>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</si>
  <si>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</si>
  <si>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</si>
  <si>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</si>
  <si>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</si>
  <si>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</si>
  <si>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</si>
  <si>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</si>
  <si>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</si>
  <si>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</si>
  <si>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</si>
  <si>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</si>
  <si>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</si>
  <si>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</si>
  <si>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</si>
  <si>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</si>
  <si>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</si>
  <si>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</si>
  <si>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</si>
  <si>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</si>
  <si>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</si>
  <si>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</si>
  <si>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</si>
  <si>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</si>
  <si>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</si>
  <si>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</si>
  <si>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</si>
  <si>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</si>
  <si>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</si>
  <si>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</si>
  <si>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</si>
  <si>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</si>
  <si>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</si>
  <si>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</si>
  <si>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</si>
  <si>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</si>
  <si>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</si>
  <si>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</si>
  <si>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</si>
  <si>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</si>
  <si>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</si>
  <si>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</si>
  <si>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</si>
  <si>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</si>
  <si>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</si>
  <si>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</si>
  <si>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</si>
  <si>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</si>
  <si>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</si>
  <si>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</si>
  <si>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</si>
  <si>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</si>
  <si>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</si>
  <si>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</si>
  <si>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</si>
  <si>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</si>
  <si>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</si>
  <si>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</si>
  <si>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</si>
  <si>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</si>
  <si>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</si>
  <si>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</si>
  <si>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</si>
  <si>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</si>
  <si>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</si>
  <si>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</si>
  <si>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</si>
  <si>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</si>
  <si>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</si>
  <si>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</si>
  <si>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</si>
  <si>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</si>
  <si>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</si>
  <si>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</si>
  <si>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</si>
  <si>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</si>
  <si>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</si>
  <si>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</si>
  <si>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</si>
  <si>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</si>
  <si>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</si>
  <si>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</si>
  <si>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</si>
  <si>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</si>
  <si>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</si>
  <si>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</si>
  <si>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</si>
  <si>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</si>
  <si>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</si>
  <si>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</si>
  <si>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</si>
  <si>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</si>
  <si>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</si>
  <si>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</si>
  <si>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</si>
  <si>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</si>
  <si>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</si>
  <si>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</si>
  <si>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</si>
  <si>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</si>
  <si>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</si>
  <si>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</si>
  <si>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</si>
  <si>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</si>
  <si>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</si>
  <si>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</si>
  <si>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</si>
  <si>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</si>
  <si>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</si>
  <si>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</si>
  <si>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</si>
  <si>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</si>
  <si>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</si>
  <si>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</si>
  <si>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</si>
  <si>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</si>
  <si>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</si>
  <si>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</si>
  <si>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</si>
  <si>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</si>
  <si>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</si>
  <si>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</si>
  <si>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</si>
  <si>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</si>
  <si>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</si>
  <si>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</si>
  <si>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</si>
  <si>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</si>
  <si>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</si>
  <si>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</si>
  <si>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</si>
  <si>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</si>
  <si>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</si>
  <si>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</si>
  <si>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</si>
  <si>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</si>
  <si>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</si>
  <si>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</si>
  <si>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</si>
  <si>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</si>
  <si>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</si>
  <si>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</si>
  <si>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</si>
  <si>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</si>
  <si>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</si>
  <si>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</si>
  <si>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</si>
  <si>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</si>
  <si>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</si>
  <si>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</si>
  <si>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</si>
  <si>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</si>
  <si>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</si>
  <si>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</si>
  <si>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</si>
  <si>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</si>
  <si>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</si>
  <si>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</si>
  <si>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</si>
  <si>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</si>
  <si>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</si>
  <si>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</si>
  <si>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</si>
  <si>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</si>
  <si>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</si>
  <si>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</si>
  <si>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</si>
  <si>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</si>
  <si>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</si>
  <si>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</si>
  <si>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</si>
  <si>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</si>
  <si>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</si>
  <si>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</si>
  <si>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</si>
  <si>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</si>
  <si>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</si>
  <si>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</si>
  <si>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</si>
  <si>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</si>
  <si>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</si>
  <si>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</si>
  <si>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</si>
  <si>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</si>
  <si>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</si>
  <si>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</si>
  <si>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</si>
  <si>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</si>
  <si>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</si>
  <si>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</si>
  <si>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</si>
  <si>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</si>
  <si>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</si>
  <si>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</si>
  <si>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</si>
  <si>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</si>
  <si>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</si>
  <si>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</si>
  <si>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</si>
  <si>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</si>
  <si>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</si>
  <si>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</si>
  <si>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</si>
  <si>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</si>
  <si>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</si>
  <si>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</si>
  <si>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</si>
  <si>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</si>
  <si>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</si>
  <si>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</si>
  <si>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</si>
  <si>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</si>
  <si>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</si>
  <si>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</si>
  <si>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</si>
  <si>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</si>
  <si>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</si>
  <si>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</si>
  <si>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</si>
  <si>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</si>
  <si>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</si>
  <si>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</si>
  <si>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</si>
  <si>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</si>
  <si>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</si>
  <si>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</si>
  <si>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</si>
  <si>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</si>
  <si>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</si>
  <si>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</si>
  <si>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</si>
  <si>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</si>
  <si>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</si>
  <si>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</si>
  <si>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</si>
  <si>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</si>
  <si>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</si>
  <si>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</si>
  <si>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</si>
  <si>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</si>
  <si>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</si>
  <si>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</si>
  <si>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</si>
  <si>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</si>
  <si>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</si>
  <si>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</si>
  <si>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</si>
  <si>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</si>
  <si>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</si>
  <si>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</si>
  <si>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</si>
  <si>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</si>
  <si>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</si>
  <si>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</si>
  <si>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</si>
  <si>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</si>
  <si>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</si>
  <si>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</si>
  <si>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</si>
  <si>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</si>
  <si>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</si>
  <si>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</si>
  <si>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</si>
  <si>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</si>
  <si>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</si>
  <si>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</si>
  <si>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</si>
  <si>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</si>
  <si>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</si>
  <si>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</si>
  <si>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</si>
  <si>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</si>
  <si>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</si>
  <si>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</si>
  <si>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</si>
  <si>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</si>
  <si>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</si>
  <si>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</si>
  <si>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</si>
  <si>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</si>
  <si>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</si>
  <si>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</si>
  <si>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</si>
  <si>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</si>
  <si>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</si>
  <si>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</si>
  <si>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</si>
  <si>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</si>
  <si>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</si>
  <si>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</si>
  <si>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</si>
  <si>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</si>
  <si>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</si>
  <si>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</si>
  <si>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</si>
  <si>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</si>
  <si>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</si>
  <si>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</si>
  <si>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</si>
  <si>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</si>
  <si>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</si>
  <si>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</si>
  <si>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</si>
  <si>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</si>
  <si>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</si>
  <si>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</si>
  <si>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</si>
  <si>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</si>
  <si>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</si>
  <si>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</si>
  <si>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</si>
  <si>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</si>
  <si>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</si>
  <si>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</si>
  <si>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</si>
  <si>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</si>
  <si>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</si>
  <si>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</si>
  <si>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</si>
  <si>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</si>
  <si>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</si>
  <si>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</si>
  <si>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</si>
  <si>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</si>
  <si>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</si>
  <si>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</si>
  <si>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</si>
  <si>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</si>
  <si>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</si>
  <si>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</si>
  <si>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</si>
  <si>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</si>
  <si>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</si>
  <si>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</si>
  <si>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</si>
  <si>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</si>
  <si>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</si>
  <si>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</si>
  <si>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</si>
  <si>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</si>
  <si>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</si>
  <si>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</si>
  <si>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</si>
  <si>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</si>
  <si>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</si>
  <si>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</si>
  <si>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</si>
  <si>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</si>
  <si>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</si>
  <si>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</si>
  <si>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</si>
  <si>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</si>
  <si>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</si>
  <si>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</si>
  <si>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</si>
  <si>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</si>
  <si>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</si>
  <si>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</si>
  <si>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</si>
  <si>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</si>
  <si>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</si>
  <si>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</si>
  <si>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</si>
  <si>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</si>
  <si>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</si>
  <si>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</si>
  <si>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</si>
  <si>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</si>
  <si>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</si>
  <si>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</si>
  <si>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</si>
  <si>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</si>
  <si>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</si>
  <si>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</si>
  <si>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</si>
  <si>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</si>
  <si>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</si>
  <si>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</si>
  <si>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</si>
  <si>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</si>
  <si>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</si>
  <si>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</si>
  <si>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</si>
  <si>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</si>
  <si>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</si>
  <si>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</si>
  <si>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</si>
  <si>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</si>
  <si>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</si>
  <si>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</si>
  <si>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</si>
  <si>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</si>
  <si>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</si>
  <si>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</si>
  <si>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</si>
  <si>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</si>
  <si>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</si>
  <si>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</si>
  <si>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</si>
  <si>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</si>
  <si>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</si>
  <si>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</si>
  <si>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</si>
  <si>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</si>
  <si>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</si>
  <si>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</si>
  <si>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</si>
  <si>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</si>
  <si>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</si>
  <si>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</si>
  <si>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</si>
  <si>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</si>
  <si>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</si>
  <si>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</si>
  <si>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</si>
  <si>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</si>
  <si>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</si>
  <si>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</si>
  <si>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</si>
  <si>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</si>
  <si>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</si>
  <si>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</si>
  <si>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</si>
  <si>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</si>
  <si>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</si>
  <si>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</si>
  <si>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</si>
  <si>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</si>
  <si>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</si>
  <si>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</si>
  <si>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</si>
  <si>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</si>
  <si>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</si>
  <si>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</si>
  <si>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</si>
  <si>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</si>
  <si>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</si>
  <si>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</si>
  <si>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</si>
  <si>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</si>
  <si>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</si>
  <si>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</si>
  <si>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</si>
  <si>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</si>
  <si>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</si>
  <si>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</si>
  <si>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</si>
  <si>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</si>
  <si>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</si>
  <si>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</si>
  <si>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</si>
  <si>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</si>
  <si>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</si>
  <si>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</si>
  <si>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</si>
  <si>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</si>
  <si>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</si>
  <si>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</si>
  <si>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</si>
  <si>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</si>
  <si>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</si>
  <si>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</si>
  <si>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</si>
  <si>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</si>
  <si>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</si>
  <si>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</si>
  <si>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</si>
  <si>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</si>
  <si>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</si>
  <si>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</si>
  <si>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</si>
  <si>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</si>
  <si>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</si>
  <si>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</si>
  <si>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</si>
  <si>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</si>
  <si>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</si>
  <si>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</si>
  <si>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</si>
  <si>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</si>
  <si>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</si>
  <si>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</si>
  <si>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</si>
  <si>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</si>
  <si>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</si>
  <si>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</si>
  <si>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</si>
  <si>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</si>
  <si>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</si>
  <si>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</si>
  <si>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</si>
  <si>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</si>
  <si>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</si>
  <si>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</si>
  <si>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</si>
  <si>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</si>
  <si>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</si>
  <si>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</si>
  <si>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</si>
  <si>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</si>
  <si>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</si>
  <si>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</si>
  <si>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</si>
  <si>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</si>
  <si>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</si>
  <si>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</si>
  <si>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</si>
  <si>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</si>
  <si>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</si>
  <si>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</si>
  <si>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</si>
  <si>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</si>
  <si>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</si>
  <si>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</si>
  <si>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</si>
  <si>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</si>
  <si>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</si>
  <si>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</si>
  <si>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</si>
  <si>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</si>
  <si>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</si>
  <si>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</si>
  <si>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</si>
  <si>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</si>
  <si>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</si>
  <si>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</si>
  <si>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</si>
  <si>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</si>
  <si>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</si>
  <si>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</si>
  <si>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</si>
  <si>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</si>
  <si>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</si>
  <si>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</si>
  <si>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</si>
  <si>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</si>
  <si>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</si>
  <si>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</si>
  <si>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</si>
  <si>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</si>
  <si>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</si>
  <si>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</si>
  <si>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</si>
  <si>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</si>
  <si>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</si>
  <si>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</si>
  <si>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</si>
  <si>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</si>
  <si>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</si>
  <si>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</si>
  <si>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</si>
  <si>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</si>
  <si>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</si>
  <si>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</si>
  <si>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</si>
  <si>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</si>
  <si>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</si>
  <si>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</si>
  <si>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</si>
  <si>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</si>
  <si>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</si>
  <si>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</si>
  <si>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</si>
  <si>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</si>
  <si>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</si>
  <si>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</si>
  <si>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</si>
  <si>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</si>
  <si>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</si>
  <si>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</si>
  <si>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</si>
  <si>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</si>
  <si>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</si>
  <si>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</si>
  <si>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</si>
  <si>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</si>
  <si>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</si>
  <si>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</si>
  <si>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</si>
  <si>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</si>
  <si>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</si>
  <si>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</si>
  <si>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</si>
  <si>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</si>
  <si>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</si>
  <si>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</si>
  <si>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</si>
  <si>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</si>
  <si>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</si>
  <si>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</si>
  <si>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</si>
  <si>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</si>
  <si>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</si>
  <si>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</si>
  <si>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</si>
  <si>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</si>
  <si>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</si>
  <si>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</si>
  <si>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</si>
  <si>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</si>
  <si>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</si>
  <si>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</si>
  <si>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</si>
  <si>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</si>
  <si>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</si>
  <si>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</si>
  <si>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</si>
  <si>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</si>
  <si>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</si>
  <si>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</si>
  <si>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</si>
  <si>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</si>
  <si>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</si>
  <si>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</si>
  <si>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</si>
  <si>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</si>
  <si>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</si>
  <si>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</si>
  <si>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</si>
  <si>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</si>
  <si>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</si>
  <si>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</si>
  <si>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</si>
  <si>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</si>
  <si>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</si>
  <si>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</si>
  <si>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</si>
  <si>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</si>
  <si>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</si>
  <si>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</si>
  <si>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</si>
  <si>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</si>
  <si>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</si>
  <si>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</si>
  <si>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</si>
  <si>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</si>
  <si>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</si>
  <si>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</si>
  <si>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</si>
  <si>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</si>
  <si>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</si>
  <si>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</si>
  <si>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</si>
  <si>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</si>
  <si>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</si>
  <si>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</si>
  <si>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</si>
  <si>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</si>
  <si>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</si>
  <si>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</si>
  <si>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</si>
  <si>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</si>
  <si>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</si>
  <si>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</si>
  <si>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</si>
  <si>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</si>
  <si>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</si>
  <si>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</si>
  <si>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</si>
  <si>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</si>
  <si>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</si>
  <si>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</si>
  <si>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</si>
  <si>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</si>
  <si>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</si>
  <si>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</si>
  <si>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</si>
  <si>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</si>
  <si>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</si>
  <si>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</si>
  <si>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</si>
  <si>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</si>
  <si>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</si>
  <si>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</si>
  <si>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</si>
  <si>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</si>
  <si>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</si>
  <si>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</si>
  <si>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</si>
  <si>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</si>
  <si>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</si>
  <si>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</si>
  <si>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</si>
  <si>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</si>
  <si>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</si>
  <si>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</si>
  <si>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</si>
  <si>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</si>
  <si>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</si>
  <si>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</si>
  <si>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</si>
  <si>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</si>
  <si>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</si>
  <si>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</si>
  <si>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</si>
  <si>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</si>
  <si>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</si>
  <si>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</si>
  <si>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</si>
  <si>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</si>
  <si>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</si>
  <si>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</si>
  <si>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</si>
  <si>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</si>
  <si>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</si>
  <si>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</si>
  <si>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</si>
  <si>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</si>
  <si>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</si>
  <si>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</si>
  <si>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</si>
  <si>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</si>
  <si>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</si>
  <si>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</si>
  <si>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</si>
  <si>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</si>
  <si>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</si>
  <si>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</si>
  <si>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</si>
  <si>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</si>
  <si>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</si>
  <si>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</si>
  <si>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</si>
  <si>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</si>
  <si>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</si>
  <si>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</si>
  <si>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</si>
  <si>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</si>
  <si>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</si>
  <si>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</si>
  <si>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</si>
  <si>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</si>
  <si>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</si>
  <si>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</si>
  <si>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</si>
  <si>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</si>
  <si>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</si>
  <si>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</si>
  <si>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</si>
  <si>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</si>
  <si>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</si>
  <si>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</si>
  <si>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</si>
  <si>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</si>
  <si>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</si>
  <si>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</si>
  <si>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</si>
  <si>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</si>
  <si>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</si>
  <si>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</si>
  <si>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</si>
  <si>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</si>
  <si>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</si>
  <si>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</si>
  <si>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</si>
  <si>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</si>
  <si>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</si>
  <si>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</si>
  <si>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</si>
  <si>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</si>
  <si>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</si>
  <si>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</si>
  <si>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</si>
  <si>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</si>
  <si>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</si>
  <si>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</si>
  <si>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</si>
  <si>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</si>
  <si>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</si>
  <si>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</si>
  <si>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</si>
  <si>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</si>
  <si>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</si>
  <si>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</si>
  <si>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</si>
  <si>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</si>
  <si>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</si>
  <si>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</si>
  <si>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</si>
  <si>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</si>
  <si>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</si>
  <si>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</si>
  <si>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</si>
  <si>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</si>
  <si>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</si>
  <si>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</si>
  <si>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</si>
  <si>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</si>
  <si>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</si>
  <si>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</si>
  <si>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</si>
  <si>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</si>
  <si>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</si>
  <si>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</si>
  <si>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</si>
  <si>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</si>
  <si>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</si>
  <si>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</si>
  <si>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</si>
  <si>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</si>
  <si>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</si>
  <si>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</si>
  <si>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</si>
  <si>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</si>
  <si>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</si>
  <si>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</si>
  <si>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</si>
  <si>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</si>
  <si>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</si>
  <si>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</si>
  <si>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</si>
  <si>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</si>
  <si>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</si>
  <si>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</si>
  <si>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</si>
  <si>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</si>
  <si>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</si>
  <si>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</si>
  <si>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</si>
  <si>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</si>
  <si>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</si>
  <si>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</si>
  <si>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</si>
  <si>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</si>
  <si>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</si>
  <si>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</si>
  <si>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</si>
  <si>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</si>
  <si>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</si>
  <si>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</si>
  <si>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</si>
  <si>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</si>
  <si>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</si>
  <si>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</si>
  <si>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</si>
  <si>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</si>
  <si>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</si>
  <si>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</si>
  <si>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</si>
  <si>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</si>
  <si>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</si>
  <si>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</si>
  <si>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</si>
  <si>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</si>
  <si>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</si>
  <si>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</si>
  <si>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</si>
  <si>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</si>
  <si>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</si>
  <si>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</si>
  <si>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</si>
  <si>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</si>
  <si>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</si>
  <si>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</si>
  <si>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</si>
  <si>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</si>
  <si>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</si>
  <si>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</si>
  <si>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</si>
  <si>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</si>
  <si>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</si>
  <si>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</si>
  <si>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</si>
  <si>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</si>
  <si>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</si>
  <si>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</si>
  <si>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</si>
  <si>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</si>
  <si>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</si>
  <si>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</si>
  <si>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</si>
  <si>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</si>
  <si>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</si>
  <si>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</si>
  <si>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</si>
  <si>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</si>
  <si>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</si>
  <si>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</si>
  <si>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</si>
  <si>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</si>
  <si>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</si>
  <si>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</si>
  <si>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</si>
  <si>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</si>
  <si>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</si>
  <si>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</si>
  <si>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</si>
  <si>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</si>
  <si>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</si>
  <si>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</si>
  <si>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</si>
  <si>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</si>
  <si>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</si>
  <si>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</si>
  <si>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</si>
  <si>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</si>
  <si>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</si>
  <si>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</si>
  <si>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</si>
  <si>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</si>
  <si>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</si>
  <si>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</si>
  <si>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</si>
  <si>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</si>
  <si>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</si>
  <si>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</si>
  <si>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</si>
  <si>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</si>
  <si>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</si>
  <si>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</si>
  <si>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</si>
  <si>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</si>
  <si>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</si>
  <si>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</si>
  <si>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</si>
  <si>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</si>
  <si>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</si>
  <si>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</si>
  <si>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</si>
  <si>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</si>
  <si>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</si>
  <si>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</si>
  <si>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</si>
  <si>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</si>
  <si>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</si>
  <si>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</si>
  <si>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</si>
  <si>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</si>
  <si>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</si>
  <si>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</si>
  <si>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</si>
  <si>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</si>
  <si>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</si>
  <si>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</si>
  <si>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</si>
  <si>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</si>
  <si>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</si>
  <si>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</si>
  <si>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</si>
  <si>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</si>
  <si>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</si>
  <si>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</si>
  <si>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</si>
  <si>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</si>
  <si>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</si>
  <si>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</si>
  <si>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</si>
  <si>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</si>
  <si>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</si>
  <si>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</si>
  <si>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</si>
  <si>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</si>
  <si>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</si>
  <si>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</si>
  <si>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</si>
  <si>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</si>
  <si>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</si>
  <si>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</si>
  <si>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</si>
  <si>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</si>
  <si>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</si>
  <si>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</si>
  <si>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</si>
  <si>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</si>
  <si>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</si>
  <si>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</si>
  <si>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</si>
  <si>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</si>
  <si>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</si>
  <si>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</si>
  <si>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</si>
  <si>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</si>
  <si>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</si>
  <si>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</si>
  <si>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</si>
  <si>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</si>
  <si>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</si>
  <si>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</si>
  <si>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</si>
  <si>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</si>
  <si>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</si>
  <si>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</si>
  <si>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</si>
  <si>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</si>
  <si>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</si>
  <si>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</si>
  <si>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</si>
  <si>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</si>
  <si>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</si>
  <si>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</si>
  <si>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</si>
  <si>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</si>
  <si>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</si>
  <si>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</si>
  <si>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</si>
  <si>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</si>
  <si>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</si>
  <si>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</si>
  <si>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</si>
  <si>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</si>
  <si>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</si>
  <si>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</si>
  <si>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</si>
  <si>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</si>
  <si>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</si>
  <si>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</si>
  <si>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</si>
  <si>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</si>
  <si>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</si>
  <si>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</si>
  <si>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</si>
  <si>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</si>
  <si>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</si>
  <si>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</si>
  <si>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</si>
  <si>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</si>
  <si>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</si>
  <si>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</si>
  <si>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</si>
  <si>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</si>
  <si>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</si>
  <si>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</si>
  <si>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</si>
  <si>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</si>
  <si>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</si>
  <si>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</si>
  <si>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</si>
  <si>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</si>
  <si>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</si>
  <si>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</si>
  <si>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</si>
  <si>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</si>
  <si>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</si>
  <si>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</si>
  <si>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</si>
  <si>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</si>
  <si>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</si>
  <si>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</si>
  <si>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</si>
  <si>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</si>
  <si>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</si>
  <si>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</si>
  <si>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</si>
  <si>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</si>
  <si>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</si>
  <si>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</si>
  <si>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</si>
  <si>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</si>
  <si>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</si>
  <si>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</si>
  <si>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</si>
  <si>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</si>
  <si>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</si>
  <si>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</si>
  <si>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</si>
  <si>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</si>
  <si>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</si>
  <si>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</si>
  <si>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</si>
  <si>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</si>
  <si>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</si>
  <si>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</si>
  <si>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</si>
  <si>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</si>
  <si>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</si>
  <si>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</si>
  <si>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</si>
  <si>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</si>
  <si>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</si>
  <si>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</si>
  <si>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</si>
  <si>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</si>
  <si>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</si>
  <si>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</si>
  <si>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</si>
  <si>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</si>
  <si>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</si>
  <si>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</si>
  <si>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</si>
  <si>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</si>
  <si>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</si>
  <si>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</si>
  <si>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</si>
  <si>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</si>
  <si>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</si>
  <si>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</si>
  <si>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</si>
  <si>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</si>
  <si>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</si>
  <si>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</si>
  <si>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</si>
  <si>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</si>
  <si>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</si>
  <si>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</si>
  <si>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</si>
  <si>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</si>
  <si>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</si>
  <si>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</si>
  <si>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</si>
  <si>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</si>
  <si>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</si>
  <si>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</si>
  <si>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</si>
  <si>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</si>
  <si>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</si>
  <si>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</si>
  <si>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</si>
  <si>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</si>
  <si>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</si>
  <si>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</si>
  <si>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</si>
  <si>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</si>
  <si>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</si>
  <si>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</si>
  <si>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</si>
  <si>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</si>
  <si>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</si>
  <si>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</si>
  <si>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</si>
  <si>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</si>
  <si>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</si>
  <si>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</si>
  <si>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</si>
  <si>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</si>
  <si>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</si>
  <si>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</si>
  <si>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</si>
  <si>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</si>
  <si>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</si>
  <si>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</si>
  <si>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</si>
  <si>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</si>
  <si>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</si>
  <si>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</si>
  <si>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</si>
  <si>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</si>
  <si>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</si>
  <si>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</si>
  <si>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</si>
  <si>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</si>
  <si>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</si>
  <si>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</si>
  <si>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</si>
  <si>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</si>
  <si>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</si>
  <si>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</si>
  <si>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</si>
  <si>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</si>
  <si>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</si>
  <si>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</si>
  <si>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</si>
  <si>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</si>
  <si>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</si>
  <si>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</si>
  <si>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</si>
  <si>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</si>
  <si>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</si>
  <si>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</si>
  <si>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</si>
  <si>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</si>
  <si>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</si>
  <si>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</si>
  <si>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</si>
  <si>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</si>
  <si>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</si>
  <si>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</si>
  <si>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</si>
  <si>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</si>
  <si>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</si>
  <si>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</si>
  <si>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</si>
  <si>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</si>
  <si>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</si>
  <si>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</si>
  <si>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</si>
  <si>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</si>
  <si>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</si>
  <si>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</si>
  <si>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</si>
  <si>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</si>
  <si>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</si>
  <si>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</si>
  <si>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</si>
  <si>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</si>
  <si>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</si>
  <si>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</si>
  <si>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</si>
  <si>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</si>
  <si>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</si>
  <si>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</si>
  <si>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</si>
  <si>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</si>
  <si>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</si>
  <si>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</si>
  <si>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</si>
  <si>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</si>
  <si>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</si>
  <si>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</si>
  <si>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</si>
  <si>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</si>
  <si>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</si>
  <si>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</si>
  <si>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</si>
  <si>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</si>
  <si>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</si>
  <si>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</si>
  <si>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</si>
  <si>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</si>
  <si>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</si>
  <si>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</si>
  <si>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</si>
  <si>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</si>
  <si>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</si>
  <si>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</si>
  <si>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</si>
  <si>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</si>
  <si>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</si>
  <si>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</si>
  <si>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</si>
  <si>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</si>
  <si>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</si>
  <si>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</si>
  <si>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</si>
  <si>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</si>
  <si>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</si>
  <si>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</si>
  <si>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</si>
  <si>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</si>
  <si>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</si>
  <si>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</si>
  <si>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</si>
  <si>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</si>
  <si>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</si>
  <si>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</si>
  <si>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</si>
  <si>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</si>
  <si>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</si>
  <si>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</si>
  <si>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</si>
  <si>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</si>
  <si>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</si>
  <si>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</si>
  <si>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</si>
  <si>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</si>
  <si>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</si>
  <si>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</si>
  <si>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</si>
  <si>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</si>
  <si>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</si>
  <si>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</si>
  <si>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</si>
  <si>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</si>
  <si>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</si>
  <si>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</si>
  <si>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</si>
  <si>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</si>
  <si>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</si>
  <si>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</si>
  <si>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</si>
  <si>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</si>
  <si>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</si>
  <si>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</si>
  <si>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</si>
  <si>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</si>
  <si>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</si>
  <si>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</si>
  <si>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</si>
  <si>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</si>
  <si>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</si>
  <si>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</si>
  <si>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</si>
  <si>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</si>
  <si>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</si>
  <si>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</si>
  <si>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</si>
  <si>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</si>
  <si>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</si>
  <si>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</si>
  <si>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</si>
  <si>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</si>
  <si>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</si>
  <si>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</si>
  <si>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</si>
  <si>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</si>
  <si>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</si>
  <si>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</si>
  <si>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</si>
  <si>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</si>
  <si>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</si>
  <si>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</si>
  <si>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</si>
  <si>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</si>
  <si>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</si>
  <si>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</si>
  <si>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</si>
  <si>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</si>
  <si>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</si>
  <si>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</si>
  <si>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</si>
  <si>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</si>
  <si>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</si>
  <si>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</si>
  <si>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</si>
  <si>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</si>
  <si>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</si>
  <si>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</si>
  <si>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</si>
  <si>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</si>
  <si>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</si>
  <si>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</si>
  <si>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</si>
  <si>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</si>
  <si>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</si>
  <si>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</si>
  <si>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</si>
  <si>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</si>
  <si>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</si>
  <si>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</si>
  <si>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</si>
  <si>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</si>
  <si>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</si>
  <si>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</si>
  <si>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</si>
  <si>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</si>
  <si>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</si>
  <si>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</si>
  <si>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</si>
  <si>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</si>
  <si>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</si>
  <si>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</si>
  <si>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</si>
  <si>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</si>
  <si>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</si>
  <si>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</si>
  <si>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</si>
  <si>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</si>
  <si>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</si>
  <si>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</si>
  <si>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</si>
  <si>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</si>
  <si>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</si>
  <si>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</si>
  <si>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</si>
  <si>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</si>
  <si>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</si>
  <si>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</si>
  <si>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</si>
  <si>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</si>
  <si>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</si>
  <si>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</si>
  <si>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</si>
  <si>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</si>
  <si>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</si>
  <si>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</si>
  <si>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</si>
  <si>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</si>
  <si>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</si>
  <si>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</si>
  <si>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</si>
  <si>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</si>
  <si>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</si>
  <si>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</si>
  <si>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</si>
  <si>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</si>
  <si>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</si>
  <si>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</si>
  <si>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</si>
  <si>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</si>
  <si>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</si>
  <si>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</si>
  <si>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</si>
  <si>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</si>
  <si>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</si>
  <si>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</si>
  <si>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</si>
  <si>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</si>
  <si>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</si>
  <si>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</si>
  <si>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</si>
  <si>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</si>
  <si>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</si>
  <si>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</si>
  <si>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</si>
  <si>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</si>
  <si>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</si>
  <si>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</si>
  <si>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</si>
  <si>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</si>
  <si>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</si>
  <si>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</si>
  <si>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</si>
  <si>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</si>
  <si>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</si>
  <si>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</si>
  <si>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</si>
  <si>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</si>
  <si>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</si>
  <si>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</si>
  <si>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</si>
  <si>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</si>
  <si>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</si>
  <si>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</si>
  <si>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</si>
  <si>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</si>
  <si>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</si>
  <si>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</si>
  <si>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</si>
  <si>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</si>
  <si>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</si>
  <si>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</si>
  <si>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</si>
  <si>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</si>
  <si>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</si>
  <si>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</si>
  <si>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</si>
  <si>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</si>
  <si>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</si>
  <si>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</si>
  <si>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</si>
  <si>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</si>
  <si>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</si>
  <si>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</si>
  <si>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</si>
  <si>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</si>
  <si>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</si>
  <si>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</si>
  <si>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</si>
  <si>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</si>
  <si>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</si>
  <si>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</si>
  <si>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</si>
  <si>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</si>
  <si>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</si>
  <si>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</si>
  <si>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</si>
  <si>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</si>
  <si>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</si>
  <si>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</si>
  <si>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</si>
  <si>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</si>
  <si>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</si>
  <si>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</si>
  <si>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</si>
  <si>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</si>
  <si>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</si>
  <si>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</si>
  <si>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</si>
  <si>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</si>
  <si>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</si>
  <si>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</si>
  <si>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</si>
  <si>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</si>
  <si>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</si>
  <si>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</si>
  <si>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</si>
  <si>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</si>
  <si>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</si>
  <si>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</si>
  <si>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</si>
  <si>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</si>
  <si>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95-008-65</t>
  </si>
  <si>
    <t>3190</t>
  </si>
  <si>
    <t>Fredrikson</t>
  </si>
  <si>
    <t>709/21</t>
  </si>
  <si>
    <t>черный / темно-серый</t>
  </si>
  <si>
    <t>светло-коричневый / бежевый</t>
  </si>
  <si>
    <t>светло-бежевый / черный</t>
  </si>
  <si>
    <t>голубой / синий</t>
  </si>
  <si>
    <t>темно-синий / темно-серый</t>
  </si>
  <si>
    <t>темно-серый / светло-серый</t>
  </si>
  <si>
    <t>темно-бежевый / черный</t>
  </si>
  <si>
    <t>темно-серый / белый</t>
  </si>
  <si>
    <t>темно-серый / темно-синий</t>
  </si>
  <si>
    <t>синий / темно-серый</t>
  </si>
  <si>
    <t>серый / темно-серый</t>
  </si>
  <si>
    <t>светло-серый / серый</t>
  </si>
  <si>
    <t>темно-синий / темно-синий</t>
  </si>
  <si>
    <t>темно-серый / темно-серый</t>
  </si>
  <si>
    <t>80% шерсть - 20% полиамид / Подклад: 100% вискоза</t>
  </si>
  <si>
    <t>FREDRIKSON</t>
  </si>
  <si>
    <t>ООО "ФРЭДРИКСОН" Россия 192029, С-Петербург, пр. Обуховской обороны, д.86, лит М</t>
  </si>
  <si>
    <t>NEW ERA</t>
  </si>
  <si>
    <t>Midsummer Blvd, Milton Keynes MK9 2EА, United Kingdom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</si>
</sst>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28522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28523</v>
      </c>
      <c r="B219" s="28" t="s">
        <v>28524</v>
      </c>
    </row>
    <row r="220" spans="1:2" x14ac:dyDescent="0.25">
      <c r="A220" s="28" t="s">
        <v>28525</v>
      </c>
      <c r="B220" s="28" t="s">
        <v>28526</v>
      </c>
    </row>
    <row r="221" spans="1:2" x14ac:dyDescent="0.25">
      <c r="A221" s="28" t="s">
        <v>28527</v>
      </c>
      <c r="B221" s="28" t="s">
        <v>28528</v>
      </c>
    </row>
    <row r="222" spans="1:2" x14ac:dyDescent="0.25">
      <c r="A222" s="28" t="s">
        <v>28529</v>
      </c>
      <c r="B222" s="28" t="s">
        <v>28530</v>
      </c>
    </row>
    <row r="223" spans="1:2" x14ac:dyDescent="0.25">
      <c r="A223" s="28" t="s">
        <v>28531</v>
      </c>
      <c r="B223" s="28" t="s">
        <v>28532</v>
      </c>
    </row>
    <row r="224" spans="1:2" x14ac:dyDescent="0.25">
      <c r="A224" s="28" t="s">
        <v>28533</v>
      </c>
      <c r="B224" s="28" t="s">
        <v>28534</v>
      </c>
    </row>
    <row r="225" spans="1:2" x14ac:dyDescent="0.25">
      <c r="A225" s="28" t="s">
        <v>28535</v>
      </c>
      <c r="B225" s="28" t="s">
        <v>28536</v>
      </c>
    </row>
    <row r="226" spans="1:2" x14ac:dyDescent="0.25">
      <c r="A226" s="28" t="s">
        <v>28537</v>
      </c>
      <c r="B226" s="28" t="s">
        <v>28538</v>
      </c>
    </row>
    <row r="227" spans="1:2" x14ac:dyDescent="0.25">
      <c r="A227" s="28" t="s">
        <v>28539</v>
      </c>
      <c r="B227" s="28" t="s">
        <v>28540</v>
      </c>
    </row>
    <row r="228" spans="1:2" x14ac:dyDescent="0.25">
      <c r="A228" s="28" t="s">
        <v>28541</v>
      </c>
      <c r="B228" s="28" t="s">
        <v>28542</v>
      </c>
    </row>
    <row r="229" spans="1:2" x14ac:dyDescent="0.25">
      <c r="A229" s="28" t="s">
        <v>28543</v>
      </c>
      <c r="B229" s="28" t="s">
        <v>28544</v>
      </c>
    </row>
    <row r="230" spans="1:2" x14ac:dyDescent="0.25">
      <c r="A230" s="28" t="s">
        <v>28545</v>
      </c>
      <c r="B230" s="28" t="s">
        <v>28546</v>
      </c>
    </row>
    <row r="231" spans="1:2" x14ac:dyDescent="0.25">
      <c r="A231" s="28" t="s">
        <v>28547</v>
      </c>
      <c r="B231" s="28" t="s">
        <v>28548</v>
      </c>
    </row>
    <row r="232" spans="1:2" x14ac:dyDescent="0.25">
      <c r="A232" s="28" t="s">
        <v>28549</v>
      </c>
      <c r="B232" s="28" t="s">
        <v>28550</v>
      </c>
    </row>
    <row r="233" spans="1:2" x14ac:dyDescent="0.25">
      <c r="A233" s="28" t="s">
        <v>28551</v>
      </c>
      <c r="B233" s="28" t="s">
        <v>28552</v>
      </c>
    </row>
    <row r="234" spans="1:2" x14ac:dyDescent="0.25">
      <c r="A234" s="28" t="s">
        <v>28553</v>
      </c>
      <c r="B234" s="28" t="s">
        <v>28554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28555</v>
      </c>
      <c r="B236" s="28" t="s">
        <v>28556</v>
      </c>
    </row>
    <row r="237" spans="1:2" x14ac:dyDescent="0.25">
      <c r="A237" s="28" t="s">
        <v>28557</v>
      </c>
      <c r="B237" s="28" t="s">
        <v>28558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28559</v>
      </c>
      <c r="B240" s="28" t="s">
        <v>28560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28561</v>
      </c>
      <c r="B242" s="28" t="s">
        <v>28562</v>
      </c>
    </row>
    <row r="243" spans="1:2" x14ac:dyDescent="0.25">
      <c r="A243" s="28" t="s">
        <v>28563</v>
      </c>
      <c r="B243" s="28" t="s">
        <v>28564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28565</v>
      </c>
      <c r="B245" s="28" t="s">
        <v>28566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28567</v>
      </c>
      <c r="B247" s="28" t="s">
        <v>28568</v>
      </c>
    </row>
    <row r="248" spans="1:2" x14ac:dyDescent="0.25">
      <c r="A248" s="28" t="s">
        <v>28569</v>
      </c>
      <c r="B248" s="28" t="s">
        <v>28570</v>
      </c>
    </row>
    <row r="249" spans="1:2" x14ac:dyDescent="0.25">
      <c r="A249" s="28" t="s">
        <v>28571</v>
      </c>
      <c r="B249" s="28" t="s">
        <v>28572</v>
      </c>
    </row>
    <row r="250" spans="1:2" x14ac:dyDescent="0.25">
      <c r="A250" s="28" t="s">
        <v>28573</v>
      </c>
      <c r="B250" s="28" t="s">
        <v>28574</v>
      </c>
    </row>
    <row r="251" spans="1:2" x14ac:dyDescent="0.25">
      <c r="A251" s="28" t="s">
        <v>28575</v>
      </c>
      <c r="B251" s="28" t="s">
        <v>28576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28577</v>
      </c>
      <c r="B255" s="28" t="s">
        <v>28578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28579</v>
      </c>
      <c r="B258" s="28" t="s">
        <v>28580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28581</v>
      </c>
      <c r="B260" s="28" t="s">
        <v>28582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28583</v>
      </c>
      <c r="B264" s="28" t="s">
        <v>28584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28585</v>
      </c>
      <c r="B269" s="28" t="s">
        <v>28586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28587</v>
      </c>
      <c r="B273" s="28" t="s">
        <v>28588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28589</v>
      </c>
      <c r="B275" s="28" t="s">
        <v>28590</v>
      </c>
    </row>
    <row r="276" spans="1:2" x14ac:dyDescent="0.25">
      <c r="A276" s="28" t="s">
        <v>28591</v>
      </c>
      <c r="B276" s="28" t="s">
        <v>28592</v>
      </c>
    </row>
    <row r="277" spans="1:2" x14ac:dyDescent="0.25">
      <c r="A277" s="28" t="s">
        <v>28593</v>
      </c>
      <c r="B277" s="28" t="s">
        <v>28594</v>
      </c>
    </row>
    <row r="278" spans="1:2" x14ac:dyDescent="0.25">
      <c r="A278" s="28" t="s">
        <v>28595</v>
      </c>
      <c r="B278" s="28" t="s">
        <v>28596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28597</v>
      </c>
      <c r="B286" s="28" t="s">
        <v>28598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28599</v>
      </c>
      <c r="B298" s="28" t="s">
        <v>28600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28601</v>
      </c>
      <c r="B301" s="28" t="s">
        <v>28602</v>
      </c>
    </row>
    <row r="302" spans="1:2" x14ac:dyDescent="0.25">
      <c r="A302" s="28" t="s">
        <v>28603</v>
      </c>
      <c r="B302" s="28" t="s">
        <v>28604</v>
      </c>
    </row>
    <row r="303" spans="1:2" x14ac:dyDescent="0.25">
      <c r="A303" s="28" t="s">
        <v>28605</v>
      </c>
      <c r="B303" s="28" t="s">
        <v>28606</v>
      </c>
    </row>
    <row r="304" spans="1:2" x14ac:dyDescent="0.25">
      <c r="A304" s="28" t="s">
        <v>28607</v>
      </c>
      <c r="B304" s="28" t="s">
        <v>28608</v>
      </c>
    </row>
    <row r="305" spans="1:2" x14ac:dyDescent="0.25">
      <c r="A305" s="28" t="s">
        <v>28609</v>
      </c>
      <c r="B305" s="28" t="s">
        <v>28610</v>
      </c>
    </row>
    <row r="306" spans="1:2" x14ac:dyDescent="0.25">
      <c r="A306" s="28" t="s">
        <v>28611</v>
      </c>
      <c r="B306" s="28" t="s">
        <v>28612</v>
      </c>
    </row>
    <row r="307" spans="1:2" x14ac:dyDescent="0.25">
      <c r="A307" s="28" t="s">
        <v>28613</v>
      </c>
      <c r="B307" s="28" t="s">
        <v>28614</v>
      </c>
    </row>
    <row r="308" spans="1:2" x14ac:dyDescent="0.25">
      <c r="A308" s="28" t="s">
        <v>28615</v>
      </c>
      <c r="B308" s="28" t="s">
        <v>28616</v>
      </c>
    </row>
    <row r="309" spans="1:2" x14ac:dyDescent="0.25">
      <c r="A309" s="28" t="s">
        <v>28617</v>
      </c>
      <c r="B309" s="28" t="s">
        <v>28618</v>
      </c>
    </row>
    <row r="310" spans="1:2" x14ac:dyDescent="0.25">
      <c r="A310" s="28" t="s">
        <v>28619</v>
      </c>
      <c r="B310" s="28" t="s">
        <v>28620</v>
      </c>
    </row>
    <row r="311" spans="1:2" x14ac:dyDescent="0.25">
      <c r="A311" s="28" t="s">
        <v>28621</v>
      </c>
      <c r="B311" s="28" t="s">
        <v>28622</v>
      </c>
    </row>
    <row r="312" spans="1:2" x14ac:dyDescent="0.25">
      <c r="A312" s="28" t="s">
        <v>28623</v>
      </c>
      <c r="B312" s="28" t="s">
        <v>28624</v>
      </c>
    </row>
    <row r="313" spans="1:2" x14ac:dyDescent="0.25">
      <c r="A313" s="28" t="s">
        <v>28625</v>
      </c>
      <c r="B313" s="28" t="s">
        <v>28626</v>
      </c>
    </row>
    <row r="314" spans="1:2" x14ac:dyDescent="0.25">
      <c r="A314" s="28" t="s">
        <v>28627</v>
      </c>
      <c r="B314" s="28" t="s">
        <v>28628</v>
      </c>
    </row>
    <row r="315" spans="1:2" x14ac:dyDescent="0.25">
      <c r="A315" s="28" t="s">
        <v>28629</v>
      </c>
      <c r="B315" s="28" t="s">
        <v>28630</v>
      </c>
    </row>
    <row r="316" spans="1:2" x14ac:dyDescent="0.25">
      <c r="A316" s="28" t="s">
        <v>28631</v>
      </c>
      <c r="B316" s="28" t="s">
        <v>28632</v>
      </c>
    </row>
    <row r="317" spans="1:2" x14ac:dyDescent="0.25">
      <c r="A317" s="28" t="s">
        <v>28633</v>
      </c>
      <c r="B317" s="28" t="s">
        <v>28634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28635</v>
      </c>
      <c r="B324" s="28" t="s">
        <v>28636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28637</v>
      </c>
      <c r="B332" s="28" t="s">
        <v>28638</v>
      </c>
    </row>
    <row r="333" spans="1:2" x14ac:dyDescent="0.25">
      <c r="A333" s="28" t="s">
        <v>28639</v>
      </c>
      <c r="B333" s="28" t="s">
        <v>28640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28641</v>
      </c>
      <c r="B337" s="28" t="s">
        <v>28642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28643</v>
      </c>
      <c r="B342" s="28" t="s">
        <v>28644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28645</v>
      </c>
      <c r="B368" s="28" t="s">
        <v>28646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28647</v>
      </c>
      <c r="B370" s="28" t="s">
        <v>28648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28649</v>
      </c>
      <c r="B376" s="28" t="s">
        <v>28650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28651</v>
      </c>
      <c r="B388" s="28" t="s">
        <v>28652</v>
      </c>
    </row>
    <row r="389" spans="1:2" x14ac:dyDescent="0.25">
      <c r="A389" s="28" t="s">
        <v>28653</v>
      </c>
      <c r="B389" s="28" t="s">
        <v>28654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28655</v>
      </c>
      <c r="B394" s="28" t="s">
        <v>28656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28657</v>
      </c>
      <c r="B399" s="28" t="s">
        <v>28658</v>
      </c>
    </row>
    <row r="400" spans="1:2" x14ac:dyDescent="0.25">
      <c r="A400" s="28" t="s">
        <v>28659</v>
      </c>
      <c r="B400" s="28" t="s">
        <v>28660</v>
      </c>
    </row>
    <row r="401" spans="1:2" x14ac:dyDescent="0.25">
      <c r="A401" s="28" t="s">
        <v>28661</v>
      </c>
      <c r="B401" s="28" t="s">
        <v>28662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28663</v>
      </c>
      <c r="B407" s="28" t="s">
        <v>28664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28665</v>
      </c>
      <c r="B410" s="28" t="s">
        <v>28666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28667</v>
      </c>
      <c r="B417" s="28" t="s">
        <v>28668</v>
      </c>
    </row>
    <row r="418" spans="1:2" x14ac:dyDescent="0.25">
      <c r="A418" s="28" t="s">
        <v>28669</v>
      </c>
      <c r="B418" s="28" t="s">
        <v>28670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28671</v>
      </c>
      <c r="B424" s="28" t="s">
        <v>28672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28673</v>
      </c>
      <c r="B438" s="28" t="s">
        <v>28674</v>
      </c>
    </row>
    <row r="439" spans="1:2" x14ac:dyDescent="0.25">
      <c r="A439" s="28" t="s">
        <v>28675</v>
      </c>
      <c r="B439" s="28" t="s">
        <v>28676</v>
      </c>
    </row>
    <row r="440" spans="1:2" x14ac:dyDescent="0.25">
      <c r="A440" s="28" t="s">
        <v>28677</v>
      </c>
      <c r="B440" s="28" t="s">
        <v>28678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28679</v>
      </c>
      <c r="B447" s="28" t="s">
        <v>28680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28681</v>
      </c>
      <c r="B451" s="28" t="s">
        <v>28682</v>
      </c>
    </row>
    <row r="452" spans="1:2" x14ac:dyDescent="0.25">
      <c r="A452" s="28" t="s">
        <v>28683</v>
      </c>
      <c r="B452" s="28" t="s">
        <v>28684</v>
      </c>
    </row>
    <row r="453" spans="1:2" x14ac:dyDescent="0.25">
      <c r="A453" s="28" t="s">
        <v>28685</v>
      </c>
      <c r="B453" s="28" t="s">
        <v>28686</v>
      </c>
    </row>
    <row r="454" spans="1:2" x14ac:dyDescent="0.25">
      <c r="A454" s="28" t="s">
        <v>28687</v>
      </c>
      <c r="B454" s="28" t="s">
        <v>28688</v>
      </c>
    </row>
    <row r="455" spans="1:2" x14ac:dyDescent="0.25">
      <c r="A455" s="28" t="s">
        <v>28689</v>
      </c>
      <c r="B455" s="28" t="s">
        <v>28690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28691</v>
      </c>
      <c r="B457" s="28" t="s">
        <v>28692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28693</v>
      </c>
      <c r="B468" s="28" t="s">
        <v>28694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28695</v>
      </c>
      <c r="B483" s="28" t="s">
        <v>28696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28697</v>
      </c>
      <c r="B526" s="28" t="s">
        <v>28698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28699</v>
      </c>
      <c r="B528" s="28" t="s">
        <v>28700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28701</v>
      </c>
      <c r="B530" s="28" t="s">
        <v>28702</v>
      </c>
    </row>
    <row r="531" spans="1:2" x14ac:dyDescent="0.25">
      <c r="A531" s="28" t="s">
        <v>28703</v>
      </c>
      <c r="B531" s="28" t="s">
        <v>28704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28705</v>
      </c>
      <c r="B535" s="28" t="s">
        <v>28706</v>
      </c>
    </row>
    <row r="536" spans="1:2" x14ac:dyDescent="0.25">
      <c r="A536" s="28" t="s">
        <v>28707</v>
      </c>
      <c r="B536" s="28" t="s">
        <v>28708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28709</v>
      </c>
      <c r="B539" s="28" t="s">
        <v>28710</v>
      </c>
    </row>
    <row r="540" spans="1:2" x14ac:dyDescent="0.25">
      <c r="A540" s="28" t="s">
        <v>28711</v>
      </c>
      <c r="B540" s="28" t="s">
        <v>28712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28713</v>
      </c>
      <c r="B557" s="28" t="s">
        <v>28714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28715</v>
      </c>
      <c r="B568" s="28" t="s">
        <v>28716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28717</v>
      </c>
      <c r="B570" s="28" t="s">
        <v>28718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28719</v>
      </c>
      <c r="B572" s="28" t="s">
        <v>28720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28721</v>
      </c>
      <c r="B575" s="28" t="s">
        <v>28722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28723</v>
      </c>
      <c r="B577" s="28" t="s">
        <v>28724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28725</v>
      </c>
      <c r="B580" s="28" t="s">
        <v>28726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28727</v>
      </c>
      <c r="B585" s="28" t="s">
        <v>28728</v>
      </c>
    </row>
    <row r="586" spans="1:2" x14ac:dyDescent="0.25">
      <c r="A586" s="28" t="s">
        <v>28729</v>
      </c>
      <c r="B586" s="28" t="s">
        <v>28730</v>
      </c>
    </row>
    <row r="587" spans="1:2" x14ac:dyDescent="0.25">
      <c r="A587" s="28" t="s">
        <v>28731</v>
      </c>
      <c r="B587" s="28" t="s">
        <v>28732</v>
      </c>
    </row>
    <row r="588" spans="1:2" x14ac:dyDescent="0.25">
      <c r="A588" s="28" t="s">
        <v>28733</v>
      </c>
      <c r="B588" s="28" t="s">
        <v>28734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28735</v>
      </c>
      <c r="B592" s="28" t="s">
        <v>28736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28737</v>
      </c>
      <c r="B596" s="28" t="s">
        <v>28738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28739</v>
      </c>
      <c r="B602" s="28" t="s">
        <v>28740</v>
      </c>
    </row>
    <row r="603" spans="1:2" x14ac:dyDescent="0.25">
      <c r="A603" s="28" t="s">
        <v>28741</v>
      </c>
      <c r="B603" s="28" t="s">
        <v>28742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28743</v>
      </c>
      <c r="B608" s="28" t="s">
        <v>28744</v>
      </c>
    </row>
    <row r="609" spans="1:2" x14ac:dyDescent="0.25">
      <c r="A609" s="28" t="s">
        <v>28745</v>
      </c>
      <c r="B609" s="28" t="s">
        <v>28746</v>
      </c>
    </row>
    <row r="610" spans="1:2" x14ac:dyDescent="0.25">
      <c r="A610" s="28" t="s">
        <v>28747</v>
      </c>
      <c r="B610" s="28" t="s">
        <v>28748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28749</v>
      </c>
      <c r="B616" s="28" t="s">
        <v>28750</v>
      </c>
    </row>
    <row r="617" spans="1:2" x14ac:dyDescent="0.25">
      <c r="A617" s="28" t="s">
        <v>28751</v>
      </c>
      <c r="B617" s="28" t="s">
        <v>28752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28753</v>
      </c>
      <c r="B634" s="28" t="s">
        <v>28754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28755</v>
      </c>
      <c r="B644" s="28" t="s">
        <v>28756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28757</v>
      </c>
      <c r="B647" s="28" t="s">
        <v>28758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28759</v>
      </c>
      <c r="B649" s="28" t="s">
        <v>28760</v>
      </c>
    </row>
    <row r="650" spans="1:2" x14ac:dyDescent="0.25">
      <c r="A650" s="28" t="s">
        <v>28761</v>
      </c>
      <c r="B650" s="28" t="s">
        <v>28762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28763</v>
      </c>
      <c r="B656" s="28" t="s">
        <v>28764</v>
      </c>
    </row>
    <row r="657" spans="1:2" x14ac:dyDescent="0.25">
      <c r="A657" s="28" t="s">
        <v>28765</v>
      </c>
      <c r="B657" s="28" t="s">
        <v>28766</v>
      </c>
    </row>
    <row r="658" spans="1:2" x14ac:dyDescent="0.25">
      <c r="A658" s="28" t="s">
        <v>28767</v>
      </c>
      <c r="B658" s="28" t="s">
        <v>28768</v>
      </c>
    </row>
    <row r="659" spans="1:2" x14ac:dyDescent="0.25">
      <c r="A659" s="28" t="s">
        <v>28769</v>
      </c>
      <c r="B659" s="28" t="s">
        <v>28770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28771</v>
      </c>
      <c r="B662" s="28" t="s">
        <v>28772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28773</v>
      </c>
      <c r="B666" s="28" t="s">
        <v>28774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28775</v>
      </c>
      <c r="B675" s="28" t="s">
        <v>28776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28777</v>
      </c>
      <c r="B1153" s="28" t="s">
        <v>28432</v>
      </c>
    </row>
    <row r="1154" spans="1:2" x14ac:dyDescent="0.25">
      <c r="A1154" s="28" t="s">
        <v>28778</v>
      </c>
      <c r="B1154" s="28" t="s">
        <v>28431</v>
      </c>
    </row>
    <row r="1155" spans="1:2" x14ac:dyDescent="0.25">
      <c r="A1155" s="28" t="s">
        <v>28779</v>
      </c>
      <c r="B1155" s="28" t="s">
        <v>28437</v>
      </c>
    </row>
    <row r="1156" spans="1:2" x14ac:dyDescent="0.25">
      <c r="A1156" s="28" t="s">
        <v>28780</v>
      </c>
      <c r="B1156" s="28" t="s">
        <v>28435</v>
      </c>
    </row>
    <row r="1157" spans="1:2" x14ac:dyDescent="0.25">
      <c r="A1157" s="28" t="s">
        <v>28781</v>
      </c>
      <c r="B1157" s="28" t="s">
        <v>28436</v>
      </c>
    </row>
    <row r="1158" spans="1:2" x14ac:dyDescent="0.25">
      <c r="A1158" s="28" t="s">
        <v>28782</v>
      </c>
      <c r="B1158" s="28" t="s">
        <v>28433</v>
      </c>
    </row>
    <row r="1159" spans="1:2" x14ac:dyDescent="0.25">
      <c r="A1159" s="28" t="s">
        <v>28783</v>
      </c>
      <c r="B1159" s="28" t="s">
        <v>28434</v>
      </c>
    </row>
    <row r="1160" spans="1:2" x14ac:dyDescent="0.25">
      <c r="A1160" s="28" t="s">
        <v>28784</v>
      </c>
      <c r="B1160" s="28" t="s">
        <v>28440</v>
      </c>
    </row>
    <row r="1161" spans="1:2" x14ac:dyDescent="0.25">
      <c r="A1161" s="28" t="s">
        <v>28785</v>
      </c>
      <c r="B1161" s="28" t="s">
        <v>28441</v>
      </c>
    </row>
    <row r="1162" spans="1:2" x14ac:dyDescent="0.25">
      <c r="A1162" s="28" t="s">
        <v>28786</v>
      </c>
      <c r="B1162" s="28" t="s">
        <v>28439</v>
      </c>
    </row>
    <row r="1163" spans="1:2" x14ac:dyDescent="0.25">
      <c r="A1163" s="28" t="s">
        <v>28787</v>
      </c>
      <c r="B1163" s="28" t="s">
        <v>28438</v>
      </c>
    </row>
    <row r="1164" spans="1:2" x14ac:dyDescent="0.25">
      <c r="A1164" s="28" t="s">
        <v>28788</v>
      </c>
      <c r="B1164" s="28" t="s">
        <v>28447</v>
      </c>
    </row>
    <row r="1165" spans="1:2" x14ac:dyDescent="0.25">
      <c r="A1165" s="28" t="s">
        <v>28789</v>
      </c>
      <c r="B1165" s="28" t="s">
        <v>28446</v>
      </c>
    </row>
    <row r="1166" spans="1:2" x14ac:dyDescent="0.25">
      <c r="A1166" s="28" t="s">
        <v>28790</v>
      </c>
      <c r="B1166" s="28" t="s">
        <v>28444</v>
      </c>
    </row>
    <row r="1167" spans="1:2" x14ac:dyDescent="0.25">
      <c r="A1167" s="28" t="s">
        <v>28791</v>
      </c>
      <c r="B1167" s="28" t="s">
        <v>28443</v>
      </c>
    </row>
    <row r="1168" spans="1:2" x14ac:dyDescent="0.25">
      <c r="A1168" s="28" t="s">
        <v>28792</v>
      </c>
      <c r="B1168" s="28" t="s">
        <v>28445</v>
      </c>
    </row>
    <row r="1169" spans="1:2" x14ac:dyDescent="0.25">
      <c r="A1169" s="28" t="s">
        <v>28793</v>
      </c>
      <c r="B1169" s="28" t="s">
        <v>28442</v>
      </c>
    </row>
    <row r="1170" spans="1:2" x14ac:dyDescent="0.25">
      <c r="A1170" s="28" t="s">
        <v>28794</v>
      </c>
      <c r="B1170" s="28" t="s">
        <v>28452</v>
      </c>
    </row>
    <row r="1171" spans="1:2" x14ac:dyDescent="0.25">
      <c r="A1171" s="28" t="s">
        <v>28795</v>
      </c>
      <c r="B1171" s="28" t="s">
        <v>28449</v>
      </c>
    </row>
    <row r="1172" spans="1:2" x14ac:dyDescent="0.25">
      <c r="A1172" s="28" t="s">
        <v>28796</v>
      </c>
      <c r="B1172" s="28" t="s">
        <v>28450</v>
      </c>
    </row>
    <row r="1173" spans="1:2" x14ac:dyDescent="0.25">
      <c r="A1173" s="28" t="s">
        <v>28797</v>
      </c>
      <c r="B1173" s="28" t="s">
        <v>28451</v>
      </c>
    </row>
    <row r="1174" spans="1:2" x14ac:dyDescent="0.25">
      <c r="A1174" s="28" t="s">
        <v>28798</v>
      </c>
      <c r="B1174" s="28" t="s">
        <v>28448</v>
      </c>
    </row>
    <row r="1175" spans="1:2" x14ac:dyDescent="0.25">
      <c r="A1175" s="28" t="s">
        <v>28799</v>
      </c>
      <c r="B1175" s="28" t="s">
        <v>28453</v>
      </c>
    </row>
    <row r="1176" spans="1:2" x14ac:dyDescent="0.25">
      <c r="A1176" s="28" t="s">
        <v>28800</v>
      </c>
      <c r="B1176" s="28" t="s">
        <v>28465</v>
      </c>
    </row>
    <row r="1177" spans="1:2" x14ac:dyDescent="0.25">
      <c r="A1177" s="28" t="s">
        <v>28801</v>
      </c>
      <c r="B1177" s="28" t="s">
        <v>28458</v>
      </c>
    </row>
    <row r="1178" spans="1:2" x14ac:dyDescent="0.25">
      <c r="A1178" s="28" t="s">
        <v>28802</v>
      </c>
      <c r="B1178" s="28" t="s">
        <v>28464</v>
      </c>
    </row>
    <row r="1179" spans="1:2" x14ac:dyDescent="0.25">
      <c r="A1179" s="28" t="s">
        <v>28803</v>
      </c>
      <c r="B1179" s="28" t="s">
        <v>28461</v>
      </c>
    </row>
    <row r="1180" spans="1:2" x14ac:dyDescent="0.25">
      <c r="A1180" s="28" t="s">
        <v>28804</v>
      </c>
      <c r="B1180" s="28" t="s">
        <v>28460</v>
      </c>
    </row>
    <row r="1181" spans="1:2" x14ac:dyDescent="0.25">
      <c r="A1181" s="28" t="s">
        <v>28805</v>
      </c>
      <c r="B1181" s="28" t="s">
        <v>28456</v>
      </c>
    </row>
    <row r="1182" spans="1:2" x14ac:dyDescent="0.25">
      <c r="A1182" s="28" t="s">
        <v>28806</v>
      </c>
      <c r="B1182" s="28" t="s">
        <v>28457</v>
      </c>
    </row>
    <row r="1183" spans="1:2" x14ac:dyDescent="0.25">
      <c r="A1183" s="28" t="s">
        <v>28807</v>
      </c>
      <c r="B1183" s="28" t="s">
        <v>28463</v>
      </c>
    </row>
    <row r="1184" spans="1:2" x14ac:dyDescent="0.25">
      <c r="A1184" s="28" t="s">
        <v>28808</v>
      </c>
      <c r="B1184" s="28" t="s">
        <v>28462</v>
      </c>
    </row>
    <row r="1185" spans="1:2" x14ac:dyDescent="0.25">
      <c r="A1185" s="28" t="s">
        <v>28809</v>
      </c>
      <c r="B1185" s="28" t="s">
        <v>28455</v>
      </c>
    </row>
    <row r="1186" spans="1:2" x14ac:dyDescent="0.25">
      <c r="A1186" s="28" t="s">
        <v>28810</v>
      </c>
      <c r="B1186" s="28" t="s">
        <v>28459</v>
      </c>
    </row>
    <row r="1187" spans="1:2" x14ac:dyDescent="0.25">
      <c r="A1187" s="28" t="s">
        <v>28811</v>
      </c>
      <c r="B1187" s="28" t="s">
        <v>28454</v>
      </c>
    </row>
    <row r="1188" spans="1:2" x14ac:dyDescent="0.25">
      <c r="A1188" s="28" t="s">
        <v>28812</v>
      </c>
      <c r="B1188" s="28" t="s">
        <v>28466</v>
      </c>
    </row>
    <row r="1189" spans="1:2" x14ac:dyDescent="0.25">
      <c r="A1189" s="28" t="s">
        <v>28813</v>
      </c>
      <c r="B1189" s="28" t="s">
        <v>28471</v>
      </c>
    </row>
    <row r="1190" spans="1:2" x14ac:dyDescent="0.25">
      <c r="A1190" s="28" t="s">
        <v>28814</v>
      </c>
      <c r="B1190" s="28" t="s">
        <v>28470</v>
      </c>
    </row>
    <row r="1191" spans="1:2" x14ac:dyDescent="0.25">
      <c r="A1191" s="28" t="s">
        <v>28815</v>
      </c>
      <c r="B1191" s="28" t="s">
        <v>28469</v>
      </c>
    </row>
    <row r="1192" spans="1:2" x14ac:dyDescent="0.25">
      <c r="A1192" s="28" t="s">
        <v>28816</v>
      </c>
      <c r="B1192" s="28" t="s">
        <v>28473</v>
      </c>
    </row>
    <row r="1193" spans="1:2" x14ac:dyDescent="0.25">
      <c r="A1193" s="28" t="s">
        <v>28817</v>
      </c>
      <c r="B1193" s="28" t="s">
        <v>28472</v>
      </c>
    </row>
    <row r="1194" spans="1:2" x14ac:dyDescent="0.25">
      <c r="A1194" s="28" t="s">
        <v>28818</v>
      </c>
      <c r="B1194" s="28" t="s">
        <v>28467</v>
      </c>
    </row>
    <row r="1195" spans="1:2" x14ac:dyDescent="0.25">
      <c r="A1195" s="28" t="s">
        <v>28819</v>
      </c>
      <c r="B1195" s="28" t="s">
        <v>28468</v>
      </c>
    </row>
    <row r="1196" spans="1:2" x14ac:dyDescent="0.25">
      <c r="A1196" s="28" t="s">
        <v>28820</v>
      </c>
      <c r="B1196" s="28" t="s">
        <v>28474</v>
      </c>
    </row>
    <row r="1197" spans="1:2" x14ac:dyDescent="0.25">
      <c r="A1197" s="28" t="s">
        <v>28821</v>
      </c>
      <c r="B1197" s="28" t="s">
        <v>28476</v>
      </c>
    </row>
    <row r="1198" spans="1:2" x14ac:dyDescent="0.25">
      <c r="A1198" s="28" t="s">
        <v>28822</v>
      </c>
      <c r="B1198" s="28" t="s">
        <v>28475</v>
      </c>
    </row>
    <row r="1199" spans="1:2" x14ac:dyDescent="0.25">
      <c r="A1199" s="28" t="s">
        <v>28823</v>
      </c>
      <c r="B1199" s="28" t="s">
        <v>28477</v>
      </c>
    </row>
    <row r="1200" spans="1:2" x14ac:dyDescent="0.25">
      <c r="A1200" s="28" t="s">
        <v>28824</v>
      </c>
      <c r="B1200" s="28" t="s">
        <v>28478</v>
      </c>
    </row>
    <row r="1201" spans="1:2" x14ac:dyDescent="0.25">
      <c r="A1201" s="28" t="s">
        <v>28825</v>
      </c>
      <c r="B1201" s="28" t="s">
        <v>28479</v>
      </c>
    </row>
    <row r="1202" spans="1:2" x14ac:dyDescent="0.25">
      <c r="A1202" s="28" t="s">
        <v>28826</v>
      </c>
      <c r="B1202" s="28" t="s">
        <v>28481</v>
      </c>
    </row>
    <row r="1203" spans="1:2" x14ac:dyDescent="0.25">
      <c r="A1203" s="28" t="s">
        <v>28827</v>
      </c>
      <c r="B1203" s="28" t="s">
        <v>28480</v>
      </c>
    </row>
    <row r="1204" spans="1:2" x14ac:dyDescent="0.25">
      <c r="A1204" s="28" t="s">
        <v>28828</v>
      </c>
      <c r="B1204" s="28" t="s">
        <v>28482</v>
      </c>
    </row>
    <row r="1205" spans="1:2" x14ac:dyDescent="0.25">
      <c r="A1205" s="28" t="s">
        <v>28829</v>
      </c>
      <c r="B1205" s="28" t="s">
        <v>28484</v>
      </c>
    </row>
    <row r="1206" spans="1:2" x14ac:dyDescent="0.25">
      <c r="A1206" s="28" t="s">
        <v>28830</v>
      </c>
      <c r="B1206" s="28" t="s">
        <v>28483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28831</v>
      </c>
      <c r="B1208" s="28" t="s">
        <v>28832</v>
      </c>
    </row>
    <row r="1209" spans="1:2" x14ac:dyDescent="0.25">
      <c r="A1209" s="28" t="s">
        <v>28833</v>
      </c>
      <c r="B1209" s="28" t="s">
        <v>28834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28835</v>
      </c>
      <c r="B1211" s="28" t="s">
        <v>28836</v>
      </c>
    </row>
    <row r="1212" spans="1:2" x14ac:dyDescent="0.25">
      <c r="A1212" s="28" t="s">
        <v>28837</v>
      </c>
      <c r="B1212" s="28" t="s">
        <v>28838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28839</v>
      </c>
      <c r="B1252" s="28" t="s">
        <v>28840</v>
      </c>
    </row>
    <row r="1253" spans="1:2" x14ac:dyDescent="0.25">
      <c r="A1253" s="28" t="s">
        <v>28841</v>
      </c>
      <c r="B1253" s="28" t="s">
        <v>28842</v>
      </c>
    </row>
    <row r="1254" spans="1:2" x14ac:dyDescent="0.25">
      <c r="A1254" s="28" t="s">
        <v>28843</v>
      </c>
      <c r="B1254" s="28" t="s">
        <v>28844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28845</v>
      </c>
      <c r="B1257" s="28" t="s">
        <v>28846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28847</v>
      </c>
      <c r="B1266" s="28" t="s">
        <v>28848</v>
      </c>
    </row>
    <row r="1267" spans="1:2" x14ac:dyDescent="0.25">
      <c r="A1267" s="28" t="s">
        <v>28849</v>
      </c>
      <c r="B1267" s="28" t="s">
        <v>28850</v>
      </c>
    </row>
    <row r="1268" spans="1:2" x14ac:dyDescent="0.25">
      <c r="A1268" s="28" t="s">
        <v>28851</v>
      </c>
      <c r="B1268" s="28" t="s">
        <v>28852</v>
      </c>
    </row>
    <row r="1269" spans="1:2" x14ac:dyDescent="0.25">
      <c r="A1269" s="28" t="s">
        <v>28853</v>
      </c>
      <c r="B1269" s="28" t="s">
        <v>28854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28855</v>
      </c>
      <c r="B1292" s="28" t="s">
        <v>28856</v>
      </c>
    </row>
    <row r="1293" spans="1:2" x14ac:dyDescent="0.25">
      <c r="A1293" s="28" t="s">
        <v>28857</v>
      </c>
      <c r="B1293" s="28" t="s">
        <v>28858</v>
      </c>
    </row>
    <row r="1294" spans="1:2" x14ac:dyDescent="0.25">
      <c r="A1294" s="28" t="s">
        <v>28859</v>
      </c>
      <c r="B1294" s="28" t="s">
        <v>28860</v>
      </c>
    </row>
    <row r="1295" spans="1:2" x14ac:dyDescent="0.25">
      <c r="A1295" s="28" t="s">
        <v>28861</v>
      </c>
      <c r="B1295" s="28" t="s">
        <v>28862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28863</v>
      </c>
      <c r="B1364" s="28" t="s">
        <v>28864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28865</v>
      </c>
      <c r="B1374" s="28" t="s">
        <v>28866</v>
      </c>
    </row>
    <row r="1375" spans="1:2" x14ac:dyDescent="0.25">
      <c r="A1375" s="28" t="s">
        <v>28867</v>
      </c>
      <c r="B1375" s="28" t="s">
        <v>28868</v>
      </c>
    </row>
    <row r="1376" spans="1:2" x14ac:dyDescent="0.25">
      <c r="A1376" s="28" t="s">
        <v>28869</v>
      </c>
      <c r="B1376" s="28" t="s">
        <v>28870</v>
      </c>
    </row>
    <row r="1377" spans="1:2" x14ac:dyDescent="0.25">
      <c r="A1377" s="28" t="s">
        <v>28871</v>
      </c>
      <c r="B1377" s="28" t="s">
        <v>28872</v>
      </c>
    </row>
    <row r="1378" spans="1:2" x14ac:dyDescent="0.25">
      <c r="A1378" s="28" t="s">
        <v>28873</v>
      </c>
      <c r="B1378" s="28" t="s">
        <v>28874</v>
      </c>
    </row>
    <row r="1379" spans="1:2" x14ac:dyDescent="0.25">
      <c r="A1379" s="28" t="s">
        <v>28875</v>
      </c>
      <c r="B1379" s="28" t="s">
        <v>28876</v>
      </c>
    </row>
    <row r="1380" spans="1:2" x14ac:dyDescent="0.25">
      <c r="A1380" s="28" t="s">
        <v>28877</v>
      </c>
      <c r="B1380" s="28" t="s">
        <v>28878</v>
      </c>
    </row>
    <row r="1381" spans="1:2" x14ac:dyDescent="0.25">
      <c r="A1381" s="28" t="s">
        <v>28879</v>
      </c>
      <c r="B1381" s="28" t="s">
        <v>28880</v>
      </c>
    </row>
    <row r="1382" spans="1:2" x14ac:dyDescent="0.25">
      <c r="A1382" s="28" t="s">
        <v>28881</v>
      </c>
      <c r="B1382" s="28" t="s">
        <v>28882</v>
      </c>
    </row>
    <row r="1383" spans="1:2" x14ac:dyDescent="0.25">
      <c r="A1383" s="28" t="s">
        <v>28883</v>
      </c>
      <c r="B1383" s="28" t="s">
        <v>28884</v>
      </c>
    </row>
    <row r="1384" spans="1:2" x14ac:dyDescent="0.25">
      <c r="A1384" s="28" t="s">
        <v>28885</v>
      </c>
      <c r="B1384" s="28" t="s">
        <v>28886</v>
      </c>
    </row>
    <row r="1385" spans="1:2" x14ac:dyDescent="0.25">
      <c r="A1385" s="28" t="s">
        <v>28887</v>
      </c>
      <c r="B1385" s="28" t="s">
        <v>28888</v>
      </c>
    </row>
    <row r="1386" spans="1:2" x14ac:dyDescent="0.25">
      <c r="A1386" s="28" t="s">
        <v>28889</v>
      </c>
      <c r="B1386" s="28" t="s">
        <v>28890</v>
      </c>
    </row>
    <row r="1387" spans="1:2" x14ac:dyDescent="0.25">
      <c r="A1387" s="28" t="s">
        <v>28891</v>
      </c>
      <c r="B1387" s="28" t="s">
        <v>28892</v>
      </c>
    </row>
    <row r="1388" spans="1:2" x14ac:dyDescent="0.25">
      <c r="A1388" s="28" t="s">
        <v>28893</v>
      </c>
      <c r="B1388" s="28" t="s">
        <v>28894</v>
      </c>
    </row>
    <row r="1389" spans="1:2" x14ac:dyDescent="0.25">
      <c r="A1389" s="28" t="s">
        <v>28895</v>
      </c>
      <c r="B1389" s="28" t="s">
        <v>28896</v>
      </c>
    </row>
    <row r="1390" spans="1:2" x14ac:dyDescent="0.25">
      <c r="A1390" s="28" t="s">
        <v>28897</v>
      </c>
      <c r="B1390" s="28" t="s">
        <v>28898</v>
      </c>
    </row>
    <row r="1391" spans="1:2" x14ac:dyDescent="0.25">
      <c r="A1391" s="28" t="s">
        <v>28899</v>
      </c>
      <c r="B1391" s="28" t="s">
        <v>28900</v>
      </c>
    </row>
    <row r="1392" spans="1:2" x14ac:dyDescent="0.25">
      <c r="A1392" s="28" t="s">
        <v>28901</v>
      </c>
      <c r="B1392" s="28" t="s">
        <v>28902</v>
      </c>
    </row>
    <row r="1393" spans="1:2" x14ac:dyDescent="0.25">
      <c r="A1393" s="28" t="s">
        <v>28903</v>
      </c>
      <c r="B1393" s="28" t="s">
        <v>28904</v>
      </c>
    </row>
    <row r="1394" spans="1:2" x14ac:dyDescent="0.25">
      <c r="A1394" s="28" t="s">
        <v>28905</v>
      </c>
      <c r="B1394" s="28" t="s">
        <v>28906</v>
      </c>
    </row>
    <row r="1395" spans="1:2" x14ac:dyDescent="0.25">
      <c r="A1395" s="28" t="s">
        <v>28907</v>
      </c>
      <c r="B1395" s="28" t="s">
        <v>28908</v>
      </c>
    </row>
    <row r="1396" spans="1:2" x14ac:dyDescent="0.25">
      <c r="A1396" s="28" t="s">
        <v>28909</v>
      </c>
      <c r="B1396" s="28" t="s">
        <v>28910</v>
      </c>
    </row>
    <row r="1397" spans="1:2" x14ac:dyDescent="0.25">
      <c r="A1397" s="28" t="s">
        <v>28911</v>
      </c>
      <c r="B1397" s="28" t="s">
        <v>28912</v>
      </c>
    </row>
    <row r="1398" spans="1:2" x14ac:dyDescent="0.25">
      <c r="A1398" s="28" t="s">
        <v>28913</v>
      </c>
      <c r="B1398" s="28" t="s">
        <v>28914</v>
      </c>
    </row>
    <row r="1399" spans="1:2" x14ac:dyDescent="0.25">
      <c r="A1399" s="28" t="s">
        <v>28915</v>
      </c>
      <c r="B1399" s="28" t="s">
        <v>28916</v>
      </c>
    </row>
    <row r="1400" spans="1:2" x14ac:dyDescent="0.25">
      <c r="A1400" s="28" t="s">
        <v>28917</v>
      </c>
      <c r="B1400" s="28" t="s">
        <v>28918</v>
      </c>
    </row>
    <row r="1401" spans="1:2" x14ac:dyDescent="0.25">
      <c r="A1401" s="28" t="s">
        <v>28919</v>
      </c>
      <c r="B1401" s="28" t="s">
        <v>28920</v>
      </c>
    </row>
    <row r="1402" spans="1:2" x14ac:dyDescent="0.25">
      <c r="A1402" s="28" t="s">
        <v>28921</v>
      </c>
      <c r="B1402" s="28" t="s">
        <v>28922</v>
      </c>
    </row>
    <row r="1403" spans="1:2" x14ac:dyDescent="0.25">
      <c r="A1403" s="28" t="s">
        <v>28923</v>
      </c>
      <c r="B1403" s="28" t="s">
        <v>28924</v>
      </c>
    </row>
    <row r="1404" spans="1:2" x14ac:dyDescent="0.25">
      <c r="A1404" s="28" t="s">
        <v>28925</v>
      </c>
      <c r="B1404" s="28" t="s">
        <v>28926</v>
      </c>
    </row>
    <row r="1405" spans="1:2" x14ac:dyDescent="0.25">
      <c r="A1405" s="28" t="s">
        <v>28927</v>
      </c>
      <c r="B1405" s="28" t="s">
        <v>28928</v>
      </c>
    </row>
    <row r="1406" spans="1:2" x14ac:dyDescent="0.25">
      <c r="A1406" s="28" t="s">
        <v>28929</v>
      </c>
      <c r="B1406" s="28" t="s">
        <v>28930</v>
      </c>
    </row>
    <row r="1407" spans="1:2" x14ac:dyDescent="0.25">
      <c r="A1407" s="28" t="s">
        <v>28931</v>
      </c>
      <c r="B1407" s="28" t="s">
        <v>28932</v>
      </c>
    </row>
    <row r="1408" spans="1:2" x14ac:dyDescent="0.25">
      <c r="A1408" s="28" t="s">
        <v>28933</v>
      </c>
      <c r="B1408" s="28" t="s">
        <v>28934</v>
      </c>
    </row>
    <row r="1409" spans="1:2" x14ac:dyDescent="0.25">
      <c r="A1409" s="28" t="s">
        <v>28935</v>
      </c>
      <c r="B1409" s="28" t="s">
        <v>28936</v>
      </c>
    </row>
    <row r="1410" spans="1:2" x14ac:dyDescent="0.25">
      <c r="A1410" s="28" t="s">
        <v>28937</v>
      </c>
      <c r="B1410" s="28" t="s">
        <v>28938</v>
      </c>
    </row>
    <row r="1411" spans="1:2" x14ac:dyDescent="0.25">
      <c r="A1411" s="28" t="s">
        <v>28939</v>
      </c>
      <c r="B1411" s="28" t="s">
        <v>28940</v>
      </c>
    </row>
    <row r="1412" spans="1:2" x14ac:dyDescent="0.25">
      <c r="A1412" s="28" t="s">
        <v>28941</v>
      </c>
      <c r="B1412" s="28" t="s">
        <v>28942</v>
      </c>
    </row>
    <row r="1413" spans="1:2" x14ac:dyDescent="0.25">
      <c r="A1413" s="28" t="s">
        <v>28943</v>
      </c>
      <c r="B1413" s="28" t="s">
        <v>28944</v>
      </c>
    </row>
    <row r="1414" spans="1:2" x14ac:dyDescent="0.25">
      <c r="A1414" s="28" t="s">
        <v>28945</v>
      </c>
      <c r="B1414" s="28" t="s">
        <v>28946</v>
      </c>
    </row>
    <row r="1415" spans="1:2" x14ac:dyDescent="0.25">
      <c r="A1415" s="28" t="s">
        <v>28947</v>
      </c>
      <c r="B1415" s="28" t="s">
        <v>28948</v>
      </c>
    </row>
    <row r="1416" spans="1:2" x14ac:dyDescent="0.25">
      <c r="A1416" s="28" t="s">
        <v>28949</v>
      </c>
      <c r="B1416" s="28" t="s">
        <v>28950</v>
      </c>
    </row>
    <row r="1417" spans="1:2" x14ac:dyDescent="0.25">
      <c r="A1417" s="28" t="s">
        <v>28951</v>
      </c>
      <c r="B1417" s="28" t="s">
        <v>28952</v>
      </c>
    </row>
    <row r="1418" spans="1:2" x14ac:dyDescent="0.25">
      <c r="A1418" s="28" t="s">
        <v>28953</v>
      </c>
      <c r="B1418" s="28" t="s">
        <v>28954</v>
      </c>
    </row>
    <row r="1419" spans="1:2" x14ac:dyDescent="0.25">
      <c r="A1419" s="28" t="s">
        <v>28955</v>
      </c>
      <c r="B1419" s="28" t="s">
        <v>28956</v>
      </c>
    </row>
    <row r="1420" spans="1:2" x14ac:dyDescent="0.25">
      <c r="A1420" s="28" t="s">
        <v>28957</v>
      </c>
      <c r="B1420" s="28" t="s">
        <v>28958</v>
      </c>
    </row>
    <row r="1421" spans="1:2" x14ac:dyDescent="0.25">
      <c r="A1421" s="28" t="s">
        <v>28959</v>
      </c>
      <c r="B1421" s="28" t="s">
        <v>28960</v>
      </c>
    </row>
    <row r="1422" spans="1:2" x14ac:dyDescent="0.25">
      <c r="A1422" s="28" t="s">
        <v>28961</v>
      </c>
      <c r="B1422" s="28" t="s">
        <v>28962</v>
      </c>
    </row>
    <row r="1423" spans="1:2" x14ac:dyDescent="0.25">
      <c r="A1423" s="28" t="s">
        <v>28963</v>
      </c>
      <c r="B1423" s="28" t="s">
        <v>28964</v>
      </c>
    </row>
    <row r="1424" spans="1:2" x14ac:dyDescent="0.25">
      <c r="A1424" s="28" t="s">
        <v>28965</v>
      </c>
      <c r="B1424" s="28" t="s">
        <v>28966</v>
      </c>
    </row>
    <row r="1425" spans="1:2" x14ac:dyDescent="0.25">
      <c r="A1425" s="28" t="s">
        <v>28967</v>
      </c>
      <c r="B1425" s="28" t="s">
        <v>28968</v>
      </c>
    </row>
    <row r="1426" spans="1:2" x14ac:dyDescent="0.25">
      <c r="A1426" s="28" t="s">
        <v>28969</v>
      </c>
      <c r="B1426" s="28" t="s">
        <v>28970</v>
      </c>
    </row>
    <row r="1427" spans="1:2" x14ac:dyDescent="0.25">
      <c r="A1427" s="28" t="s">
        <v>28971</v>
      </c>
      <c r="B1427" s="28" t="s">
        <v>28972</v>
      </c>
    </row>
    <row r="1428" spans="1:2" x14ac:dyDescent="0.25">
      <c r="A1428" s="28" t="s">
        <v>28973</v>
      </c>
      <c r="B1428" s="28" t="s">
        <v>28974</v>
      </c>
    </row>
    <row r="1429" spans="1:2" x14ac:dyDescent="0.25">
      <c r="A1429" s="28" t="s">
        <v>28975</v>
      </c>
      <c r="B1429" s="28" t="s">
        <v>28976</v>
      </c>
    </row>
    <row r="1430" spans="1:2" x14ac:dyDescent="0.25">
      <c r="A1430" s="28" t="s">
        <v>28977</v>
      </c>
      <c r="B1430" s="28" t="s">
        <v>28978</v>
      </c>
    </row>
    <row r="1431" spans="1:2" x14ac:dyDescent="0.25">
      <c r="A1431" s="28" t="s">
        <v>28979</v>
      </c>
      <c r="B1431" s="28" t="s">
        <v>28980</v>
      </c>
    </row>
    <row r="1432" spans="1:2" x14ac:dyDescent="0.25">
      <c r="A1432" s="28" t="s">
        <v>28981</v>
      </c>
      <c r="B1432" s="28" t="s">
        <v>28982</v>
      </c>
    </row>
    <row r="1433" spans="1:2" x14ac:dyDescent="0.25">
      <c r="A1433" s="28" t="s">
        <v>28983</v>
      </c>
      <c r="B1433" s="28" t="s">
        <v>28984</v>
      </c>
    </row>
    <row r="1434" spans="1:2" x14ac:dyDescent="0.25">
      <c r="A1434" s="28" t="s">
        <v>28985</v>
      </c>
      <c r="B1434" s="28" t="s">
        <v>28986</v>
      </c>
    </row>
    <row r="1435" spans="1:2" x14ac:dyDescent="0.25">
      <c r="A1435" s="28" t="s">
        <v>28987</v>
      </c>
      <c r="B1435" s="28" t="s">
        <v>28988</v>
      </c>
    </row>
    <row r="1436" spans="1:2" x14ac:dyDescent="0.25">
      <c r="A1436" s="28" t="s">
        <v>28989</v>
      </c>
      <c r="B1436" s="28" t="s">
        <v>28990</v>
      </c>
    </row>
    <row r="1437" spans="1:2" x14ac:dyDescent="0.25">
      <c r="A1437" s="28" t="s">
        <v>28991</v>
      </c>
      <c r="B1437" s="28" t="s">
        <v>28992</v>
      </c>
    </row>
    <row r="1438" spans="1:2" x14ac:dyDescent="0.25">
      <c r="A1438" s="28" t="s">
        <v>28993</v>
      </c>
      <c r="B1438" s="28" t="s">
        <v>28994</v>
      </c>
    </row>
    <row r="1439" spans="1:2" x14ac:dyDescent="0.25">
      <c r="A1439" s="28" t="s">
        <v>28995</v>
      </c>
      <c r="B1439" s="28" t="s">
        <v>28996</v>
      </c>
    </row>
    <row r="1440" spans="1:2" x14ac:dyDescent="0.25">
      <c r="A1440" s="28" t="s">
        <v>28997</v>
      </c>
      <c r="B1440" s="28" t="s">
        <v>28998</v>
      </c>
    </row>
    <row r="1441" spans="1:2" x14ac:dyDescent="0.25">
      <c r="A1441" s="28" t="s">
        <v>28999</v>
      </c>
      <c r="B1441" s="28" t="s">
        <v>29000</v>
      </c>
    </row>
    <row r="1442" spans="1:2" x14ac:dyDescent="0.25">
      <c r="A1442" s="28" t="s">
        <v>29001</v>
      </c>
      <c r="B1442" s="28" t="s">
        <v>29002</v>
      </c>
    </row>
    <row r="1443" spans="1:2" x14ac:dyDescent="0.25">
      <c r="A1443" s="28" t="s">
        <v>29003</v>
      </c>
      <c r="B1443" s="28" t="s">
        <v>29004</v>
      </c>
    </row>
    <row r="1444" spans="1:2" x14ac:dyDescent="0.25">
      <c r="A1444" s="28" t="s">
        <v>29005</v>
      </c>
      <c r="B1444" s="28" t="s">
        <v>29006</v>
      </c>
    </row>
    <row r="1445" spans="1:2" x14ac:dyDescent="0.25">
      <c r="A1445" s="28" t="s">
        <v>29007</v>
      </c>
      <c r="B1445" s="28" t="s">
        <v>29008</v>
      </c>
    </row>
    <row r="1446" spans="1:2" x14ac:dyDescent="0.25">
      <c r="A1446" s="28" t="s">
        <v>29009</v>
      </c>
      <c r="B1446" s="28" t="s">
        <v>29010</v>
      </c>
    </row>
    <row r="1447" spans="1:2" x14ac:dyDescent="0.25">
      <c r="A1447" s="28" t="s">
        <v>29011</v>
      </c>
      <c r="B1447" s="28" t="s">
        <v>29012</v>
      </c>
    </row>
    <row r="1448" spans="1:2" x14ac:dyDescent="0.25">
      <c r="A1448" s="28" t="s">
        <v>29013</v>
      </c>
      <c r="B1448" s="28" t="s">
        <v>29014</v>
      </c>
    </row>
    <row r="1449" spans="1:2" x14ac:dyDescent="0.25">
      <c r="A1449" s="28" t="s">
        <v>29015</v>
      </c>
      <c r="B1449" s="28" t="s">
        <v>29016</v>
      </c>
    </row>
    <row r="1450" spans="1:2" x14ac:dyDescent="0.25">
      <c r="A1450" s="28" t="s">
        <v>29017</v>
      </c>
      <c r="B1450" s="28" t="s">
        <v>29018</v>
      </c>
    </row>
    <row r="1451" spans="1:2" x14ac:dyDescent="0.25">
      <c r="A1451" s="28" t="s">
        <v>29019</v>
      </c>
      <c r="B1451" s="28" t="s">
        <v>29020</v>
      </c>
    </row>
    <row r="1452" spans="1:2" x14ac:dyDescent="0.25">
      <c r="A1452" s="28" t="s">
        <v>29021</v>
      </c>
      <c r="B1452" s="28" t="s">
        <v>29022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29023</v>
      </c>
      <c r="B1457" s="28" t="s">
        <v>29024</v>
      </c>
    </row>
    <row r="1458" spans="1:2" x14ac:dyDescent="0.25">
      <c r="A1458" s="28" t="s">
        <v>29025</v>
      </c>
      <c r="B1458" s="28" t="s">
        <v>29026</v>
      </c>
    </row>
    <row r="1459" spans="1:2" x14ac:dyDescent="0.25">
      <c r="A1459" s="28" t="s">
        <v>29027</v>
      </c>
      <c r="B1459" s="28" t="s">
        <v>29028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29029</v>
      </c>
      <c r="B1470" s="28" t="s">
        <v>29030</v>
      </c>
    </row>
    <row r="1471" spans="1:2" x14ac:dyDescent="0.25">
      <c r="A1471" s="28" t="s">
        <v>29031</v>
      </c>
      <c r="B1471" s="28" t="s">
        <v>29032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29033</v>
      </c>
      <c r="B1475" s="28" t="s">
        <v>29034</v>
      </c>
    </row>
    <row r="1476" spans="1:2" x14ac:dyDescent="0.25">
      <c r="A1476" s="28" t="s">
        <v>29035</v>
      </c>
      <c r="B1476" s="28" t="s">
        <v>29036</v>
      </c>
    </row>
    <row r="1477" spans="1:2" x14ac:dyDescent="0.25">
      <c r="A1477" s="28" t="s">
        <v>29037</v>
      </c>
      <c r="B1477" s="28" t="s">
        <v>29038</v>
      </c>
    </row>
    <row r="1478" spans="1:2" x14ac:dyDescent="0.25">
      <c r="A1478" s="28" t="s">
        <v>29039</v>
      </c>
      <c r="B1478" s="28" t="s">
        <v>29040</v>
      </c>
    </row>
    <row r="1479" spans="1:2" x14ac:dyDescent="0.25">
      <c r="A1479" s="28" t="s">
        <v>29041</v>
      </c>
      <c r="B1479" s="28" t="s">
        <v>29042</v>
      </c>
    </row>
    <row r="1480" spans="1:2" x14ac:dyDescent="0.25">
      <c r="A1480" s="28" t="s">
        <v>29043</v>
      </c>
      <c r="B1480" s="28" t="s">
        <v>29044</v>
      </c>
    </row>
    <row r="1481" spans="1:2" x14ac:dyDescent="0.25">
      <c r="A1481" s="28" t="s">
        <v>29045</v>
      </c>
      <c r="B1481" s="28" t="s">
        <v>29046</v>
      </c>
    </row>
    <row r="1482" spans="1:2" x14ac:dyDescent="0.25">
      <c r="A1482" s="28" t="s">
        <v>29047</v>
      </c>
      <c r="B1482" s="28" t="s">
        <v>29048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29049</v>
      </c>
      <c r="B1492" s="28" t="s">
        <v>29050</v>
      </c>
    </row>
    <row r="1493" spans="1:2" x14ac:dyDescent="0.25">
      <c r="A1493" s="28" t="s">
        <v>29051</v>
      </c>
      <c r="B1493" s="28" t="s">
        <v>29052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29053</v>
      </c>
      <c r="B1498" s="28" t="s">
        <v>29054</v>
      </c>
    </row>
    <row r="1499" spans="1:2" x14ac:dyDescent="0.25">
      <c r="A1499" s="28" t="s">
        <v>29055</v>
      </c>
      <c r="B1499" s="28" t="s">
        <v>29056</v>
      </c>
    </row>
    <row r="1500" spans="1:2" x14ac:dyDescent="0.25">
      <c r="A1500" s="28" t="s">
        <v>29057</v>
      </c>
      <c r="B1500" s="28" t="s">
        <v>29058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29059</v>
      </c>
      <c r="B1502" s="28" t="s">
        <v>29060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29061</v>
      </c>
      <c r="B1506" s="28" t="s">
        <v>29062</v>
      </c>
    </row>
    <row r="1507" spans="1:2" x14ac:dyDescent="0.25">
      <c r="A1507" s="28" t="s">
        <v>29063</v>
      </c>
      <c r="B1507" s="28" t="s">
        <v>29064</v>
      </c>
    </row>
    <row r="1508" spans="1:2" x14ac:dyDescent="0.25">
      <c r="A1508" s="28" t="s">
        <v>29065</v>
      </c>
      <c r="B1508" s="28" t="s">
        <v>29066</v>
      </c>
    </row>
    <row r="1509" spans="1:2" x14ac:dyDescent="0.25">
      <c r="A1509" s="28" t="s">
        <v>29067</v>
      </c>
      <c r="B1509" s="28" t="s">
        <v>29068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29069</v>
      </c>
      <c r="B1513" s="28" t="s">
        <v>29070</v>
      </c>
    </row>
    <row r="1514" spans="1:2" x14ac:dyDescent="0.25">
      <c r="A1514" s="28" t="s">
        <v>29071</v>
      </c>
      <c r="B1514" s="28" t="s">
        <v>29072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29073</v>
      </c>
      <c r="B1531" s="28" t="s">
        <v>29074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29075</v>
      </c>
      <c r="B1567" s="28" t="s">
        <v>29076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29077</v>
      </c>
      <c r="B1765" s="28" t="s">
        <v>29078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29079</v>
      </c>
      <c r="B1767" s="28" t="s">
        <v>29080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29081</v>
      </c>
      <c r="B1940" s="28" t="s">
        <v>29082</v>
      </c>
    </row>
    <row r="1941" spans="1:2" x14ac:dyDescent="0.25">
      <c r="A1941" s="28" t="s">
        <v>29083</v>
      </c>
      <c r="B1941" s="28" t="s">
        <v>29084</v>
      </c>
    </row>
    <row r="1942" spans="1:2" x14ac:dyDescent="0.25">
      <c r="A1942" s="28" t="s">
        <v>29085</v>
      </c>
      <c r="B1942" s="28" t="s">
        <v>29086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29087</v>
      </c>
      <c r="B1948" s="28" t="s">
        <v>29088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29089</v>
      </c>
      <c r="B1954" s="28" t="s">
        <v>29090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29091</v>
      </c>
      <c r="B1956" s="28" t="s">
        <v>29092</v>
      </c>
    </row>
    <row r="1957" spans="1:2" x14ac:dyDescent="0.25">
      <c r="A1957" s="28" t="s">
        <v>29093</v>
      </c>
      <c r="B1957" s="28" t="s">
        <v>29094</v>
      </c>
    </row>
    <row r="1958" spans="1:2" x14ac:dyDescent="0.25">
      <c r="A1958" s="28" t="s">
        <v>29095</v>
      </c>
      <c r="B1958" s="28" t="s">
        <v>29096</v>
      </c>
    </row>
    <row r="1959" spans="1:2" x14ac:dyDescent="0.25">
      <c r="A1959" s="28" t="s">
        <v>29097</v>
      </c>
      <c r="B1959" s="28" t="s">
        <v>29098</v>
      </c>
    </row>
    <row r="1960" spans="1:2" x14ac:dyDescent="0.25">
      <c r="A1960" s="28" t="s">
        <v>29099</v>
      </c>
      <c r="B1960" s="28" t="s">
        <v>29100</v>
      </c>
    </row>
    <row r="1961" spans="1:2" x14ac:dyDescent="0.25">
      <c r="A1961" s="28" t="s">
        <v>29101</v>
      </c>
      <c r="B1961" s="28" t="s">
        <v>29102</v>
      </c>
    </row>
    <row r="1962" spans="1:2" x14ac:dyDescent="0.25">
      <c r="A1962" s="28" t="s">
        <v>29103</v>
      </c>
      <c r="B1962" s="28" t="s">
        <v>29104</v>
      </c>
    </row>
    <row r="1963" spans="1:2" x14ac:dyDescent="0.25">
      <c r="A1963" s="28" t="s">
        <v>29105</v>
      </c>
      <c r="B1963" s="28" t="s">
        <v>29106</v>
      </c>
    </row>
    <row r="1964" spans="1:2" x14ac:dyDescent="0.25">
      <c r="A1964" s="28" t="s">
        <v>29107</v>
      </c>
      <c r="B1964" s="28" t="s">
        <v>29108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29109</v>
      </c>
      <c r="B2404" s="28" t="s">
        <v>29110</v>
      </c>
    </row>
    <row r="2405" spans="1:2" x14ac:dyDescent="0.25">
      <c r="A2405" s="28" t="s">
        <v>29111</v>
      </c>
      <c r="B2405" s="28" t="s">
        <v>29112</v>
      </c>
    </row>
    <row r="2406" spans="1:2" x14ac:dyDescent="0.25">
      <c r="A2406" s="28" t="s">
        <v>29113</v>
      </c>
      <c r="B2406" s="28" t="s">
        <v>29114</v>
      </c>
    </row>
    <row r="2407" spans="1:2" x14ac:dyDescent="0.25">
      <c r="A2407" s="28" t="s">
        <v>29115</v>
      </c>
      <c r="B2407" s="28" t="s">
        <v>29116</v>
      </c>
    </row>
    <row r="2408" spans="1:2" x14ac:dyDescent="0.25">
      <c r="A2408" s="28" t="s">
        <v>29117</v>
      </c>
      <c r="B2408" s="28" t="s">
        <v>29118</v>
      </c>
    </row>
    <row r="2409" spans="1:2" x14ac:dyDescent="0.25">
      <c r="A2409" s="28" t="s">
        <v>29119</v>
      </c>
      <c r="B2409" s="28" t="s">
        <v>29120</v>
      </c>
    </row>
    <row r="2410" spans="1:2" x14ac:dyDescent="0.25">
      <c r="A2410" s="28" t="s">
        <v>29121</v>
      </c>
      <c r="B2410" s="28" t="s">
        <v>29122</v>
      </c>
    </row>
    <row r="2411" spans="1:2" x14ac:dyDescent="0.25">
      <c r="A2411" s="28" t="s">
        <v>29123</v>
      </c>
      <c r="B2411" s="28" t="s">
        <v>29124</v>
      </c>
    </row>
    <row r="2412" spans="1:2" x14ac:dyDescent="0.25">
      <c r="A2412" s="28" t="s">
        <v>29125</v>
      </c>
      <c r="B2412" s="28" t="s">
        <v>29126</v>
      </c>
    </row>
    <row r="2413" spans="1:2" x14ac:dyDescent="0.25">
      <c r="A2413" s="28" t="s">
        <v>29127</v>
      </c>
      <c r="B2413" s="28" t="s">
        <v>29128</v>
      </c>
    </row>
    <row r="2414" spans="1:2" x14ac:dyDescent="0.25">
      <c r="A2414" s="28" t="s">
        <v>29129</v>
      </c>
      <c r="B2414" s="28" t="s">
        <v>29130</v>
      </c>
    </row>
    <row r="2415" spans="1:2" x14ac:dyDescent="0.25">
      <c r="A2415" s="28" t="s">
        <v>29131</v>
      </c>
      <c r="B2415" s="28" t="s">
        <v>29132</v>
      </c>
    </row>
    <row r="2416" spans="1:2" x14ac:dyDescent="0.25">
      <c r="A2416" s="28" t="s">
        <v>29133</v>
      </c>
      <c r="B2416" s="28" t="s">
        <v>29134</v>
      </c>
    </row>
    <row r="2417" spans="1:2" x14ac:dyDescent="0.25">
      <c r="A2417" s="28" t="s">
        <v>29135</v>
      </c>
      <c r="B2417" s="28" t="s">
        <v>29136</v>
      </c>
    </row>
    <row r="2418" spans="1:2" x14ac:dyDescent="0.25">
      <c r="A2418" s="28" t="s">
        <v>29137</v>
      </c>
      <c r="B2418" s="28" t="s">
        <v>29138</v>
      </c>
    </row>
    <row r="2419" spans="1:2" x14ac:dyDescent="0.25">
      <c r="A2419" s="28" t="s">
        <v>29139</v>
      </c>
      <c r="B2419" s="28" t="s">
        <v>29140</v>
      </c>
    </row>
    <row r="2420" spans="1:2" x14ac:dyDescent="0.25">
      <c r="A2420" s="28" t="s">
        <v>29141</v>
      </c>
      <c r="B2420" s="28" t="s">
        <v>29142</v>
      </c>
    </row>
    <row r="2421" spans="1:2" x14ac:dyDescent="0.25">
      <c r="A2421" s="28" t="s">
        <v>29143</v>
      </c>
      <c r="B2421" s="28" t="s">
        <v>29144</v>
      </c>
    </row>
    <row r="2422" spans="1:2" x14ac:dyDescent="0.25">
      <c r="A2422" s="28" t="s">
        <v>29145</v>
      </c>
      <c r="B2422" s="28" t="s">
        <v>29146</v>
      </c>
    </row>
    <row r="2423" spans="1:2" x14ac:dyDescent="0.25">
      <c r="A2423" s="28" t="s">
        <v>29147</v>
      </c>
      <c r="B2423" s="28" t="s">
        <v>29148</v>
      </c>
    </row>
    <row r="2424" spans="1:2" x14ac:dyDescent="0.25">
      <c r="A2424" s="28" t="s">
        <v>29149</v>
      </c>
      <c r="B2424" s="28" t="s">
        <v>29150</v>
      </c>
    </row>
    <row r="2425" spans="1:2" x14ac:dyDescent="0.25">
      <c r="A2425" s="28" t="s">
        <v>29151</v>
      </c>
      <c r="B2425" s="28" t="s">
        <v>29152</v>
      </c>
    </row>
    <row r="2426" spans="1:2" x14ac:dyDescent="0.25">
      <c r="A2426" s="28" t="s">
        <v>29153</v>
      </c>
      <c r="B2426" s="28" t="s">
        <v>29154</v>
      </c>
    </row>
    <row r="2427" spans="1:2" x14ac:dyDescent="0.25">
      <c r="A2427" s="28" t="s">
        <v>29155</v>
      </c>
      <c r="B2427" s="28" t="s">
        <v>29156</v>
      </c>
    </row>
    <row r="2428" spans="1:2" x14ac:dyDescent="0.25">
      <c r="A2428" s="28" t="s">
        <v>29157</v>
      </c>
      <c r="B2428" s="28" t="s">
        <v>29158</v>
      </c>
    </row>
    <row r="2429" spans="1:2" x14ac:dyDescent="0.25">
      <c r="A2429" s="28" t="s">
        <v>29159</v>
      </c>
      <c r="B2429" s="28" t="s">
        <v>29160</v>
      </c>
    </row>
    <row r="2430" spans="1:2" x14ac:dyDescent="0.25">
      <c r="A2430" s="28" t="s">
        <v>29161</v>
      </c>
      <c r="B2430" s="28" t="s">
        <v>29162</v>
      </c>
    </row>
    <row r="2431" spans="1:2" x14ac:dyDescent="0.25">
      <c r="A2431" s="28" t="s">
        <v>29163</v>
      </c>
      <c r="B2431" s="28" t="s">
        <v>29164</v>
      </c>
    </row>
    <row r="2432" spans="1:2" x14ac:dyDescent="0.25">
      <c r="A2432" s="28" t="s">
        <v>29165</v>
      </c>
      <c r="B2432" s="28" t="s">
        <v>29166</v>
      </c>
    </row>
    <row r="2433" spans="1:2" x14ac:dyDescent="0.25">
      <c r="A2433" s="28" t="s">
        <v>29167</v>
      </c>
      <c r="B2433" s="28" t="s">
        <v>29168</v>
      </c>
    </row>
    <row r="2434" spans="1:2" x14ac:dyDescent="0.25">
      <c r="A2434" s="28" t="s">
        <v>29169</v>
      </c>
      <c r="B2434" s="28" t="s">
        <v>29170</v>
      </c>
    </row>
    <row r="2435" spans="1:2" x14ac:dyDescent="0.25">
      <c r="A2435" s="28" t="s">
        <v>29171</v>
      </c>
      <c r="B2435" s="28" t="s">
        <v>29172</v>
      </c>
    </row>
    <row r="2436" spans="1:2" x14ac:dyDescent="0.25">
      <c r="A2436" s="28" t="s">
        <v>29173</v>
      </c>
      <c r="B2436" s="28" t="s">
        <v>29174</v>
      </c>
    </row>
    <row r="2437" spans="1:2" x14ac:dyDescent="0.25">
      <c r="A2437" s="28" t="s">
        <v>29175</v>
      </c>
      <c r="B2437" s="28" t="s">
        <v>29176</v>
      </c>
    </row>
    <row r="2438" spans="1:2" x14ac:dyDescent="0.25">
      <c r="A2438" s="28" t="s">
        <v>29177</v>
      </c>
      <c r="B2438" s="28" t="s">
        <v>29178</v>
      </c>
    </row>
    <row r="2439" spans="1:2" x14ac:dyDescent="0.25">
      <c r="A2439" s="28" t="s">
        <v>29179</v>
      </c>
      <c r="B2439" s="28" t="s">
        <v>29180</v>
      </c>
    </row>
    <row r="2440" spans="1:2" x14ac:dyDescent="0.25">
      <c r="A2440" s="28" t="s">
        <v>29181</v>
      </c>
      <c r="B2440" s="28" t="s">
        <v>29182</v>
      </c>
    </row>
    <row r="2441" spans="1:2" x14ac:dyDescent="0.25">
      <c r="A2441" s="28" t="s">
        <v>29183</v>
      </c>
      <c r="B2441" s="28" t="s">
        <v>29184</v>
      </c>
    </row>
    <row r="2442" spans="1:2" x14ac:dyDescent="0.25">
      <c r="A2442" s="28" t="s">
        <v>29185</v>
      </c>
      <c r="B2442" s="28" t="s">
        <v>29186</v>
      </c>
    </row>
    <row r="2443" spans="1:2" x14ac:dyDescent="0.25">
      <c r="A2443" s="28" t="s">
        <v>29187</v>
      </c>
      <c r="B2443" s="28" t="s">
        <v>29188</v>
      </c>
    </row>
    <row r="2444" spans="1:2" x14ac:dyDescent="0.25">
      <c r="A2444" s="28" t="s">
        <v>29189</v>
      </c>
      <c r="B2444" s="28" t="s">
        <v>29190</v>
      </c>
    </row>
    <row r="2445" spans="1:2" x14ac:dyDescent="0.25">
      <c r="A2445" s="28" t="s">
        <v>29191</v>
      </c>
      <c r="B2445" s="28" t="s">
        <v>29192</v>
      </c>
    </row>
    <row r="2446" spans="1:2" x14ac:dyDescent="0.25">
      <c r="A2446" s="28" t="s">
        <v>29193</v>
      </c>
      <c r="B2446" s="28" t="s">
        <v>29194</v>
      </c>
    </row>
    <row r="2447" spans="1:2" x14ac:dyDescent="0.25">
      <c r="A2447" s="28" t="s">
        <v>29195</v>
      </c>
      <c r="B2447" s="28" t="s">
        <v>29196</v>
      </c>
    </row>
    <row r="2448" spans="1:2" x14ac:dyDescent="0.25">
      <c r="A2448" s="28" t="s">
        <v>29197</v>
      </c>
      <c r="B2448" s="28" t="s">
        <v>29198</v>
      </c>
    </row>
    <row r="2449" spans="1:2" x14ac:dyDescent="0.25">
      <c r="A2449" s="28" t="s">
        <v>29199</v>
      </c>
      <c r="B2449" s="28" t="s">
        <v>29200</v>
      </c>
    </row>
    <row r="2450" spans="1:2" x14ac:dyDescent="0.25">
      <c r="A2450" s="28" t="s">
        <v>29201</v>
      </c>
      <c r="B2450" s="28" t="s">
        <v>29202</v>
      </c>
    </row>
    <row r="2451" spans="1:2" x14ac:dyDescent="0.25">
      <c r="A2451" s="28" t="s">
        <v>29203</v>
      </c>
      <c r="B2451" s="28" t="s">
        <v>29204</v>
      </c>
    </row>
    <row r="2452" spans="1:2" x14ac:dyDescent="0.25">
      <c r="A2452" s="28" t="s">
        <v>29205</v>
      </c>
      <c r="B2452" s="28" t="s">
        <v>29206</v>
      </c>
    </row>
    <row r="2453" spans="1:2" x14ac:dyDescent="0.25">
      <c r="A2453" s="28" t="s">
        <v>29207</v>
      </c>
      <c r="B2453" s="28" t="s">
        <v>29208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29209</v>
      </c>
      <c r="B2568" s="28" t="s">
        <v>29210</v>
      </c>
    </row>
    <row r="2569" spans="1:2" x14ac:dyDescent="0.25">
      <c r="A2569" s="28" t="s">
        <v>29211</v>
      </c>
      <c r="B2569" s="28" t="s">
        <v>29212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29213</v>
      </c>
      <c r="B2587" s="28" t="s">
        <v>29214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29215</v>
      </c>
      <c r="B2621" s="28" t="s">
        <v>29216</v>
      </c>
    </row>
    <row r="2622" spans="1:2" x14ac:dyDescent="0.25">
      <c r="A2622" s="28" t="s">
        <v>29217</v>
      </c>
      <c r="B2622" s="28" t="s">
        <v>29218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29219</v>
      </c>
      <c r="B2624" s="28" t="s">
        <v>29220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29221</v>
      </c>
      <c r="B2635" s="28" t="s">
        <v>29222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29223</v>
      </c>
      <c r="B2665" s="28" t="s">
        <v>29224</v>
      </c>
    </row>
    <row r="2666" spans="1:2" x14ac:dyDescent="0.25">
      <c r="A2666" s="28" t="s">
        <v>29225</v>
      </c>
      <c r="B2666" s="28" t="s">
        <v>29226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29227</v>
      </c>
      <c r="B2681" s="28" t="s">
        <v>29228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29229</v>
      </c>
      <c r="B2684" s="28" t="s">
        <v>29230</v>
      </c>
    </row>
    <row r="2685" spans="1:2" x14ac:dyDescent="0.25">
      <c r="A2685" s="28" t="s">
        <v>29231</v>
      </c>
      <c r="B2685" s="28" t="s">
        <v>29232</v>
      </c>
    </row>
    <row r="2686" spans="1:2" x14ac:dyDescent="0.25">
      <c r="A2686" s="28" t="s">
        <v>29233</v>
      </c>
      <c r="B2686" s="28" t="s">
        <v>29234</v>
      </c>
    </row>
    <row r="2687" spans="1:2" x14ac:dyDescent="0.25">
      <c r="A2687" s="28" t="s">
        <v>29235</v>
      </c>
      <c r="B2687" s="28" t="s">
        <v>29236</v>
      </c>
    </row>
    <row r="2688" spans="1:2" x14ac:dyDescent="0.25">
      <c r="A2688" s="28" t="s">
        <v>29237</v>
      </c>
      <c r="B2688" s="28" t="s">
        <v>29238</v>
      </c>
    </row>
    <row r="2689" spans="1:2" x14ac:dyDescent="0.25">
      <c r="A2689" s="28" t="s">
        <v>29239</v>
      </c>
      <c r="B2689" s="28" t="s">
        <v>29240</v>
      </c>
    </row>
    <row r="2690" spans="1:2" x14ac:dyDescent="0.25">
      <c r="A2690" s="28" t="s">
        <v>29241</v>
      </c>
      <c r="B2690" s="28" t="s">
        <v>29242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29243</v>
      </c>
      <c r="B2704" s="28" t="s">
        <v>29244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29245</v>
      </c>
      <c r="B2718" s="28" t="s">
        <v>29246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29247</v>
      </c>
      <c r="B2722" s="28" t="s">
        <v>29248</v>
      </c>
    </row>
    <row r="2723" spans="1:2" x14ac:dyDescent="0.25">
      <c r="A2723" s="28" t="s">
        <v>29249</v>
      </c>
      <c r="B2723" s="28" t="s">
        <v>29250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29251</v>
      </c>
      <c r="B3255" s="28" t="s">
        <v>29252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29253</v>
      </c>
      <c r="B3454" s="28" t="s">
        <v>29254</v>
      </c>
    </row>
    <row r="3455" spans="1:2" x14ac:dyDescent="0.25">
      <c r="A3455" s="28" t="s">
        <v>29255</v>
      </c>
      <c r="B3455" s="28" t="s">
        <v>29256</v>
      </c>
    </row>
    <row r="3456" spans="1:2" x14ac:dyDescent="0.25">
      <c r="A3456" s="28" t="s">
        <v>29257</v>
      </c>
      <c r="B3456" s="28" t="s">
        <v>29258</v>
      </c>
    </row>
    <row r="3457" spans="1:2" x14ac:dyDescent="0.25">
      <c r="A3457" s="28" t="s">
        <v>29259</v>
      </c>
      <c r="B3457" s="28" t="s">
        <v>29260</v>
      </c>
    </row>
    <row r="3458" spans="1:2" x14ac:dyDescent="0.25">
      <c r="A3458" s="28" t="s">
        <v>29261</v>
      </c>
      <c r="B3458" s="28" t="s">
        <v>29262</v>
      </c>
    </row>
    <row r="3459" spans="1:2" x14ac:dyDescent="0.25">
      <c r="A3459" s="28" t="s">
        <v>29263</v>
      </c>
      <c r="B3459" s="28" t="s">
        <v>29264</v>
      </c>
    </row>
    <row r="3460" spans="1:2" x14ac:dyDescent="0.25">
      <c r="A3460" s="28" t="s">
        <v>29265</v>
      </c>
      <c r="B3460" s="28" t="s">
        <v>29266</v>
      </c>
    </row>
    <row r="3461" spans="1:2" x14ac:dyDescent="0.25">
      <c r="A3461" s="28" t="s">
        <v>29267</v>
      </c>
      <c r="B3461" s="28" t="s">
        <v>29268</v>
      </c>
    </row>
    <row r="3462" spans="1:2" x14ac:dyDescent="0.25">
      <c r="A3462" s="28" t="s">
        <v>29269</v>
      </c>
      <c r="B3462" s="28" t="s">
        <v>29270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29271</v>
      </c>
      <c r="B3581" s="28" t="s">
        <v>29272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29273</v>
      </c>
      <c r="B3584" s="28" t="s">
        <v>29274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29275</v>
      </c>
      <c r="B3586" s="28" t="s">
        <v>29276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29277</v>
      </c>
      <c r="B3589" s="28" t="s">
        <v>29278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29279</v>
      </c>
      <c r="B6010" s="28" t="s">
        <v>29280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29281</v>
      </c>
      <c r="B6055" s="28" t="s">
        <v>29282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29283</v>
      </c>
      <c r="B6097" s="28" t="s">
        <v>29284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29285</v>
      </c>
      <c r="B6100" s="28" t="s">
        <v>29286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29287</v>
      </c>
      <c r="B6105" s="28" t="s">
        <v>29288</v>
      </c>
    </row>
    <row r="6106" spans="1:2" x14ac:dyDescent="0.25">
      <c r="A6106" s="28" t="s">
        <v>29289</v>
      </c>
      <c r="B6106" s="28" t="s">
        <v>29290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29291</v>
      </c>
      <c r="B6171" s="28" t="s">
        <v>29292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29293</v>
      </c>
      <c r="B6210" s="28" t="s">
        <v>29294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29295</v>
      </c>
      <c r="B6290" s="28" t="s">
        <v>29296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29297</v>
      </c>
      <c r="B6295" s="28" t="s">
        <v>29298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29299</v>
      </c>
      <c r="B6299" s="28" t="s">
        <v>29300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29301</v>
      </c>
      <c r="B6302" s="28" t="s">
        <v>29302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29303</v>
      </c>
      <c r="B6322" s="28" t="s">
        <v>29304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29305</v>
      </c>
      <c r="B6330" s="28" t="s">
        <v>29306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29307</v>
      </c>
      <c r="B6606" s="28" t="s">
        <v>29308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29309</v>
      </c>
      <c r="B6608" s="28" t="s">
        <v>29310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29311</v>
      </c>
      <c r="B6610" s="28" t="s">
        <v>29312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29313</v>
      </c>
      <c r="B6612" s="28" t="s">
        <v>29314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29315</v>
      </c>
      <c r="B6625" s="28" t="s">
        <v>29316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29317</v>
      </c>
      <c r="B6628" s="28" t="s">
        <v>29318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29319</v>
      </c>
      <c r="B6870" s="28" t="s">
        <v>29320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29321</v>
      </c>
      <c r="B6879" s="28" t="s">
        <v>29322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29323</v>
      </c>
      <c r="B6883" s="28" t="s">
        <v>29324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29325</v>
      </c>
      <c r="B6885" s="28" t="s">
        <v>29326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29327</v>
      </c>
      <c r="B7414" s="28" t="s">
        <v>29328</v>
      </c>
    </row>
    <row r="7415" spans="1:2" x14ac:dyDescent="0.25">
      <c r="A7415" s="28" t="s">
        <v>29329</v>
      </c>
      <c r="B7415" s="28" t="s">
        <v>29330</v>
      </c>
    </row>
    <row r="7416" spans="1:2" x14ac:dyDescent="0.25">
      <c r="A7416" s="28" t="s">
        <v>29331</v>
      </c>
      <c r="B7416" s="28" t="s">
        <v>29332</v>
      </c>
    </row>
    <row r="7417" spans="1:2" x14ac:dyDescent="0.25">
      <c r="A7417" s="28" t="s">
        <v>29333</v>
      </c>
      <c r="B7417" s="28" t="s">
        <v>29334</v>
      </c>
    </row>
    <row r="7418" spans="1:2" x14ac:dyDescent="0.25">
      <c r="A7418" s="28" t="s">
        <v>29335</v>
      </c>
      <c r="B7418" s="28" t="s">
        <v>29336</v>
      </c>
    </row>
    <row r="7419" spans="1:2" x14ac:dyDescent="0.25">
      <c r="A7419" s="28" t="s">
        <v>29337</v>
      </c>
      <c r="B7419" s="28" t="s">
        <v>29338</v>
      </c>
    </row>
    <row r="7420" spans="1:2" x14ac:dyDescent="0.25">
      <c r="A7420" s="28" t="s">
        <v>29339</v>
      </c>
      <c r="B7420" s="28" t="s">
        <v>29340</v>
      </c>
    </row>
    <row r="7421" spans="1:2" x14ac:dyDescent="0.25">
      <c r="A7421" s="28" t="s">
        <v>29341</v>
      </c>
      <c r="B7421" s="28" t="s">
        <v>29342</v>
      </c>
    </row>
    <row r="7422" spans="1:2" x14ac:dyDescent="0.25">
      <c r="A7422" s="28" t="s">
        <v>29343</v>
      </c>
      <c r="B7422" s="28" t="s">
        <v>29344</v>
      </c>
    </row>
    <row r="7423" spans="1:2" x14ac:dyDescent="0.25">
      <c r="A7423" s="28" t="s">
        <v>29345</v>
      </c>
      <c r="B7423" s="28" t="s">
        <v>29346</v>
      </c>
    </row>
    <row r="7424" spans="1:2" x14ac:dyDescent="0.25">
      <c r="A7424" s="28" t="s">
        <v>29347</v>
      </c>
      <c r="B7424" s="28" t="s">
        <v>29348</v>
      </c>
    </row>
    <row r="7425" spans="1:2" x14ac:dyDescent="0.25">
      <c r="A7425" s="28" t="s">
        <v>29349</v>
      </c>
      <c r="B7425" s="28" t="s">
        <v>29350</v>
      </c>
    </row>
    <row r="7426" spans="1:2" x14ac:dyDescent="0.25">
      <c r="A7426" s="28" t="s">
        <v>29351</v>
      </c>
      <c r="B7426" s="28" t="s">
        <v>29352</v>
      </c>
    </row>
    <row r="7427" spans="1:2" x14ac:dyDescent="0.25">
      <c r="A7427" s="28" t="s">
        <v>29353</v>
      </c>
      <c r="B7427" s="28" t="s">
        <v>29354</v>
      </c>
    </row>
    <row r="7428" spans="1:2" x14ac:dyDescent="0.25">
      <c r="A7428" s="28" t="s">
        <v>29355</v>
      </c>
      <c r="B7428" s="28" t="s">
        <v>29356</v>
      </c>
    </row>
    <row r="7429" spans="1:2" x14ac:dyDescent="0.25">
      <c r="A7429" s="28" t="s">
        <v>29357</v>
      </c>
      <c r="B7429" s="28" t="s">
        <v>29358</v>
      </c>
    </row>
    <row r="7430" spans="1:2" x14ac:dyDescent="0.25">
      <c r="A7430" s="28" t="s">
        <v>29359</v>
      </c>
      <c r="B7430" s="28" t="s">
        <v>29360</v>
      </c>
    </row>
    <row r="7431" spans="1:2" x14ac:dyDescent="0.25">
      <c r="A7431" s="28" t="s">
        <v>29361</v>
      </c>
      <c r="B7431" s="28" t="s">
        <v>29362</v>
      </c>
    </row>
    <row r="7432" spans="1:2" x14ac:dyDescent="0.25">
      <c r="A7432" s="28" t="s">
        <v>29363</v>
      </c>
      <c r="B7432" s="28" t="s">
        <v>29364</v>
      </c>
    </row>
    <row r="7433" spans="1:2" x14ac:dyDescent="0.25">
      <c r="A7433" s="28" t="s">
        <v>29365</v>
      </c>
      <c r="B7433" s="28" t="s">
        <v>29366</v>
      </c>
    </row>
    <row r="7434" spans="1:2" x14ac:dyDescent="0.25">
      <c r="A7434" s="28" t="s">
        <v>29367</v>
      </c>
      <c r="B7434" s="28" t="s">
        <v>29368</v>
      </c>
    </row>
    <row r="7435" spans="1:2" x14ac:dyDescent="0.25">
      <c r="A7435" s="28" t="s">
        <v>29369</v>
      </c>
      <c r="B7435" s="28" t="s">
        <v>29370</v>
      </c>
    </row>
    <row r="7436" spans="1:2" x14ac:dyDescent="0.25">
      <c r="A7436" s="28" t="s">
        <v>29371</v>
      </c>
      <c r="B7436" s="28" t="s">
        <v>29372</v>
      </c>
    </row>
    <row r="7437" spans="1:2" x14ac:dyDescent="0.25">
      <c r="A7437" s="28" t="s">
        <v>29373</v>
      </c>
      <c r="B7437" s="28" t="s">
        <v>29374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29375</v>
      </c>
      <c r="B7547" s="28" t="s">
        <v>28496</v>
      </c>
    </row>
    <row r="7548" spans="1:2" x14ac:dyDescent="0.25">
      <c r="A7548" s="28" t="s">
        <v>29376</v>
      </c>
      <c r="B7548" s="28" t="s">
        <v>28491</v>
      </c>
    </row>
    <row r="7549" spans="1:2" x14ac:dyDescent="0.25">
      <c r="A7549" s="28" t="s">
        <v>29377</v>
      </c>
      <c r="B7549" s="28" t="s">
        <v>28489</v>
      </c>
    </row>
    <row r="7550" spans="1:2" x14ac:dyDescent="0.25">
      <c r="A7550" s="28" t="s">
        <v>29378</v>
      </c>
      <c r="B7550" s="28" t="s">
        <v>28487</v>
      </c>
    </row>
    <row r="7551" spans="1:2" x14ac:dyDescent="0.25">
      <c r="A7551" s="28" t="s">
        <v>29379</v>
      </c>
      <c r="B7551" s="28" t="s">
        <v>28494</v>
      </c>
    </row>
    <row r="7552" spans="1:2" x14ac:dyDescent="0.25">
      <c r="A7552" s="28" t="s">
        <v>29380</v>
      </c>
      <c r="B7552" s="28" t="s">
        <v>28493</v>
      </c>
    </row>
    <row r="7553" spans="1:2" x14ac:dyDescent="0.25">
      <c r="A7553" s="28" t="s">
        <v>29381</v>
      </c>
      <c r="B7553" s="28" t="s">
        <v>28485</v>
      </c>
    </row>
    <row r="7554" spans="1:2" x14ac:dyDescent="0.25">
      <c r="A7554" s="28" t="s">
        <v>29382</v>
      </c>
      <c r="B7554" s="28" t="s">
        <v>28490</v>
      </c>
    </row>
    <row r="7555" spans="1:2" x14ac:dyDescent="0.25">
      <c r="A7555" s="28" t="s">
        <v>29383</v>
      </c>
      <c r="B7555" s="28" t="s">
        <v>28495</v>
      </c>
    </row>
    <row r="7556" spans="1:2" x14ac:dyDescent="0.25">
      <c r="A7556" s="28" t="s">
        <v>29384</v>
      </c>
      <c r="B7556" s="28" t="s">
        <v>28488</v>
      </c>
    </row>
    <row r="7557" spans="1:2" x14ac:dyDescent="0.25">
      <c r="A7557" s="28" t="s">
        <v>29385</v>
      </c>
      <c r="B7557" s="28" t="s">
        <v>28492</v>
      </c>
    </row>
    <row r="7558" spans="1:2" x14ac:dyDescent="0.25">
      <c r="A7558" s="28" t="s">
        <v>29386</v>
      </c>
      <c r="B7558" s="28" t="s">
        <v>28486</v>
      </c>
    </row>
    <row r="7559" spans="1:2" x14ac:dyDescent="0.25">
      <c r="A7559" s="28" t="s">
        <v>29387</v>
      </c>
      <c r="B7559" s="28" t="s">
        <v>28504</v>
      </c>
    </row>
    <row r="7560" spans="1:2" x14ac:dyDescent="0.25">
      <c r="A7560" s="28" t="s">
        <v>29388</v>
      </c>
      <c r="B7560" s="28" t="s">
        <v>28500</v>
      </c>
    </row>
    <row r="7561" spans="1:2" x14ac:dyDescent="0.25">
      <c r="A7561" s="28" t="s">
        <v>29389</v>
      </c>
      <c r="B7561" s="28" t="s">
        <v>28510</v>
      </c>
    </row>
    <row r="7562" spans="1:2" x14ac:dyDescent="0.25">
      <c r="A7562" s="28" t="s">
        <v>29390</v>
      </c>
      <c r="B7562" s="28" t="s">
        <v>28502</v>
      </c>
    </row>
    <row r="7563" spans="1:2" x14ac:dyDescent="0.25">
      <c r="A7563" s="28" t="s">
        <v>29391</v>
      </c>
      <c r="B7563" s="28" t="s">
        <v>28498</v>
      </c>
    </row>
    <row r="7564" spans="1:2" x14ac:dyDescent="0.25">
      <c r="A7564" s="28" t="s">
        <v>29392</v>
      </c>
      <c r="B7564" s="28" t="s">
        <v>28507</v>
      </c>
    </row>
    <row r="7565" spans="1:2" x14ac:dyDescent="0.25">
      <c r="A7565" s="28" t="s">
        <v>29393</v>
      </c>
      <c r="B7565" s="28" t="s">
        <v>28506</v>
      </c>
    </row>
    <row r="7566" spans="1:2" x14ac:dyDescent="0.25">
      <c r="A7566" s="28" t="s">
        <v>29394</v>
      </c>
      <c r="B7566" s="28" t="s">
        <v>28497</v>
      </c>
    </row>
    <row r="7567" spans="1:2" x14ac:dyDescent="0.25">
      <c r="A7567" s="28" t="s">
        <v>29395</v>
      </c>
      <c r="B7567" s="28" t="s">
        <v>28509</v>
      </c>
    </row>
    <row r="7568" spans="1:2" x14ac:dyDescent="0.25">
      <c r="A7568" s="28" t="s">
        <v>29396</v>
      </c>
      <c r="B7568" s="28" t="s">
        <v>28499</v>
      </c>
    </row>
    <row r="7569" spans="1:2" x14ac:dyDescent="0.25">
      <c r="A7569" s="28" t="s">
        <v>29397</v>
      </c>
      <c r="B7569" s="28" t="s">
        <v>28503</v>
      </c>
    </row>
    <row r="7570" spans="1:2" x14ac:dyDescent="0.25">
      <c r="A7570" s="28" t="s">
        <v>29398</v>
      </c>
      <c r="B7570" s="28" t="s">
        <v>28508</v>
      </c>
    </row>
    <row r="7571" spans="1:2" x14ac:dyDescent="0.25">
      <c r="A7571" s="28" t="s">
        <v>29399</v>
      </c>
      <c r="B7571" s="28" t="s">
        <v>28501</v>
      </c>
    </row>
    <row r="7572" spans="1:2" x14ac:dyDescent="0.25">
      <c r="A7572" s="28" t="s">
        <v>29400</v>
      </c>
      <c r="B7572" s="28" t="s">
        <v>28505</v>
      </c>
    </row>
    <row r="7573" spans="1:2" x14ac:dyDescent="0.25">
      <c r="A7573" s="28" t="s">
        <v>29401</v>
      </c>
      <c r="B7573" s="28" t="s">
        <v>28515</v>
      </c>
    </row>
    <row r="7574" spans="1:2" x14ac:dyDescent="0.25">
      <c r="A7574" s="28" t="s">
        <v>29402</v>
      </c>
      <c r="B7574" s="28" t="s">
        <v>28513</v>
      </c>
    </row>
    <row r="7575" spans="1:2" x14ac:dyDescent="0.25">
      <c r="A7575" s="28" t="s">
        <v>29403</v>
      </c>
      <c r="B7575" s="28" t="s">
        <v>28516</v>
      </c>
    </row>
    <row r="7576" spans="1:2" x14ac:dyDescent="0.25">
      <c r="A7576" s="28" t="s">
        <v>29404</v>
      </c>
      <c r="B7576" s="28" t="s">
        <v>28512</v>
      </c>
    </row>
    <row r="7577" spans="1:2" x14ac:dyDescent="0.25">
      <c r="A7577" s="28" t="s">
        <v>29405</v>
      </c>
      <c r="B7577" s="28" t="s">
        <v>28514</v>
      </c>
    </row>
    <row r="7578" spans="1:2" x14ac:dyDescent="0.25">
      <c r="A7578" s="28" t="s">
        <v>29406</v>
      </c>
      <c r="B7578" s="28" t="s">
        <v>28511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29407</v>
      </c>
      <c r="B7623" s="28" t="s">
        <v>29408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29409</v>
      </c>
      <c r="B7631" s="28" t="s">
        <v>29410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29411</v>
      </c>
      <c r="B7635" s="28" t="s">
        <v>29412</v>
      </c>
    </row>
    <row r="7636" spans="1:2" x14ac:dyDescent="0.25">
      <c r="A7636" s="28" t="s">
        <v>29413</v>
      </c>
      <c r="B7636" s="28" t="s">
        <v>29414</v>
      </c>
    </row>
    <row r="7637" spans="1:2" x14ac:dyDescent="0.25">
      <c r="A7637" s="28" t="s">
        <v>29415</v>
      </c>
      <c r="B7637" s="28" t="s">
        <v>29416</v>
      </c>
    </row>
    <row r="7638" spans="1:2" x14ac:dyDescent="0.25">
      <c r="A7638" s="28" t="s">
        <v>29417</v>
      </c>
      <c r="B7638" s="28" t="s">
        <v>29418</v>
      </c>
    </row>
    <row r="7639" spans="1:2" x14ac:dyDescent="0.25">
      <c r="A7639" s="28" t="s">
        <v>29419</v>
      </c>
      <c r="B7639" s="28" t="s">
        <v>29420</v>
      </c>
    </row>
    <row r="7640" spans="1:2" x14ac:dyDescent="0.25">
      <c r="A7640" s="28" t="s">
        <v>29421</v>
      </c>
      <c r="B7640" s="28" t="s">
        <v>29422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29423</v>
      </c>
      <c r="B7642" s="28" t="s">
        <v>29424</v>
      </c>
    </row>
    <row r="7643" spans="1:2" x14ac:dyDescent="0.25">
      <c r="A7643" s="28" t="s">
        <v>29425</v>
      </c>
      <c r="B7643" s="28" t="s">
        <v>29426</v>
      </c>
    </row>
    <row r="7644" spans="1:2" x14ac:dyDescent="0.25">
      <c r="A7644" s="28" t="s">
        <v>29427</v>
      </c>
      <c r="B7644" s="28" t="s">
        <v>29428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29429</v>
      </c>
      <c r="B7694" s="28" t="s">
        <v>29430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29431</v>
      </c>
      <c r="B7704" s="28" t="s">
        <v>29432</v>
      </c>
    </row>
    <row r="7705" spans="1:2" x14ac:dyDescent="0.25">
      <c r="A7705" s="28" t="s">
        <v>29433</v>
      </c>
      <c r="B7705" s="28" t="s">
        <v>29434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29435</v>
      </c>
      <c r="B10028" s="28" t="s">
        <v>29436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29437</v>
      </c>
      <c r="B10038" s="28" t="s">
        <v>29438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29439</v>
      </c>
      <c r="B10062" s="28" t="s">
        <v>29440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29441</v>
      </c>
      <c r="B10124" s="28" t="s">
        <v>29442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29443</v>
      </c>
      <c r="B10141" s="28" t="s">
        <v>29444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29445</v>
      </c>
      <c r="B10161" s="28" t="s">
        <v>29446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29447</v>
      </c>
      <c r="B10215" s="28" t="s">
        <v>29448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29449</v>
      </c>
      <c r="B10227" s="28" t="s">
        <v>29450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29451</v>
      </c>
      <c r="B10233" s="28" t="s">
        <v>29452</v>
      </c>
    </row>
    <row r="10234" spans="1:2" x14ac:dyDescent="0.25">
      <c r="A10234" s="28" t="s">
        <v>29453</v>
      </c>
      <c r="B10234" s="28" t="s">
        <v>29454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29455</v>
      </c>
      <c r="B10236" s="28" t="s">
        <v>29456</v>
      </c>
    </row>
    <row r="10237" spans="1:2" x14ac:dyDescent="0.25">
      <c r="A10237" s="28" t="s">
        <v>29457</v>
      </c>
      <c r="B10237" s="28" t="s">
        <v>29458</v>
      </c>
    </row>
    <row r="10238" spans="1:2" x14ac:dyDescent="0.25">
      <c r="A10238" s="28" t="s">
        <v>29459</v>
      </c>
      <c r="B10238" s="28" t="s">
        <v>29460</v>
      </c>
    </row>
    <row r="10239" spans="1:2" x14ac:dyDescent="0.25">
      <c r="A10239" s="28" t="s">
        <v>29461</v>
      </c>
      <c r="B10239" s="28" t="s">
        <v>29462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29463</v>
      </c>
      <c r="B10306" s="28" t="s">
        <v>29464</v>
      </c>
    </row>
    <row r="10307" spans="1:2" x14ac:dyDescent="0.25">
      <c r="A10307" s="28" t="s">
        <v>29465</v>
      </c>
      <c r="B10307" s="28" t="s">
        <v>29466</v>
      </c>
    </row>
    <row r="10308" spans="1:2" x14ac:dyDescent="0.25">
      <c r="A10308" s="28" t="s">
        <v>29467</v>
      </c>
      <c r="B10308" s="28" t="s">
        <v>29468</v>
      </c>
    </row>
    <row r="10309" spans="1:2" x14ac:dyDescent="0.25">
      <c r="A10309" s="28" t="s">
        <v>29469</v>
      </c>
      <c r="B10309" s="28" t="s">
        <v>29470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29471</v>
      </c>
      <c r="B10387" s="28" t="s">
        <v>29472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29473</v>
      </c>
      <c r="B10496" s="28" t="s">
        <v>29474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29475</v>
      </c>
      <c r="B10522" s="28" t="s">
        <v>29476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29477</v>
      </c>
      <c r="B10540" s="28" t="s">
        <v>29478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29479</v>
      </c>
      <c r="B10578" s="28" t="s">
        <v>29480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29481</v>
      </c>
      <c r="B10593" s="28" t="s">
        <v>29482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29483</v>
      </c>
      <c r="B10694" s="28" t="s">
        <v>29484</v>
      </c>
    </row>
    <row r="10695" spans="1:2" x14ac:dyDescent="0.25">
      <c r="A10695" s="28" t="s">
        <v>29485</v>
      </c>
      <c r="B10695" s="28" t="s">
        <v>29486</v>
      </c>
    </row>
    <row r="10696" spans="1:2" x14ac:dyDescent="0.25">
      <c r="A10696" s="28" t="s">
        <v>29487</v>
      </c>
      <c r="B10696" s="28" t="s">
        <v>29488</v>
      </c>
    </row>
    <row r="10697" spans="1:2" x14ac:dyDescent="0.25">
      <c r="A10697" s="28" t="s">
        <v>29489</v>
      </c>
      <c r="B10697" s="28" t="s">
        <v>29490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29491</v>
      </c>
      <c r="B10707" s="28" t="s">
        <v>29492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29493</v>
      </c>
      <c r="B10741" s="28" t="s">
        <v>29494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29495</v>
      </c>
      <c r="B10763" s="28" t="s">
        <v>29496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29497</v>
      </c>
      <c r="B10784" s="28" t="s">
        <v>29498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29499</v>
      </c>
      <c r="B10787" s="28" t="s">
        <v>29500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29501</v>
      </c>
      <c r="B10790" s="28" t="s">
        <v>29502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29503</v>
      </c>
      <c r="B10798" s="28" t="s">
        <v>29504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29505</v>
      </c>
      <c r="B10808" s="28" t="s">
        <v>29506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29507</v>
      </c>
      <c r="B10825" s="28" t="s">
        <v>29508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29509</v>
      </c>
      <c r="B10849" s="28" t="s">
        <v>29510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29511</v>
      </c>
      <c r="B10873" s="28" t="s">
        <v>29512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29513</v>
      </c>
      <c r="B10875" s="28" t="s">
        <v>29514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29515</v>
      </c>
      <c r="B10879" s="28" t="s">
        <v>29516</v>
      </c>
    </row>
    <row r="10880" spans="1:2" x14ac:dyDescent="0.25">
      <c r="A10880" s="28" t="s">
        <v>29517</v>
      </c>
      <c r="B10880" s="28" t="s">
        <v>29518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29519</v>
      </c>
      <c r="B10944" s="28" t="s">
        <v>29520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29521</v>
      </c>
      <c r="B10996" s="28" t="s">
        <v>29522</v>
      </c>
    </row>
    <row r="10997" spans="1:2" x14ac:dyDescent="0.25">
      <c r="A10997" s="28" t="s">
        <v>29523</v>
      </c>
      <c r="B10997" s="28" t="s">
        <v>29524</v>
      </c>
    </row>
    <row r="10998" spans="1:2" x14ac:dyDescent="0.25">
      <c r="A10998" s="28" t="s">
        <v>29525</v>
      </c>
      <c r="B10998" s="28" t="s">
        <v>29526</v>
      </c>
    </row>
    <row r="10999" spans="1:2" x14ac:dyDescent="0.25">
      <c r="A10999" s="28" t="s">
        <v>29527</v>
      </c>
      <c r="B10999" s="28" t="s">
        <v>29528</v>
      </c>
    </row>
    <row r="11000" spans="1:2" x14ac:dyDescent="0.25">
      <c r="A11000" s="28" t="s">
        <v>29529</v>
      </c>
      <c r="B11000" s="28" t="s">
        <v>29530</v>
      </c>
    </row>
    <row r="11001" spans="1:2" x14ac:dyDescent="0.25">
      <c r="A11001" s="28" t="s">
        <v>29531</v>
      </c>
      <c r="B11001" s="28" t="s">
        <v>29532</v>
      </c>
    </row>
    <row r="11002" spans="1:2" x14ac:dyDescent="0.25">
      <c r="A11002" s="28" t="s">
        <v>29533</v>
      </c>
      <c r="B11002" s="28" t="s">
        <v>29534</v>
      </c>
    </row>
    <row r="11003" spans="1:2" x14ac:dyDescent="0.25">
      <c r="A11003" s="28" t="s">
        <v>29535</v>
      </c>
      <c r="B11003" s="28" t="s">
        <v>29536</v>
      </c>
    </row>
    <row r="11004" spans="1:2" x14ac:dyDescent="0.25">
      <c r="A11004" s="28" t="s">
        <v>29537</v>
      </c>
      <c r="B11004" s="28" t="s">
        <v>29538</v>
      </c>
    </row>
    <row r="11005" spans="1:2" x14ac:dyDescent="0.25">
      <c r="A11005" s="28" t="s">
        <v>29539</v>
      </c>
      <c r="B11005" s="28" t="s">
        <v>29540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29541</v>
      </c>
      <c r="B11151" s="28" t="s">
        <v>29542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29543</v>
      </c>
      <c r="B11253" s="28" t="s">
        <v>29544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29545</v>
      </c>
      <c r="B11358" s="28" t="s">
        <v>29546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29547</v>
      </c>
      <c r="B11415" s="28" t="s">
        <v>29548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ht="22.5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29549</v>
      </c>
      <c r="B13562" s="30" t="s">
        <v>29550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29551</v>
      </c>
      <c r="B13615" s="30" t="s">
        <v>29552</v>
      </c>
    </row>
    <row r="13616" spans="1:2" x14ac:dyDescent="0.25">
      <c r="A13616" s="30" t="s">
        <v>29553</v>
      </c>
      <c r="B13616" s="30" t="s">
        <v>29554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29555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29556</v>
      </c>
      <c r="B13639" s="30" t="s">
        <v>29557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29558</v>
      </c>
      <c r="B13744" s="30" t="s">
        <v>29559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29560</v>
      </c>
      <c r="B13793" s="30" t="s">
        <v>29561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29562</v>
      </c>
      <c r="B13817" s="30" t="s">
        <v>29563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456"/>
  <sheetViews>
    <sheetView topLeftCell="S1" zoomScaleNormal="100" workbookViewId="0">
      <pane ySplit="1" topLeftCell="A2" activePane="bottomLeft" state="frozen"/>
      <selection pane="bottomLeft" activeCell="AA1" sqref="AA1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28429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e" cm="1">
        <f t="array" aca="1" ref="AA1" ca="1">_xlfn._xlws.SORT(INDIRECT(АртикулХарактеристики),1,-1,FALSE)</f>
        <v>#REF!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>LEFT(AA2,9)</f>
        <v/>
      </c>
      <c r="B2" s="107" t="str">
        <f>_xlfn.LET(_xlpm.CAPS,0,_xlpm.Style,TRIM(_xlfn.XLOOKUP($A2,Строчный!$A:$A,Строчный!B:B,"ERR",0)),IF(_xlpm.CAPS=0,_xlpm.Style,UPPER(_xlpm.Style)))</f>
        <v>ERR</v>
      </c>
      <c r="C2" s="81" t="str">
        <f>TRIM(PROPER(_xlfn.XLOOKUP($A2,Строчный!$A:$A,Строчный!C:C,"ERR",0)))</f>
        <v>Err</v>
      </c>
      <c r="D2" s="81" t="str">
        <f>_xlfn.LET(_xlpm.DATA,TRIM(_xlfn.XLOOKUP($A2,Строчный!$A:$A,Строчный!D:D,"ERR",0)),UPPER(MID(_xlpm.DATA,1,1))&amp;LOWER(MID(_xlpm.DATA,2,LEN(_xlpm.DATA)-1)))</f>
        <v>Err</v>
      </c>
      <c r="E2" s="81" t="str">
        <f>PROPER(TRIM(_xlfn.XLOOKUP($A2,Строчный!$A:$A,Строчный!E:E,"ERR",0)))</f>
        <v>Err</v>
      </c>
      <c r="F2" s="81" t="str">
        <f>LOWER(TRIM(_xlfn.XLOOKUP($A2,Строчный!$A:$A,Строчный!F:F,"ERR",0)))</f>
        <v>err</v>
      </c>
      <c r="G2" s="81" t="str">
        <f>UPPER(TRIM(_xlfn.XLOOKUP($A2,Строчный!$A:$A,Строчный!G:G,"ERR",0)))</f>
        <v>ERR</v>
      </c>
      <c r="H2" s="81" t="str">
        <f>LOWER(TRIM(_xlfn.XLOOKUP($A2,Строчный!$A:$A,Строчный!H:H,"ERR",0)))</f>
        <v>err</v>
      </c>
      <c r="I2" s="81" t="str">
        <f>LOWER(TRIM(_xlfn.XLOOKUP($A2,Строчный!$A:$A,Строчный!I:I,"ERR",0)))</f>
        <v>err</v>
      </c>
      <c r="J2" s="81" t="str">
        <f>SUBSTITUTE(LOWER(TRIM(_xlfn.XLOOKUP($A2,Строчный!$A:$A,Строчный!J:J,"ERR",0))),"подклад","Подклад")</f>
        <v>err</v>
      </c>
      <c r="K2" s="81" t="str">
        <f>LOWER(TRIM(_xlfn.XLOOKUP($A2,Строчный!$A:$A,Строчный!K:K,"ERR",0)))</f>
        <v>err</v>
      </c>
      <c r="L2" s="81" t="str">
        <f>PROPER(TRIM(_xlfn.XLOOKUP($A2,Строчный!$A:$A,Строчный!L:L,"ERR",0)))</f>
        <v>Err</v>
      </c>
      <c r="M2" s="113" t="str">
        <f>PROPER(TRIM(_xlfn.XLOOKUP($A2,Строчный!$A:$A,Строчный!M:M,"ERR",0)))</f>
        <v>Err</v>
      </c>
      <c r="N2" s="81" t="str">
        <f>UPPER(TRIM(_xlfn.XLOOKUP($A2,Строчный!$A:$A,Строчный!O:O,"ERR",0)))</f>
        <v>ERR</v>
      </c>
      <c r="O2" s="102" t="str">
        <f>PROPER(TRIM(_xlfn.XLOOKUP($A2,Строчный!$A:$A,Строчный!P:P,"ERR",0)))</f>
        <v>Err</v>
      </c>
      <c r="P2" s="81" t="str">
        <f>PROPER(TRIM(_xlfn.XLOOKUP($A2,Строчный!$A:$A,Строчный!R:R,"ERR",0)))</f>
        <v>Err</v>
      </c>
      <c r="Q2" s="90" t="e">
        <f>VALUE(_xlfn.XLOOKUP($A2,Строчный!$A:$A,Строчный!N:N,"ERR",0))</f>
        <v>#VALUE!</v>
      </c>
      <c r="R2" s="89" t="str">
        <f>_xlfn.XLOOKUP($G2,Фабрика!A:A,Фабрика!B:B,"ERR",0)</f>
        <v>ERR</v>
      </c>
      <c r="S2" s="80" t="str">
        <f>_xlfn.XLOOKUP(RIGHT(AA2,2),Размеры!D:D,Размеры!A:A,"ERR",0)</f>
        <v>ERR</v>
      </c>
      <c r="T2" s="80">
        <f>VALUE(_xlfn.XLOOKUP($AA2,Строчный!$S:$S,Строчный!U:U,"ERR",0))</f>
        <v>0</v>
      </c>
      <c r="U2" s="14" t="s">
        <v>265</v>
      </c>
      <c r="V2" s="101" t="e">
        <f>TRIM(CONCATENATE(AB2," ",G2," арт. ",B2," (",I2,")"))</f>
        <v>#N/A</v>
      </c>
      <c r="W2" s="100" t="e">
        <f>TRIM(CONCATENATE(AB2," ",G2," арт. ",B2," (",I2,") {",H2,"}"))</f>
        <v>#N/A</v>
      </c>
      <c r="X2" s="18" t="str">
        <f t="shared" ref="X2" si="0">IFERROR(MID(I2,FIND("-",I2)+1,LEN(I2)),IFERROR(MID(I2,1,FIND("/",I2)-2),I2))</f>
        <v>err</v>
      </c>
      <c r="Y2" s="18" t="str">
        <f t="shared" ref="Y2" si="1">IFERROR(MID(I2,FIND("-",I2)+1,LEN(I2)),IFERROR(MID(I2,FIND("/",I2)+2,LEN(I2)),I2))</f>
        <v>err</v>
      </c>
      <c r="Z2" s="117" t="str">
        <f>_xlfn.LET(_xlpm.FormColors,_xlfn.XLOOKUP(A2,Строчный!A:A,Строчный!Q:Q,"",0),IF(_xlpm.FormColors=0,IFERROR(MID(I2,FIND("-",I2)+1,LEN(I2)),IFERROR(MID(I2,1,FIND("/",I2)-2),I2)),_xlpm.FormColors))</f>
        <v/>
      </c>
      <c r="AB2" s="75" t="e">
        <f>VLOOKUP(C2,Группа!A:B,2,FALSE)</f>
        <v>#N/A</v>
      </c>
      <c r="AC2" s="97" t="str">
        <f>IFERROR(VLOOKUP(S2,Размеры!A:C,3,FALSE),"")</f>
        <v/>
      </c>
      <c r="AD2" s="97" t="e">
        <f>VLOOKUP(I2,ЦветПолный!A:B,2,FALSE)</f>
        <v>#N/A</v>
      </c>
      <c r="AE2" s="97" t="str">
        <f>IFERROR(VLOOKUP(S2,Размеры!A:D,4,FALSE),"")</f>
        <v/>
      </c>
      <c r="AF2" s="97">
        <f>IF(LEFT(IFERROR(VLOOKUP(LOOKUP(2,1/SEARCH(B2,Товары!A:A),Товары!A:A),Товары!A:B,2,0),""),6)=MID(AA2,1,6),1,0)</f>
        <v>0</v>
      </c>
      <c r="AH2" s="97">
        <f>SUMIF(Группа!A:A,C2,Группа!C:C)</f>
        <v>0</v>
      </c>
      <c r="AI2" s="97">
        <f>SUMIF(Группа!B:B,AB2,Группа!C:C)</f>
        <v>0</v>
      </c>
      <c r="AJ2" s="97">
        <f>SUMIF(Формы!A:A,D2,Формы!B:B)</f>
        <v>0</v>
      </c>
      <c r="AK2" s="97">
        <f>SUMIF(Материал!A:A,K2,Материал!B:B)</f>
        <v>0</v>
      </c>
      <c r="AL2" s="97">
        <f>SUMIF(Размеры!A:A,S2,Размеры!E:E)</f>
        <v>0</v>
      </c>
      <c r="AM2" s="97">
        <f>SUMIF(Сезон!A:A,F2,Сезон!B:B)</f>
        <v>0</v>
      </c>
      <c r="AN2" s="97">
        <f>SUMIF(Состав!A:A,J2,Состав!B:B)</f>
        <v>0</v>
      </c>
      <c r="AO2" s="97" t="e">
        <f>VLOOKUP(I2,ЦветПолный!A:C,3,0)</f>
        <v>#N/A</v>
      </c>
      <c r="AP2" s="97">
        <f>SUMIF(Цвет!A:A,Z2,Цвет!B:B)</f>
        <v>0</v>
      </c>
      <c r="AQ2" s="97">
        <f>_xlfn.XLOOKUP(L2,Пол!A:A,Пол!B:B,0,0)</f>
        <v>0</v>
      </c>
      <c r="AR2" s="97">
        <f>SUMIF(Бренд!A:A,G2,Бренд!B:B)</f>
        <v>0</v>
      </c>
      <c r="AS2" s="97">
        <f>SUMIF(Страна!A:A,M2,Страна!B:B)</f>
        <v>0</v>
      </c>
      <c r="AT2" s="64" t="e">
        <f>IF(VLOOKUP(W2,Товары!A:B,2,FALSE)=A2,"Есть в 1С","ERR")</f>
        <v>#N/A</v>
      </c>
      <c r="AU2" s="65" t="e">
        <f>IF(VLOOKUP(A2,Товары!B:B,1,FALSE)=A2,"Есть в 1С","ERR")</f>
        <v>#N/A</v>
      </c>
      <c r="AV2" s="96" t="e">
        <f>VLOOKUP(W2,Товары!A:B,2,FALSE)</f>
        <v>#N/A</v>
      </c>
      <c r="AW2" s="94" t="e">
        <f>VLOOKUP(W2,Товары!A:B,1,FALSE)</f>
        <v>#N/A</v>
      </c>
    </row>
    <row r="3" spans="1:49" ht="14.45" customHeight="1" x14ac:dyDescent="0.25">
      <c r="A3" s="110"/>
      <c r="B3" s="107"/>
      <c r="C3" s="81"/>
      <c r="D3" s="81"/>
      <c r="E3" s="81"/>
      <c r="F3" s="81"/>
      <c r="G3" s="81"/>
      <c r="H3" s="81"/>
      <c r="I3" s="81"/>
      <c r="J3" s="81"/>
      <c r="K3" s="81"/>
      <c r="L3" s="81"/>
      <c r="M3" s="113"/>
      <c r="N3" s="81"/>
      <c r="O3" s="102"/>
      <c r="P3" s="81"/>
      <c r="Q3" s="90"/>
      <c r="S3" s="80"/>
      <c r="T3" s="80"/>
      <c r="AB3" s="75"/>
    </row>
    <row r="4" spans="1:49" ht="14.45" customHeight="1" x14ac:dyDescent="0.25">
      <c r="A4" s="110"/>
      <c r="B4" s="107"/>
      <c r="C4" s="81"/>
      <c r="D4" s="81"/>
      <c r="E4" s="81"/>
      <c r="F4" s="81"/>
      <c r="G4" s="81"/>
      <c r="H4" s="81"/>
      <c r="I4" s="81"/>
      <c r="J4" s="81"/>
      <c r="K4" s="81"/>
      <c r="L4" s="81"/>
      <c r="M4" s="113"/>
      <c r="N4" s="81"/>
      <c r="O4" s="102"/>
      <c r="P4" s="81"/>
      <c r="Q4" s="90"/>
      <c r="S4" s="80"/>
      <c r="T4" s="80"/>
      <c r="AB4" s="75"/>
    </row>
    <row r="5" spans="1:49" ht="14.45" customHeight="1" x14ac:dyDescent="0.25">
      <c r="A5" s="110"/>
      <c r="B5" s="107"/>
      <c r="C5" s="81"/>
      <c r="D5" s="81"/>
      <c r="E5" s="81"/>
      <c r="F5" s="81"/>
      <c r="G5" s="81"/>
      <c r="H5" s="81"/>
      <c r="I5" s="81"/>
      <c r="J5" s="81"/>
      <c r="K5" s="81"/>
      <c r="L5" s="81"/>
      <c r="M5" s="113"/>
      <c r="N5" s="81"/>
      <c r="O5" s="102"/>
      <c r="P5" s="81"/>
      <c r="Q5" s="90"/>
      <c r="S5" s="80"/>
      <c r="T5" s="80"/>
      <c r="AB5" s="75"/>
    </row>
    <row r="6" spans="1:49" x14ac:dyDescent="0.25">
      <c r="A6" s="110"/>
      <c r="B6" s="107"/>
      <c r="C6" s="81"/>
      <c r="D6" s="81"/>
      <c r="E6" s="81"/>
      <c r="F6" s="81"/>
      <c r="G6" s="81"/>
      <c r="H6" s="81"/>
      <c r="I6" s="81"/>
      <c r="J6" s="81"/>
      <c r="K6" s="81"/>
      <c r="L6" s="81"/>
      <c r="M6" s="113"/>
      <c r="N6" s="81"/>
      <c r="O6" s="102"/>
      <c r="P6" s="81"/>
      <c r="Q6" s="90"/>
      <c r="S6" s="80"/>
      <c r="T6" s="80"/>
      <c r="AB6" s="75"/>
    </row>
    <row r="7" spans="1:49" ht="14.45" customHeight="1" x14ac:dyDescent="0.25">
      <c r="A7" s="110"/>
      <c r="B7" s="107"/>
      <c r="C7" s="81"/>
      <c r="D7" s="81"/>
      <c r="E7" s="81"/>
      <c r="F7" s="81"/>
      <c r="G7" s="81"/>
      <c r="H7" s="81"/>
      <c r="I7" s="81"/>
      <c r="J7" s="81"/>
      <c r="K7" s="81"/>
      <c r="L7" s="81"/>
      <c r="M7" s="113"/>
      <c r="N7" s="81"/>
      <c r="O7" s="102"/>
      <c r="P7" s="81"/>
      <c r="Q7" s="90"/>
      <c r="S7" s="80"/>
      <c r="T7" s="80"/>
      <c r="AB7" s="75"/>
    </row>
    <row r="8" spans="1:49" ht="14.45" customHeight="1" x14ac:dyDescent="0.25">
      <c r="A8" s="110"/>
      <c r="B8" s="107"/>
      <c r="C8" s="81"/>
      <c r="D8" s="81"/>
      <c r="E8" s="81"/>
      <c r="F8" s="81"/>
      <c r="G8" s="81"/>
      <c r="H8" s="81"/>
      <c r="I8" s="81"/>
      <c r="J8" s="81"/>
      <c r="K8" s="81"/>
      <c r="L8" s="81"/>
      <c r="M8" s="113"/>
      <c r="N8" s="81"/>
      <c r="O8" s="102"/>
      <c r="P8" s="81"/>
      <c r="Q8" s="90"/>
      <c r="S8" s="80"/>
      <c r="T8" s="80"/>
      <c r="AB8" s="75"/>
    </row>
    <row r="9" spans="1:49" ht="14.45" customHeight="1" x14ac:dyDescent="0.25">
      <c r="A9" s="110"/>
      <c r="B9" s="107"/>
      <c r="C9" s="81"/>
      <c r="D9" s="81"/>
      <c r="E9" s="81"/>
      <c r="F9" s="81"/>
      <c r="G9" s="81"/>
      <c r="H9" s="81"/>
      <c r="I9" s="81"/>
      <c r="J9" s="81"/>
      <c r="K9" s="81"/>
      <c r="L9" s="81"/>
      <c r="M9" s="113"/>
      <c r="N9" s="81"/>
      <c r="O9" s="102"/>
      <c r="P9" s="81"/>
      <c r="Q9" s="90"/>
      <c r="S9" s="80"/>
      <c r="T9" s="80"/>
      <c r="AB9" s="75"/>
    </row>
    <row r="10" spans="1:49" x14ac:dyDescent="0.25">
      <c r="A10" s="110"/>
      <c r="B10" s="107"/>
      <c r="C10" s="81"/>
      <c r="D10" s="81"/>
      <c r="E10" s="81"/>
      <c r="F10" s="81"/>
      <c r="G10" s="81"/>
      <c r="H10" s="81"/>
      <c r="I10" s="81"/>
      <c r="J10" s="81"/>
      <c r="K10" s="81"/>
      <c r="L10" s="81"/>
      <c r="M10" s="113"/>
      <c r="N10" s="81"/>
      <c r="O10" s="102"/>
      <c r="P10" s="81"/>
      <c r="Q10" s="90"/>
      <c r="S10" s="80"/>
      <c r="T10" s="80"/>
      <c r="AB10" s="75"/>
    </row>
    <row r="11" spans="1:49" x14ac:dyDescent="0.25">
      <c r="A11" s="110"/>
      <c r="B11" s="107"/>
      <c r="C11" s="81"/>
      <c r="D11" s="81"/>
      <c r="E11" s="81"/>
      <c r="F11" s="81"/>
      <c r="G11" s="81"/>
      <c r="H11" s="81"/>
      <c r="I11" s="81"/>
      <c r="J11" s="81"/>
      <c r="K11" s="81"/>
      <c r="L11" s="81"/>
      <c r="M11" s="113"/>
      <c r="N11" s="81"/>
      <c r="O11" s="102"/>
      <c r="P11" s="81"/>
      <c r="Q11" s="90"/>
      <c r="S11" s="80"/>
      <c r="T11" s="80"/>
      <c r="AB11" s="75"/>
    </row>
    <row r="12" spans="1:49" x14ac:dyDescent="0.25">
      <c r="A12" s="110"/>
      <c r="B12" s="107"/>
      <c r="C12" s="81"/>
      <c r="D12" s="81"/>
      <c r="E12" s="81"/>
      <c r="F12" s="81"/>
      <c r="G12" s="81"/>
      <c r="H12" s="81"/>
      <c r="I12" s="81"/>
      <c r="J12" s="81"/>
      <c r="K12" s="81"/>
      <c r="L12" s="81"/>
      <c r="M12" s="113"/>
      <c r="N12" s="81"/>
      <c r="O12" s="102"/>
      <c r="P12" s="81"/>
      <c r="Q12" s="90"/>
      <c r="S12" s="80"/>
      <c r="T12" s="80"/>
      <c r="AB12" s="75"/>
    </row>
    <row r="13" spans="1:49" x14ac:dyDescent="0.25">
      <c r="A13" s="110"/>
      <c r="B13" s="107"/>
      <c r="C13" s="81"/>
      <c r="D13" s="81"/>
      <c r="E13" s="81"/>
      <c r="F13" s="81"/>
      <c r="G13" s="81"/>
      <c r="H13" s="81"/>
      <c r="I13" s="81"/>
      <c r="J13" s="81"/>
      <c r="K13" s="81"/>
      <c r="L13" s="81"/>
      <c r="M13" s="113"/>
      <c r="N13" s="81"/>
      <c r="O13" s="102"/>
      <c r="P13" s="81"/>
      <c r="Q13" s="90"/>
      <c r="S13" s="80"/>
      <c r="T13" s="80"/>
      <c r="AB13" s="75"/>
    </row>
    <row r="14" spans="1:49" x14ac:dyDescent="0.25">
      <c r="A14" s="110"/>
      <c r="B14" s="107"/>
      <c r="C14" s="81"/>
      <c r="D14" s="81"/>
      <c r="E14" s="81"/>
      <c r="F14" s="81"/>
      <c r="G14" s="81"/>
      <c r="H14" s="81"/>
      <c r="I14" s="81"/>
      <c r="J14" s="81"/>
      <c r="K14" s="81"/>
      <c r="L14" s="81"/>
      <c r="M14" s="113"/>
      <c r="N14" s="81"/>
      <c r="O14" s="102"/>
      <c r="P14" s="81"/>
      <c r="Q14" s="90"/>
      <c r="S14" s="80"/>
      <c r="T14" s="80"/>
      <c r="AB14" s="75"/>
    </row>
    <row r="15" spans="1:49" x14ac:dyDescent="0.25">
      <c r="A15" s="110"/>
      <c r="B15" s="107"/>
      <c r="C15" s="81"/>
      <c r="D15" s="81"/>
      <c r="E15" s="81"/>
      <c r="F15" s="81"/>
      <c r="G15" s="81"/>
      <c r="H15" s="81"/>
      <c r="I15" s="81"/>
      <c r="J15" s="81"/>
      <c r="K15" s="81"/>
      <c r="L15" s="81"/>
      <c r="M15" s="113"/>
      <c r="N15" s="81"/>
      <c r="O15" s="102"/>
      <c r="P15" s="81"/>
      <c r="Q15" s="90"/>
      <c r="S15" s="80"/>
      <c r="T15" s="80"/>
      <c r="AB15" s="75"/>
    </row>
    <row r="16" spans="1:49" x14ac:dyDescent="0.25">
      <c r="A16" s="110"/>
      <c r="B16" s="107"/>
      <c r="C16" s="81"/>
      <c r="D16" s="81"/>
      <c r="E16" s="81"/>
      <c r="F16" s="81"/>
      <c r="G16" s="81"/>
      <c r="H16" s="81"/>
      <c r="I16" s="81"/>
      <c r="J16" s="81"/>
      <c r="K16" s="81"/>
      <c r="L16" s="81"/>
      <c r="M16" s="113"/>
      <c r="N16" s="81"/>
      <c r="O16" s="102"/>
      <c r="P16" s="81"/>
      <c r="Q16" s="90"/>
      <c r="S16" s="80"/>
      <c r="T16" s="80"/>
      <c r="AB16" s="75"/>
    </row>
    <row r="17" spans="1:28" x14ac:dyDescent="0.25">
      <c r="A17" s="110"/>
      <c r="B17" s="107"/>
      <c r="C17" s="81"/>
      <c r="D17" s="81"/>
      <c r="E17" s="81"/>
      <c r="F17" s="81"/>
      <c r="G17" s="81"/>
      <c r="H17" s="81"/>
      <c r="I17" s="81"/>
      <c r="J17" s="81"/>
      <c r="K17" s="81"/>
      <c r="L17" s="81"/>
      <c r="M17" s="113"/>
      <c r="N17" s="81"/>
      <c r="O17" s="102"/>
      <c r="P17" s="81"/>
      <c r="Q17" s="90"/>
      <c r="S17" s="80"/>
      <c r="T17" s="80"/>
      <c r="AB17" s="75"/>
    </row>
    <row r="18" spans="1:28" x14ac:dyDescent="0.25">
      <c r="A18" s="110"/>
      <c r="B18" s="107"/>
      <c r="C18" s="81"/>
      <c r="D18" s="81"/>
      <c r="E18" s="81"/>
      <c r="F18" s="81"/>
      <c r="G18" s="81"/>
      <c r="H18" s="81"/>
      <c r="I18" s="81"/>
      <c r="J18" s="81"/>
      <c r="K18" s="81"/>
      <c r="L18" s="81"/>
      <c r="M18" s="113"/>
      <c r="N18" s="81"/>
      <c r="O18" s="102"/>
      <c r="P18" s="81"/>
      <c r="Q18" s="90"/>
      <c r="S18" s="80"/>
      <c r="T18" s="80"/>
      <c r="AB18" s="75"/>
    </row>
    <row r="19" spans="1:28" x14ac:dyDescent="0.25">
      <c r="A19" s="110"/>
      <c r="B19" s="107"/>
      <c r="C19" s="81"/>
      <c r="D19" s="81"/>
      <c r="E19" s="81"/>
      <c r="F19" s="81"/>
      <c r="G19" s="81"/>
      <c r="H19" s="81"/>
      <c r="I19" s="81"/>
      <c r="J19" s="81"/>
      <c r="K19" s="81"/>
      <c r="L19" s="81"/>
      <c r="M19" s="113"/>
      <c r="N19" s="81"/>
      <c r="O19" s="102"/>
      <c r="P19" s="81"/>
      <c r="Q19" s="90"/>
      <c r="S19" s="80"/>
      <c r="T19" s="80"/>
      <c r="AB19" s="75"/>
    </row>
    <row r="20" spans="1:28" x14ac:dyDescent="0.25">
      <c r="A20" s="110"/>
      <c r="B20" s="107"/>
      <c r="C20" s="81"/>
      <c r="D20" s="81"/>
      <c r="E20" s="81"/>
      <c r="F20" s="81"/>
      <c r="G20" s="81"/>
      <c r="H20" s="81"/>
      <c r="I20" s="81"/>
      <c r="J20" s="81"/>
      <c r="K20" s="81"/>
      <c r="L20" s="81"/>
      <c r="M20" s="113"/>
      <c r="N20" s="81"/>
      <c r="O20" s="102"/>
      <c r="P20" s="81"/>
      <c r="Q20" s="90"/>
      <c r="S20" s="80"/>
      <c r="T20" s="80"/>
      <c r="AB20" s="75"/>
    </row>
    <row r="21" spans="1:28" x14ac:dyDescent="0.25">
      <c r="A21" s="110"/>
      <c r="B21" s="107"/>
      <c r="C21" s="81"/>
      <c r="D21" s="81"/>
      <c r="E21" s="81"/>
      <c r="F21" s="81"/>
      <c r="G21" s="81"/>
      <c r="H21" s="81"/>
      <c r="I21" s="81"/>
      <c r="J21" s="81"/>
      <c r="K21" s="81"/>
      <c r="L21" s="81"/>
      <c r="M21" s="113"/>
      <c r="N21" s="81"/>
      <c r="O21" s="102"/>
      <c r="P21" s="81"/>
      <c r="Q21" s="90"/>
      <c r="S21" s="80"/>
      <c r="T21" s="80"/>
      <c r="AB21" s="75"/>
    </row>
    <row r="22" spans="1:28" x14ac:dyDescent="0.25">
      <c r="A22" s="110"/>
      <c r="B22" s="107"/>
      <c r="C22" s="81"/>
      <c r="D22" s="81"/>
      <c r="E22" s="81"/>
      <c r="F22" s="81"/>
      <c r="G22" s="81"/>
      <c r="H22" s="81"/>
      <c r="I22" s="81"/>
      <c r="J22" s="81"/>
      <c r="K22" s="81"/>
      <c r="L22" s="81"/>
      <c r="M22" s="113"/>
      <c r="N22" s="81"/>
      <c r="O22" s="102"/>
      <c r="P22" s="81"/>
      <c r="Q22" s="90"/>
      <c r="S22" s="80"/>
      <c r="T22" s="80"/>
      <c r="AB22" s="75"/>
    </row>
    <row r="23" spans="1:28" x14ac:dyDescent="0.25">
      <c r="A23" s="110"/>
      <c r="B23" s="107"/>
      <c r="C23" s="81"/>
      <c r="D23" s="81"/>
      <c r="E23" s="81"/>
      <c r="F23" s="81"/>
      <c r="G23" s="81"/>
      <c r="H23" s="81"/>
      <c r="I23" s="81"/>
      <c r="J23" s="81"/>
      <c r="K23" s="81"/>
      <c r="L23" s="81"/>
      <c r="M23" s="113"/>
      <c r="N23" s="81"/>
      <c r="O23" s="102"/>
      <c r="P23" s="81"/>
      <c r="Q23" s="90"/>
      <c r="S23" s="80"/>
      <c r="T23" s="80"/>
      <c r="AB23" s="75"/>
    </row>
    <row r="24" spans="1:28" x14ac:dyDescent="0.25">
      <c r="A24" s="110"/>
      <c r="B24" s="107"/>
      <c r="C24" s="81"/>
      <c r="D24" s="81"/>
      <c r="E24" s="81"/>
      <c r="F24" s="81"/>
      <c r="G24" s="81"/>
      <c r="H24" s="81"/>
      <c r="I24" s="81"/>
      <c r="J24" s="81"/>
      <c r="K24" s="81"/>
      <c r="L24" s="81"/>
      <c r="M24" s="113"/>
      <c r="N24" s="81"/>
      <c r="O24" s="102"/>
      <c r="P24" s="81"/>
      <c r="Q24" s="90"/>
      <c r="S24" s="80"/>
      <c r="T24" s="80"/>
      <c r="AB24" s="75"/>
    </row>
    <row r="25" spans="1:28" x14ac:dyDescent="0.25">
      <c r="A25" s="110"/>
      <c r="B25" s="107"/>
      <c r="C25" s="81"/>
      <c r="D25" s="81"/>
      <c r="E25" s="81"/>
      <c r="F25" s="81"/>
      <c r="G25" s="81"/>
      <c r="H25" s="81"/>
      <c r="I25" s="81"/>
      <c r="J25" s="81"/>
      <c r="K25" s="81"/>
      <c r="L25" s="81"/>
      <c r="M25" s="113"/>
      <c r="N25" s="81"/>
      <c r="O25" s="102"/>
      <c r="P25" s="81"/>
      <c r="Q25" s="90"/>
      <c r="S25" s="80"/>
      <c r="T25" s="80"/>
      <c r="AB25" s="75"/>
    </row>
    <row r="26" spans="1:28" x14ac:dyDescent="0.25">
      <c r="A26" s="110"/>
      <c r="B26" s="107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113"/>
      <c r="N26" s="81"/>
      <c r="O26" s="102"/>
      <c r="P26" s="81"/>
      <c r="Q26" s="90"/>
      <c r="S26" s="80"/>
      <c r="T26" s="80"/>
      <c r="AB26" s="75"/>
    </row>
    <row r="27" spans="1:28" x14ac:dyDescent="0.25">
      <c r="A27" s="110"/>
      <c r="B27" s="107"/>
      <c r="C27" s="81"/>
      <c r="D27" s="81"/>
      <c r="E27" s="81"/>
      <c r="F27" s="81"/>
      <c r="G27" s="81"/>
      <c r="H27" s="81"/>
      <c r="I27" s="81"/>
      <c r="J27" s="81"/>
      <c r="K27" s="81"/>
      <c r="L27" s="81"/>
      <c r="M27" s="113"/>
      <c r="N27" s="81"/>
      <c r="O27" s="102"/>
      <c r="P27" s="81"/>
      <c r="Q27" s="90"/>
      <c r="S27" s="80"/>
      <c r="T27" s="80"/>
      <c r="AB27" s="75"/>
    </row>
    <row r="28" spans="1:28" x14ac:dyDescent="0.25">
      <c r="A28" s="110"/>
      <c r="B28" s="107"/>
      <c r="C28" s="81"/>
      <c r="D28" s="81"/>
      <c r="E28" s="81"/>
      <c r="F28" s="81"/>
      <c r="G28" s="81"/>
      <c r="H28" s="81"/>
      <c r="I28" s="81"/>
      <c r="J28" s="81"/>
      <c r="K28" s="81"/>
      <c r="L28" s="81"/>
      <c r="M28" s="113"/>
      <c r="N28" s="81"/>
      <c r="O28" s="102"/>
      <c r="P28" s="81"/>
      <c r="Q28" s="90"/>
      <c r="S28" s="80"/>
      <c r="T28" s="80"/>
      <c r="AB28" s="75"/>
    </row>
    <row r="29" spans="1:28" x14ac:dyDescent="0.25">
      <c r="A29" s="110"/>
      <c r="B29" s="107"/>
      <c r="C29" s="81"/>
      <c r="D29" s="81"/>
      <c r="E29" s="81"/>
      <c r="F29" s="81"/>
      <c r="G29" s="81"/>
      <c r="H29" s="81"/>
      <c r="I29" s="81"/>
      <c r="J29" s="81"/>
      <c r="K29" s="81"/>
      <c r="L29" s="81"/>
      <c r="M29" s="113"/>
      <c r="N29" s="81"/>
      <c r="O29" s="102"/>
      <c r="P29" s="81"/>
      <c r="Q29" s="90"/>
      <c r="S29" s="80"/>
      <c r="T29" s="80"/>
      <c r="AB29" s="75"/>
    </row>
    <row r="30" spans="1:28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28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28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  <row r="92" spans="1:28" x14ac:dyDescent="0.25">
      <c r="A92" s="110"/>
      <c r="B92" s="107"/>
      <c r="C92" s="81"/>
      <c r="D92" s="81"/>
      <c r="E92" s="81"/>
      <c r="F92" s="81"/>
      <c r="G92" s="81"/>
      <c r="H92" s="81"/>
      <c r="I92" s="81"/>
      <c r="J92" s="81"/>
      <c r="K92" s="81"/>
      <c r="L92" s="81"/>
      <c r="M92" s="113"/>
      <c r="N92" s="81"/>
      <c r="O92" s="102"/>
      <c r="P92" s="81"/>
      <c r="Q92" s="90"/>
      <c r="S92" s="80"/>
      <c r="T92" s="80"/>
      <c r="AB92" s="75"/>
    </row>
    <row r="93" spans="1:28" x14ac:dyDescent="0.25">
      <c r="A93" s="110"/>
      <c r="B93" s="107"/>
      <c r="C93" s="81"/>
      <c r="D93" s="81"/>
      <c r="E93" s="81"/>
      <c r="F93" s="81"/>
      <c r="G93" s="81"/>
      <c r="H93" s="81"/>
      <c r="I93" s="81"/>
      <c r="J93" s="81"/>
      <c r="K93" s="81"/>
      <c r="L93" s="81"/>
      <c r="M93" s="113"/>
      <c r="N93" s="81"/>
      <c r="O93" s="102"/>
      <c r="P93" s="81"/>
      <c r="Q93" s="90"/>
      <c r="S93" s="80"/>
      <c r="T93" s="80"/>
      <c r="AB93" s="75"/>
    </row>
    <row r="94" spans="1:28" x14ac:dyDescent="0.25">
      <c r="A94" s="110"/>
      <c r="B94" s="107"/>
      <c r="C94" s="81"/>
      <c r="D94" s="81"/>
      <c r="E94" s="81"/>
      <c r="F94" s="81"/>
      <c r="G94" s="81"/>
      <c r="H94" s="81"/>
      <c r="I94" s="81"/>
      <c r="J94" s="81"/>
      <c r="K94" s="81"/>
      <c r="L94" s="81"/>
      <c r="M94" s="113"/>
      <c r="N94" s="81"/>
      <c r="O94" s="102"/>
      <c r="P94" s="81"/>
      <c r="Q94" s="90"/>
      <c r="S94" s="80"/>
      <c r="T94" s="80"/>
      <c r="AB94" s="75"/>
    </row>
    <row r="95" spans="1:28" x14ac:dyDescent="0.25">
      <c r="A95" s="110"/>
      <c r="B95" s="107"/>
      <c r="C95" s="81"/>
      <c r="D95" s="81"/>
      <c r="E95" s="81"/>
      <c r="F95" s="81"/>
      <c r="G95" s="81"/>
      <c r="H95" s="81"/>
      <c r="I95" s="81"/>
      <c r="J95" s="81"/>
      <c r="K95" s="81"/>
      <c r="L95" s="81"/>
      <c r="M95" s="113"/>
      <c r="N95" s="81"/>
      <c r="O95" s="102"/>
      <c r="P95" s="81"/>
      <c r="Q95" s="90"/>
      <c r="S95" s="80"/>
      <c r="T95" s="80"/>
      <c r="AB95" s="75"/>
    </row>
    <row r="96" spans="1:28" x14ac:dyDescent="0.25">
      <c r="A96" s="110"/>
      <c r="B96" s="107"/>
      <c r="C96" s="81"/>
      <c r="D96" s="81"/>
      <c r="E96" s="81"/>
      <c r="F96" s="81"/>
      <c r="G96" s="81"/>
      <c r="H96" s="81"/>
      <c r="I96" s="81"/>
      <c r="J96" s="81"/>
      <c r="K96" s="81"/>
      <c r="L96" s="81"/>
      <c r="M96" s="113"/>
      <c r="N96" s="81"/>
      <c r="O96" s="102"/>
      <c r="P96" s="81"/>
      <c r="Q96" s="90"/>
      <c r="S96" s="80"/>
      <c r="T96" s="80"/>
      <c r="AB96" s="75"/>
    </row>
    <row r="97" spans="1:28" x14ac:dyDescent="0.25">
      <c r="A97" s="110"/>
      <c r="B97" s="107"/>
      <c r="C97" s="81"/>
      <c r="D97" s="81"/>
      <c r="E97" s="81"/>
      <c r="F97" s="81"/>
      <c r="G97" s="81"/>
      <c r="H97" s="81"/>
      <c r="I97" s="81"/>
      <c r="J97" s="81"/>
      <c r="K97" s="81"/>
      <c r="L97" s="81"/>
      <c r="M97" s="113"/>
      <c r="N97" s="81"/>
      <c r="O97" s="102"/>
      <c r="P97" s="81"/>
      <c r="Q97" s="90"/>
      <c r="S97" s="80"/>
      <c r="T97" s="80"/>
      <c r="AB97" s="75"/>
    </row>
    <row r="98" spans="1:28" x14ac:dyDescent="0.25">
      <c r="A98" s="110"/>
      <c r="B98" s="107"/>
      <c r="C98" s="81"/>
      <c r="D98" s="81"/>
      <c r="E98" s="81"/>
      <c r="F98" s="81"/>
      <c r="G98" s="81"/>
      <c r="H98" s="81"/>
      <c r="I98" s="81"/>
      <c r="J98" s="81"/>
      <c r="K98" s="81"/>
      <c r="L98" s="81"/>
      <c r="M98" s="113"/>
      <c r="N98" s="81"/>
      <c r="O98" s="102"/>
      <c r="P98" s="81"/>
      <c r="Q98" s="90"/>
      <c r="S98" s="80"/>
      <c r="T98" s="80"/>
      <c r="AB98" s="75"/>
    </row>
    <row r="99" spans="1:28" x14ac:dyDescent="0.25">
      <c r="A99" s="110"/>
      <c r="B99" s="107"/>
      <c r="C99" s="81"/>
      <c r="D99" s="81"/>
      <c r="E99" s="81"/>
      <c r="F99" s="81"/>
      <c r="G99" s="81"/>
      <c r="H99" s="81"/>
      <c r="I99" s="81"/>
      <c r="J99" s="81"/>
      <c r="K99" s="81"/>
      <c r="L99" s="81"/>
      <c r="M99" s="113"/>
      <c r="N99" s="81"/>
      <c r="O99" s="102"/>
      <c r="P99" s="81"/>
      <c r="Q99" s="90"/>
      <c r="S99" s="80"/>
      <c r="T99" s="80"/>
      <c r="AB99" s="75"/>
    </row>
    <row r="100" spans="1:28" x14ac:dyDescent="0.25">
      <c r="A100" s="110"/>
      <c r="B100" s="107"/>
      <c r="C100" s="81"/>
      <c r="D100" s="81"/>
      <c r="E100" s="81"/>
      <c r="F100" s="81"/>
      <c r="G100" s="81"/>
      <c r="H100" s="81"/>
      <c r="I100" s="81"/>
      <c r="J100" s="81"/>
      <c r="K100" s="81"/>
      <c r="L100" s="81"/>
      <c r="M100" s="113"/>
      <c r="N100" s="81"/>
      <c r="O100" s="102"/>
      <c r="P100" s="81"/>
      <c r="Q100" s="90"/>
      <c r="S100" s="80"/>
      <c r="T100" s="80"/>
      <c r="AB100" s="75"/>
    </row>
    <row r="101" spans="1:28" x14ac:dyDescent="0.25">
      <c r="A101" s="110"/>
      <c r="B101" s="107"/>
      <c r="C101" s="81"/>
      <c r="D101" s="81"/>
      <c r="E101" s="81"/>
      <c r="F101" s="81"/>
      <c r="G101" s="81"/>
      <c r="H101" s="81"/>
      <c r="I101" s="81"/>
      <c r="J101" s="81"/>
      <c r="K101" s="81"/>
      <c r="L101" s="81"/>
      <c r="M101" s="113"/>
      <c r="N101" s="81"/>
      <c r="O101" s="102"/>
      <c r="P101" s="81"/>
      <c r="Q101" s="90"/>
      <c r="S101" s="80"/>
      <c r="T101" s="80"/>
      <c r="AB101" s="75"/>
    </row>
    <row r="102" spans="1:28" x14ac:dyDescent="0.25">
      <c r="A102" s="110"/>
      <c r="B102" s="107"/>
      <c r="C102" s="81"/>
      <c r="D102" s="81"/>
      <c r="E102" s="81"/>
      <c r="F102" s="81"/>
      <c r="G102" s="81"/>
      <c r="H102" s="81"/>
      <c r="I102" s="81"/>
      <c r="J102" s="81"/>
      <c r="K102" s="81"/>
      <c r="L102" s="81"/>
      <c r="M102" s="113"/>
      <c r="N102" s="81"/>
      <c r="O102" s="102"/>
      <c r="P102" s="81"/>
      <c r="Q102" s="90"/>
      <c r="S102" s="80"/>
      <c r="T102" s="80"/>
      <c r="AB102" s="75"/>
    </row>
    <row r="103" spans="1:28" x14ac:dyDescent="0.25">
      <c r="A103" s="110"/>
      <c r="B103" s="107"/>
      <c r="C103" s="81"/>
      <c r="D103" s="81"/>
      <c r="E103" s="81"/>
      <c r="F103" s="81"/>
      <c r="G103" s="81"/>
      <c r="H103" s="81"/>
      <c r="I103" s="81"/>
      <c r="J103" s="81"/>
      <c r="K103" s="81"/>
      <c r="L103" s="81"/>
      <c r="M103" s="113"/>
      <c r="N103" s="81"/>
      <c r="O103" s="102"/>
      <c r="P103" s="81"/>
      <c r="Q103" s="90"/>
      <c r="S103" s="80"/>
      <c r="T103" s="80"/>
      <c r="AB103" s="75"/>
    </row>
    <row r="104" spans="1:28" x14ac:dyDescent="0.25">
      <c r="A104" s="110"/>
      <c r="B104" s="107"/>
      <c r="C104" s="81"/>
      <c r="D104" s="81"/>
      <c r="E104" s="81"/>
      <c r="F104" s="81"/>
      <c r="G104" s="81"/>
      <c r="H104" s="81"/>
      <c r="I104" s="81"/>
      <c r="J104" s="81"/>
      <c r="K104" s="81"/>
      <c r="L104" s="81"/>
      <c r="M104" s="113"/>
      <c r="N104" s="81"/>
      <c r="O104" s="102"/>
      <c r="P104" s="81"/>
      <c r="Q104" s="90"/>
      <c r="S104" s="80"/>
      <c r="T104" s="80"/>
      <c r="AB104" s="75"/>
    </row>
    <row r="105" spans="1:28" x14ac:dyDescent="0.25">
      <c r="A105" s="110"/>
      <c r="B105" s="107"/>
      <c r="C105" s="81"/>
      <c r="D105" s="81"/>
      <c r="E105" s="81"/>
      <c r="F105" s="81"/>
      <c r="G105" s="81"/>
      <c r="H105" s="81"/>
      <c r="I105" s="81"/>
      <c r="J105" s="81"/>
      <c r="K105" s="81"/>
      <c r="L105" s="81"/>
      <c r="M105" s="113"/>
      <c r="N105" s="81"/>
      <c r="O105" s="102"/>
      <c r="P105" s="81"/>
      <c r="Q105" s="90"/>
      <c r="S105" s="80"/>
      <c r="T105" s="80"/>
      <c r="AB105" s="75"/>
    </row>
    <row r="106" spans="1:28" x14ac:dyDescent="0.25">
      <c r="A106" s="110"/>
      <c r="B106" s="107"/>
      <c r="C106" s="81"/>
      <c r="D106" s="81"/>
      <c r="E106" s="81"/>
      <c r="F106" s="81"/>
      <c r="G106" s="81"/>
      <c r="H106" s="81"/>
      <c r="I106" s="81"/>
      <c r="J106" s="81"/>
      <c r="K106" s="81"/>
      <c r="L106" s="81"/>
      <c r="M106" s="113"/>
      <c r="N106" s="81"/>
      <c r="O106" s="102"/>
      <c r="P106" s="81"/>
      <c r="Q106" s="90"/>
      <c r="S106" s="80"/>
      <c r="T106" s="80"/>
      <c r="AB106" s="75"/>
    </row>
    <row r="107" spans="1:28" x14ac:dyDescent="0.25">
      <c r="A107" s="110"/>
      <c r="B107" s="107"/>
      <c r="C107" s="81"/>
      <c r="D107" s="81"/>
      <c r="E107" s="81"/>
      <c r="F107" s="81"/>
      <c r="G107" s="81"/>
      <c r="H107" s="81"/>
      <c r="I107" s="81"/>
      <c r="J107" s="81"/>
      <c r="K107" s="81"/>
      <c r="L107" s="81"/>
      <c r="M107" s="113"/>
      <c r="N107" s="81"/>
      <c r="O107" s="102"/>
      <c r="P107" s="81"/>
      <c r="Q107" s="90"/>
      <c r="S107" s="80"/>
      <c r="T107" s="80"/>
      <c r="AB107" s="75"/>
    </row>
    <row r="108" spans="1:28" x14ac:dyDescent="0.25">
      <c r="A108" s="110"/>
      <c r="B108" s="107"/>
      <c r="C108" s="81"/>
      <c r="D108" s="81"/>
      <c r="E108" s="81"/>
      <c r="F108" s="81"/>
      <c r="G108" s="81"/>
      <c r="H108" s="81"/>
      <c r="I108" s="81"/>
      <c r="J108" s="81"/>
      <c r="K108" s="81"/>
      <c r="L108" s="81"/>
      <c r="M108" s="113"/>
      <c r="N108" s="81"/>
      <c r="O108" s="102"/>
      <c r="P108" s="81"/>
      <c r="Q108" s="90"/>
      <c r="S108" s="80"/>
      <c r="T108" s="80"/>
      <c r="AB108" s="75"/>
    </row>
    <row r="109" spans="1:28" x14ac:dyDescent="0.25">
      <c r="A109" s="110"/>
      <c r="B109" s="107"/>
      <c r="C109" s="81"/>
      <c r="D109" s="81"/>
      <c r="E109" s="81"/>
      <c r="F109" s="81"/>
      <c r="G109" s="81"/>
      <c r="H109" s="81"/>
      <c r="I109" s="81"/>
      <c r="J109" s="81"/>
      <c r="K109" s="81"/>
      <c r="L109" s="81"/>
      <c r="M109" s="113"/>
      <c r="N109" s="81"/>
      <c r="O109" s="102"/>
      <c r="P109" s="81"/>
      <c r="Q109" s="90"/>
      <c r="S109" s="80"/>
      <c r="T109" s="80"/>
      <c r="AB109" s="75"/>
    </row>
    <row r="110" spans="1:28" x14ac:dyDescent="0.25">
      <c r="A110" s="110"/>
      <c r="B110" s="107"/>
      <c r="C110" s="81"/>
      <c r="D110" s="81"/>
      <c r="E110" s="81"/>
      <c r="F110" s="81"/>
      <c r="G110" s="81"/>
      <c r="H110" s="81"/>
      <c r="I110" s="81"/>
      <c r="J110" s="81"/>
      <c r="K110" s="81"/>
      <c r="L110" s="81"/>
      <c r="M110" s="113"/>
      <c r="N110" s="81"/>
      <c r="O110" s="102"/>
      <c r="P110" s="81"/>
      <c r="Q110" s="90"/>
      <c r="S110" s="80"/>
      <c r="T110" s="80"/>
      <c r="AB110" s="75"/>
    </row>
    <row r="111" spans="1:28" x14ac:dyDescent="0.25">
      <c r="A111" s="110"/>
      <c r="B111" s="107"/>
      <c r="C111" s="81"/>
      <c r="D111" s="81"/>
      <c r="E111" s="81"/>
      <c r="F111" s="81"/>
      <c r="G111" s="81"/>
      <c r="H111" s="81"/>
      <c r="I111" s="81"/>
      <c r="J111" s="81"/>
      <c r="K111" s="81"/>
      <c r="L111" s="81"/>
      <c r="M111" s="113"/>
      <c r="N111" s="81"/>
      <c r="O111" s="102"/>
      <c r="P111" s="81"/>
      <c r="Q111" s="90"/>
      <c r="S111" s="80"/>
      <c r="T111" s="80"/>
      <c r="AB111" s="75"/>
    </row>
    <row r="112" spans="1:28" x14ac:dyDescent="0.25">
      <c r="A112" s="110"/>
      <c r="B112" s="107"/>
      <c r="C112" s="81"/>
      <c r="D112" s="81"/>
      <c r="E112" s="81"/>
      <c r="F112" s="81"/>
      <c r="G112" s="81"/>
      <c r="H112" s="81"/>
      <c r="I112" s="81"/>
      <c r="J112" s="81"/>
      <c r="K112" s="81"/>
      <c r="L112" s="81"/>
      <c r="M112" s="113"/>
      <c r="N112" s="81"/>
      <c r="O112" s="102"/>
      <c r="P112" s="81"/>
      <c r="Q112" s="90"/>
      <c r="S112" s="80"/>
      <c r="T112" s="80"/>
      <c r="AB112" s="75"/>
    </row>
    <row r="113" spans="1:28" x14ac:dyDescent="0.25">
      <c r="A113" s="110"/>
      <c r="B113" s="107"/>
      <c r="C113" s="81"/>
      <c r="D113" s="81"/>
      <c r="E113" s="81"/>
      <c r="F113" s="81"/>
      <c r="G113" s="81"/>
      <c r="H113" s="81"/>
      <c r="I113" s="81"/>
      <c r="J113" s="81"/>
      <c r="K113" s="81"/>
      <c r="L113" s="81"/>
      <c r="M113" s="113"/>
      <c r="N113" s="81"/>
      <c r="O113" s="102"/>
      <c r="P113" s="81"/>
      <c r="Q113" s="90"/>
      <c r="S113" s="80"/>
      <c r="T113" s="80"/>
      <c r="AB113" s="75"/>
    </row>
    <row r="114" spans="1:28" x14ac:dyDescent="0.25">
      <c r="A114" s="110"/>
      <c r="B114" s="107"/>
      <c r="C114" s="81"/>
      <c r="D114" s="81"/>
      <c r="E114" s="81"/>
      <c r="F114" s="81"/>
      <c r="G114" s="81"/>
      <c r="H114" s="81"/>
      <c r="I114" s="81"/>
      <c r="J114" s="81"/>
      <c r="K114" s="81"/>
      <c r="L114" s="81"/>
      <c r="M114" s="113"/>
      <c r="N114" s="81"/>
      <c r="O114" s="102"/>
      <c r="P114" s="81"/>
      <c r="Q114" s="90"/>
      <c r="S114" s="80"/>
      <c r="T114" s="80"/>
      <c r="AB114" s="75"/>
    </row>
    <row r="115" spans="1:28" x14ac:dyDescent="0.25">
      <c r="A115" s="110"/>
      <c r="B115" s="107"/>
      <c r="C115" s="81"/>
      <c r="D115" s="81"/>
      <c r="E115" s="81"/>
      <c r="F115" s="81"/>
      <c r="G115" s="81"/>
      <c r="H115" s="81"/>
      <c r="I115" s="81"/>
      <c r="J115" s="81"/>
      <c r="K115" s="81"/>
      <c r="L115" s="81"/>
      <c r="M115" s="113"/>
      <c r="N115" s="81"/>
      <c r="O115" s="102"/>
      <c r="P115" s="81"/>
      <c r="Q115" s="90"/>
      <c r="S115" s="80"/>
      <c r="T115" s="80"/>
      <c r="AB115" s="75"/>
    </row>
    <row r="116" spans="1:28" x14ac:dyDescent="0.25">
      <c r="A116" s="110"/>
      <c r="B116" s="107"/>
      <c r="C116" s="81"/>
      <c r="D116" s="81"/>
      <c r="E116" s="81"/>
      <c r="F116" s="81"/>
      <c r="G116" s="81"/>
      <c r="H116" s="81"/>
      <c r="I116" s="81"/>
      <c r="J116" s="81"/>
      <c r="K116" s="81"/>
      <c r="L116" s="81"/>
      <c r="M116" s="113"/>
      <c r="N116" s="81"/>
      <c r="O116" s="102"/>
      <c r="P116" s="81"/>
      <c r="Q116" s="90"/>
      <c r="S116" s="80"/>
      <c r="T116" s="80"/>
      <c r="AB116" s="75"/>
    </row>
    <row r="117" spans="1:28" x14ac:dyDescent="0.25">
      <c r="A117" s="110"/>
      <c r="B117" s="107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113"/>
      <c r="N117" s="81"/>
      <c r="O117" s="102"/>
      <c r="P117" s="81"/>
      <c r="Q117" s="90"/>
      <c r="S117" s="80"/>
      <c r="T117" s="80"/>
      <c r="AB117" s="75"/>
    </row>
    <row r="118" spans="1:28" x14ac:dyDescent="0.25">
      <c r="A118" s="110"/>
      <c r="B118" s="107"/>
      <c r="C118" s="81"/>
      <c r="D118" s="81"/>
      <c r="E118" s="81"/>
      <c r="F118" s="81"/>
      <c r="G118" s="81"/>
      <c r="H118" s="81"/>
      <c r="I118" s="81"/>
      <c r="J118" s="81"/>
      <c r="K118" s="81"/>
      <c r="L118" s="81"/>
      <c r="M118" s="113"/>
      <c r="N118" s="81"/>
      <c r="O118" s="102"/>
      <c r="P118" s="81"/>
      <c r="Q118" s="90"/>
      <c r="S118" s="80"/>
      <c r="T118" s="80"/>
      <c r="AB118" s="75"/>
    </row>
    <row r="119" spans="1:28" x14ac:dyDescent="0.25">
      <c r="A119" s="110"/>
      <c r="B119" s="107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113"/>
      <c r="N119" s="81"/>
      <c r="O119" s="102"/>
      <c r="P119" s="81"/>
      <c r="Q119" s="90"/>
      <c r="S119" s="80"/>
      <c r="T119" s="80"/>
      <c r="AB119" s="75"/>
    </row>
    <row r="120" spans="1:28" x14ac:dyDescent="0.25">
      <c r="A120" s="110"/>
      <c r="B120" s="107"/>
      <c r="C120" s="81"/>
      <c r="D120" s="81"/>
      <c r="E120" s="81"/>
      <c r="F120" s="81"/>
      <c r="G120" s="81"/>
      <c r="H120" s="81"/>
      <c r="I120" s="81"/>
      <c r="J120" s="81"/>
      <c r="K120" s="81"/>
      <c r="L120" s="81"/>
      <c r="M120" s="113"/>
      <c r="N120" s="81"/>
      <c r="O120" s="102"/>
      <c r="P120" s="81"/>
      <c r="Q120" s="90"/>
      <c r="S120" s="80"/>
      <c r="T120" s="80"/>
      <c r="AB120" s="75"/>
    </row>
    <row r="121" spans="1:28" x14ac:dyDescent="0.25">
      <c r="A121" s="110"/>
      <c r="B121" s="107"/>
      <c r="C121" s="81"/>
      <c r="D121" s="81"/>
      <c r="E121" s="81"/>
      <c r="F121" s="81"/>
      <c r="G121" s="81"/>
      <c r="H121" s="81"/>
      <c r="I121" s="81"/>
      <c r="J121" s="81"/>
      <c r="K121" s="81"/>
      <c r="L121" s="81"/>
      <c r="M121" s="113"/>
      <c r="N121" s="81"/>
      <c r="O121" s="102"/>
      <c r="P121" s="81"/>
      <c r="Q121" s="90"/>
      <c r="S121" s="80"/>
      <c r="T121" s="80"/>
      <c r="AB121" s="75"/>
    </row>
    <row r="122" spans="1:28" x14ac:dyDescent="0.25">
      <c r="A122" s="110"/>
      <c r="B122" s="107"/>
      <c r="C122" s="81"/>
      <c r="D122" s="81"/>
      <c r="E122" s="81"/>
      <c r="F122" s="81"/>
      <c r="G122" s="81"/>
      <c r="H122" s="81"/>
      <c r="I122" s="81"/>
      <c r="J122" s="81"/>
      <c r="K122" s="81"/>
      <c r="L122" s="81"/>
      <c r="M122" s="113"/>
      <c r="N122" s="81"/>
      <c r="O122" s="102"/>
      <c r="P122" s="81"/>
      <c r="Q122" s="90"/>
      <c r="S122" s="80"/>
      <c r="T122" s="80"/>
      <c r="AB122" s="75"/>
    </row>
    <row r="123" spans="1:28" x14ac:dyDescent="0.25">
      <c r="A123" s="110"/>
      <c r="B123" s="107"/>
      <c r="C123" s="81"/>
      <c r="D123" s="81"/>
      <c r="E123" s="81"/>
      <c r="F123" s="81"/>
      <c r="G123" s="81"/>
      <c r="H123" s="81"/>
      <c r="I123" s="81"/>
      <c r="J123" s="81"/>
      <c r="K123" s="81"/>
      <c r="L123" s="81"/>
      <c r="M123" s="113"/>
      <c r="N123" s="81"/>
      <c r="O123" s="102"/>
      <c r="P123" s="81"/>
      <c r="Q123" s="90"/>
      <c r="S123" s="80"/>
      <c r="T123" s="80"/>
      <c r="AB123" s="75"/>
    </row>
    <row r="124" spans="1:28" x14ac:dyDescent="0.25">
      <c r="A124" s="110"/>
      <c r="B124" s="107"/>
      <c r="C124" s="81"/>
      <c r="D124" s="81"/>
      <c r="E124" s="81"/>
      <c r="F124" s="81"/>
      <c r="G124" s="81"/>
      <c r="H124" s="81"/>
      <c r="I124" s="81"/>
      <c r="J124" s="81"/>
      <c r="K124" s="81"/>
      <c r="L124" s="81"/>
      <c r="M124" s="113"/>
      <c r="N124" s="81"/>
      <c r="O124" s="102"/>
      <c r="P124" s="81"/>
      <c r="Q124" s="90"/>
      <c r="S124" s="80"/>
      <c r="T124" s="80"/>
      <c r="AB124" s="75"/>
    </row>
    <row r="125" spans="1:28" x14ac:dyDescent="0.25">
      <c r="A125" s="110"/>
      <c r="B125" s="107"/>
      <c r="C125" s="81"/>
      <c r="D125" s="81"/>
      <c r="E125" s="81"/>
      <c r="F125" s="81"/>
      <c r="G125" s="81"/>
      <c r="H125" s="81"/>
      <c r="I125" s="81"/>
      <c r="J125" s="81"/>
      <c r="K125" s="81"/>
      <c r="L125" s="81"/>
      <c r="M125" s="113"/>
      <c r="N125" s="81"/>
      <c r="O125" s="102"/>
      <c r="P125" s="81"/>
      <c r="Q125" s="90"/>
      <c r="S125" s="80"/>
      <c r="T125" s="80"/>
      <c r="AB125" s="75"/>
    </row>
    <row r="126" spans="1:28" x14ac:dyDescent="0.25">
      <c r="A126" s="110"/>
      <c r="B126" s="107"/>
      <c r="C126" s="81"/>
      <c r="D126" s="81"/>
      <c r="E126" s="81"/>
      <c r="F126" s="81"/>
      <c r="G126" s="81"/>
      <c r="H126" s="81"/>
      <c r="I126" s="81"/>
      <c r="J126" s="81"/>
      <c r="K126" s="81"/>
      <c r="L126" s="81"/>
      <c r="M126" s="113"/>
      <c r="N126" s="81"/>
      <c r="O126" s="102"/>
      <c r="P126" s="81"/>
      <c r="Q126" s="90"/>
      <c r="S126" s="80"/>
      <c r="T126" s="80"/>
      <c r="AB126" s="75"/>
    </row>
    <row r="127" spans="1:28" x14ac:dyDescent="0.25">
      <c r="A127" s="110"/>
      <c r="B127" s="107"/>
      <c r="C127" s="81"/>
      <c r="D127" s="81"/>
      <c r="E127" s="81"/>
      <c r="F127" s="81"/>
      <c r="G127" s="81"/>
      <c r="H127" s="81"/>
      <c r="I127" s="81"/>
      <c r="J127" s="81"/>
      <c r="K127" s="81"/>
      <c r="L127" s="81"/>
      <c r="M127" s="113"/>
      <c r="N127" s="81"/>
      <c r="O127" s="102"/>
      <c r="P127" s="81"/>
      <c r="Q127" s="90"/>
      <c r="S127" s="80"/>
      <c r="T127" s="80"/>
      <c r="AB127" s="75"/>
    </row>
    <row r="128" spans="1:28" x14ac:dyDescent="0.25">
      <c r="A128" s="110"/>
      <c r="B128" s="107"/>
      <c r="C128" s="81"/>
      <c r="D128" s="81"/>
      <c r="E128" s="81"/>
      <c r="F128" s="81"/>
      <c r="G128" s="81"/>
      <c r="H128" s="81"/>
      <c r="I128" s="81"/>
      <c r="J128" s="81"/>
      <c r="K128" s="81"/>
      <c r="L128" s="81"/>
      <c r="M128" s="113"/>
      <c r="N128" s="81"/>
      <c r="O128" s="102"/>
      <c r="P128" s="81"/>
      <c r="Q128" s="90"/>
      <c r="S128" s="80"/>
      <c r="T128" s="80"/>
      <c r="AB128" s="75"/>
    </row>
    <row r="129" spans="1:28" x14ac:dyDescent="0.25">
      <c r="A129" s="110"/>
      <c r="B129" s="107"/>
      <c r="C129" s="81"/>
      <c r="D129" s="81"/>
      <c r="E129" s="81"/>
      <c r="F129" s="81"/>
      <c r="G129" s="81"/>
      <c r="H129" s="81"/>
      <c r="I129" s="81"/>
      <c r="J129" s="81"/>
      <c r="K129" s="81"/>
      <c r="L129" s="81"/>
      <c r="M129" s="113"/>
      <c r="N129" s="81"/>
      <c r="O129" s="102"/>
      <c r="P129" s="81"/>
      <c r="Q129" s="90"/>
      <c r="S129" s="80"/>
      <c r="T129" s="80"/>
      <c r="AB129" s="75"/>
    </row>
    <row r="130" spans="1:28" x14ac:dyDescent="0.25">
      <c r="A130" s="110"/>
      <c r="B130" s="107"/>
      <c r="C130" s="81"/>
      <c r="D130" s="81"/>
      <c r="E130" s="81"/>
      <c r="F130" s="81"/>
      <c r="G130" s="81"/>
      <c r="H130" s="81"/>
      <c r="I130" s="81"/>
      <c r="J130" s="81"/>
      <c r="K130" s="81"/>
      <c r="L130" s="81"/>
      <c r="M130" s="113"/>
      <c r="N130" s="81"/>
      <c r="O130" s="102"/>
      <c r="P130" s="81"/>
      <c r="Q130" s="90"/>
      <c r="S130" s="80"/>
      <c r="T130" s="80"/>
      <c r="AB130" s="75"/>
    </row>
    <row r="131" spans="1:28" x14ac:dyDescent="0.25">
      <c r="A131" s="110"/>
      <c r="B131" s="107"/>
      <c r="C131" s="81"/>
      <c r="D131" s="81"/>
      <c r="E131" s="81"/>
      <c r="F131" s="81"/>
      <c r="G131" s="81"/>
      <c r="H131" s="81"/>
      <c r="I131" s="81"/>
      <c r="J131" s="81"/>
      <c r="K131" s="81"/>
      <c r="L131" s="81"/>
      <c r="M131" s="113"/>
      <c r="N131" s="81"/>
      <c r="O131" s="102"/>
      <c r="P131" s="81"/>
      <c r="Q131" s="90"/>
      <c r="S131" s="80"/>
      <c r="T131" s="80"/>
      <c r="AB131" s="75"/>
    </row>
    <row r="132" spans="1:28" x14ac:dyDescent="0.25">
      <c r="A132" s="110"/>
      <c r="B132" s="107"/>
      <c r="C132" s="81"/>
      <c r="D132" s="81"/>
      <c r="E132" s="81"/>
      <c r="F132" s="81"/>
      <c r="G132" s="81"/>
      <c r="H132" s="81"/>
      <c r="I132" s="81"/>
      <c r="J132" s="81"/>
      <c r="K132" s="81"/>
      <c r="L132" s="81"/>
      <c r="M132" s="113"/>
      <c r="N132" s="81"/>
      <c r="O132" s="102"/>
      <c r="P132" s="81"/>
      <c r="Q132" s="90"/>
      <c r="S132" s="80"/>
      <c r="T132" s="80"/>
      <c r="AB132" s="75"/>
    </row>
    <row r="133" spans="1:28" x14ac:dyDescent="0.25">
      <c r="A133" s="110"/>
      <c r="B133" s="107"/>
      <c r="C133" s="81"/>
      <c r="D133" s="81"/>
      <c r="E133" s="81"/>
      <c r="F133" s="81"/>
      <c r="G133" s="81"/>
      <c r="H133" s="81"/>
      <c r="I133" s="81"/>
      <c r="J133" s="81"/>
      <c r="K133" s="81"/>
      <c r="L133" s="81"/>
      <c r="M133" s="113"/>
      <c r="N133" s="81"/>
      <c r="O133" s="102"/>
      <c r="P133" s="81"/>
      <c r="Q133" s="90"/>
      <c r="S133" s="80"/>
      <c r="T133" s="80"/>
      <c r="AB133" s="75"/>
    </row>
    <row r="134" spans="1:28" x14ac:dyDescent="0.25">
      <c r="A134" s="110"/>
      <c r="B134" s="107"/>
      <c r="C134" s="81"/>
      <c r="D134" s="81"/>
      <c r="E134" s="81"/>
      <c r="F134" s="81"/>
      <c r="G134" s="81"/>
      <c r="H134" s="81"/>
      <c r="I134" s="81"/>
      <c r="J134" s="81"/>
      <c r="K134" s="81"/>
      <c r="L134" s="81"/>
      <c r="M134" s="113"/>
      <c r="N134" s="81"/>
      <c r="O134" s="102"/>
      <c r="P134" s="81"/>
      <c r="Q134" s="90"/>
      <c r="S134" s="80"/>
      <c r="T134" s="80"/>
      <c r="AB134" s="75"/>
    </row>
    <row r="135" spans="1:28" x14ac:dyDescent="0.25">
      <c r="A135" s="110"/>
      <c r="B135" s="107"/>
      <c r="C135" s="81"/>
      <c r="D135" s="81"/>
      <c r="E135" s="81"/>
      <c r="F135" s="81"/>
      <c r="G135" s="81"/>
      <c r="H135" s="81"/>
      <c r="I135" s="81"/>
      <c r="J135" s="81"/>
      <c r="K135" s="81"/>
      <c r="L135" s="81"/>
      <c r="M135" s="113"/>
      <c r="N135" s="81"/>
      <c r="O135" s="102"/>
      <c r="P135" s="81"/>
      <c r="Q135" s="90"/>
      <c r="S135" s="80"/>
      <c r="T135" s="80"/>
      <c r="AB135" s="75"/>
    </row>
    <row r="136" spans="1:28" x14ac:dyDescent="0.25">
      <c r="A136" s="110"/>
      <c r="B136" s="107"/>
      <c r="C136" s="81"/>
      <c r="D136" s="81"/>
      <c r="E136" s="81"/>
      <c r="F136" s="81"/>
      <c r="G136" s="81"/>
      <c r="H136" s="81"/>
      <c r="I136" s="81"/>
      <c r="J136" s="81"/>
      <c r="K136" s="81"/>
      <c r="L136" s="81"/>
      <c r="M136" s="113"/>
      <c r="N136" s="81"/>
      <c r="O136" s="102"/>
      <c r="P136" s="81"/>
      <c r="Q136" s="90"/>
      <c r="S136" s="80"/>
      <c r="T136" s="80"/>
      <c r="AB136" s="75"/>
    </row>
    <row r="137" spans="1:28" x14ac:dyDescent="0.25">
      <c r="A137" s="110"/>
      <c r="B137" s="107"/>
      <c r="C137" s="81"/>
      <c r="D137" s="81"/>
      <c r="E137" s="81"/>
      <c r="F137" s="81"/>
      <c r="G137" s="81"/>
      <c r="H137" s="81"/>
      <c r="I137" s="81"/>
      <c r="J137" s="81"/>
      <c r="K137" s="81"/>
      <c r="L137" s="81"/>
      <c r="M137" s="113"/>
      <c r="N137" s="81"/>
      <c r="O137" s="102"/>
      <c r="P137" s="81"/>
      <c r="Q137" s="90"/>
      <c r="S137" s="80"/>
      <c r="T137" s="80"/>
      <c r="AB137" s="75"/>
    </row>
    <row r="138" spans="1:28" x14ac:dyDescent="0.25">
      <c r="A138" s="110"/>
      <c r="B138" s="107"/>
      <c r="C138" s="81"/>
      <c r="D138" s="81"/>
      <c r="E138" s="81"/>
      <c r="F138" s="81"/>
      <c r="G138" s="81"/>
      <c r="H138" s="81"/>
      <c r="I138" s="81"/>
      <c r="J138" s="81"/>
      <c r="K138" s="81"/>
      <c r="L138" s="81"/>
      <c r="M138" s="113"/>
      <c r="N138" s="81"/>
      <c r="O138" s="102"/>
      <c r="P138" s="81"/>
      <c r="Q138" s="90"/>
      <c r="S138" s="80"/>
      <c r="T138" s="80"/>
      <c r="AB138" s="75"/>
    </row>
    <row r="139" spans="1:28" x14ac:dyDescent="0.25">
      <c r="A139" s="110"/>
      <c r="B139" s="107"/>
      <c r="C139" s="81"/>
      <c r="D139" s="81"/>
      <c r="E139" s="81"/>
      <c r="F139" s="81"/>
      <c r="G139" s="81"/>
      <c r="H139" s="81"/>
      <c r="I139" s="81"/>
      <c r="J139" s="81"/>
      <c r="K139" s="81"/>
      <c r="L139" s="81"/>
      <c r="M139" s="113"/>
      <c r="N139" s="81"/>
      <c r="O139" s="102"/>
      <c r="P139" s="81"/>
      <c r="Q139" s="90"/>
      <c r="S139" s="80"/>
      <c r="T139" s="80"/>
      <c r="AB139" s="75"/>
    </row>
    <row r="140" spans="1:28" x14ac:dyDescent="0.25">
      <c r="A140" s="110"/>
      <c r="B140" s="107"/>
      <c r="C140" s="81"/>
      <c r="D140" s="81"/>
      <c r="E140" s="81"/>
      <c r="F140" s="81"/>
      <c r="G140" s="81"/>
      <c r="H140" s="81"/>
      <c r="I140" s="81"/>
      <c r="J140" s="81"/>
      <c r="K140" s="81"/>
      <c r="L140" s="81"/>
      <c r="M140" s="113"/>
      <c r="N140" s="81"/>
      <c r="O140" s="102"/>
      <c r="P140" s="81"/>
      <c r="Q140" s="90"/>
      <c r="S140" s="80"/>
      <c r="T140" s="80"/>
      <c r="AB140" s="75"/>
    </row>
    <row r="141" spans="1:28" x14ac:dyDescent="0.25">
      <c r="A141" s="110"/>
      <c r="B141" s="107"/>
      <c r="C141" s="81"/>
      <c r="D141" s="81"/>
      <c r="E141" s="81"/>
      <c r="F141" s="81"/>
      <c r="G141" s="81"/>
      <c r="H141" s="81"/>
      <c r="I141" s="81"/>
      <c r="J141" s="81"/>
      <c r="K141" s="81"/>
      <c r="L141" s="81"/>
      <c r="M141" s="113"/>
      <c r="N141" s="81"/>
      <c r="O141" s="102"/>
      <c r="P141" s="81"/>
      <c r="Q141" s="90"/>
      <c r="S141" s="80"/>
      <c r="T141" s="80"/>
      <c r="AB141" s="75"/>
    </row>
    <row r="142" spans="1:28" x14ac:dyDescent="0.25">
      <c r="A142" s="110"/>
      <c r="B142" s="107"/>
      <c r="C142" s="81"/>
      <c r="D142" s="81"/>
      <c r="E142" s="81"/>
      <c r="F142" s="81"/>
      <c r="G142" s="81"/>
      <c r="H142" s="81"/>
      <c r="I142" s="81"/>
      <c r="J142" s="81"/>
      <c r="K142" s="81"/>
      <c r="L142" s="81"/>
      <c r="M142" s="113"/>
      <c r="N142" s="81"/>
      <c r="O142" s="102"/>
      <c r="P142" s="81"/>
      <c r="Q142" s="90"/>
      <c r="S142" s="80"/>
      <c r="T142" s="80"/>
      <c r="AB142" s="75"/>
    </row>
    <row r="143" spans="1:28" x14ac:dyDescent="0.25">
      <c r="A143" s="110"/>
      <c r="B143" s="107"/>
      <c r="C143" s="81"/>
      <c r="D143" s="81"/>
      <c r="E143" s="81"/>
      <c r="F143" s="81"/>
      <c r="G143" s="81"/>
      <c r="H143" s="81"/>
      <c r="I143" s="81"/>
      <c r="J143" s="81"/>
      <c r="K143" s="81"/>
      <c r="L143" s="81"/>
      <c r="M143" s="113"/>
      <c r="N143" s="81"/>
      <c r="O143" s="102"/>
      <c r="P143" s="81"/>
      <c r="Q143" s="90"/>
      <c r="S143" s="80"/>
      <c r="T143" s="80"/>
      <c r="AB143" s="75"/>
    </row>
    <row r="144" spans="1:28" x14ac:dyDescent="0.25">
      <c r="A144" s="110"/>
      <c r="B144" s="107"/>
      <c r="C144" s="81"/>
      <c r="D144" s="81"/>
      <c r="E144" s="81"/>
      <c r="F144" s="81"/>
      <c r="G144" s="81"/>
      <c r="H144" s="81"/>
      <c r="I144" s="81"/>
      <c r="J144" s="81"/>
      <c r="K144" s="81"/>
      <c r="L144" s="81"/>
      <c r="M144" s="113"/>
      <c r="N144" s="81"/>
      <c r="O144" s="102"/>
      <c r="P144" s="81"/>
      <c r="Q144" s="90"/>
      <c r="S144" s="80"/>
      <c r="T144" s="80"/>
      <c r="AB144" s="75"/>
    </row>
    <row r="145" spans="1:28" x14ac:dyDescent="0.25">
      <c r="A145" s="110"/>
      <c r="B145" s="107"/>
      <c r="C145" s="81"/>
      <c r="D145" s="81"/>
      <c r="E145" s="81"/>
      <c r="F145" s="81"/>
      <c r="G145" s="81"/>
      <c r="H145" s="81"/>
      <c r="I145" s="81"/>
      <c r="J145" s="81"/>
      <c r="K145" s="81"/>
      <c r="L145" s="81"/>
      <c r="M145" s="113"/>
      <c r="N145" s="81"/>
      <c r="O145" s="102"/>
      <c r="P145" s="81"/>
      <c r="Q145" s="90"/>
      <c r="S145" s="80"/>
      <c r="T145" s="80"/>
      <c r="AB145" s="75"/>
    </row>
    <row r="146" spans="1:28" x14ac:dyDescent="0.25">
      <c r="A146" s="110"/>
      <c r="B146" s="107"/>
      <c r="C146" s="81"/>
      <c r="D146" s="81"/>
      <c r="E146" s="81"/>
      <c r="F146" s="81"/>
      <c r="G146" s="81"/>
      <c r="H146" s="81"/>
      <c r="I146" s="81"/>
      <c r="J146" s="81"/>
      <c r="K146" s="81"/>
      <c r="L146" s="81"/>
      <c r="M146" s="113"/>
      <c r="N146" s="81"/>
      <c r="O146" s="102"/>
      <c r="P146" s="81"/>
      <c r="Q146" s="90"/>
      <c r="S146" s="80"/>
      <c r="T146" s="80"/>
      <c r="AB146" s="75"/>
    </row>
    <row r="147" spans="1:28" x14ac:dyDescent="0.25">
      <c r="A147" s="110"/>
      <c r="B147" s="107"/>
      <c r="C147" s="81"/>
      <c r="D147" s="81"/>
      <c r="E147" s="81"/>
      <c r="F147" s="81"/>
      <c r="G147" s="81"/>
      <c r="H147" s="81"/>
      <c r="I147" s="81"/>
      <c r="J147" s="81"/>
      <c r="K147" s="81"/>
      <c r="L147" s="81"/>
      <c r="M147" s="113"/>
      <c r="N147" s="81"/>
      <c r="O147" s="102"/>
      <c r="P147" s="81"/>
      <c r="Q147" s="90"/>
      <c r="S147" s="80"/>
      <c r="T147" s="80"/>
      <c r="AB147" s="75"/>
    </row>
    <row r="148" spans="1:28" x14ac:dyDescent="0.25">
      <c r="A148" s="110"/>
      <c r="B148" s="107"/>
      <c r="C148" s="81"/>
      <c r="D148" s="81"/>
      <c r="E148" s="81"/>
      <c r="F148" s="81"/>
      <c r="G148" s="81"/>
      <c r="H148" s="81"/>
      <c r="I148" s="81"/>
      <c r="J148" s="81"/>
      <c r="K148" s="81"/>
      <c r="L148" s="81"/>
      <c r="M148" s="113"/>
      <c r="N148" s="81"/>
      <c r="O148" s="102"/>
      <c r="P148" s="81"/>
      <c r="Q148" s="90"/>
      <c r="S148" s="80"/>
      <c r="T148" s="80"/>
      <c r="AB148" s="75"/>
    </row>
    <row r="149" spans="1:28" x14ac:dyDescent="0.25">
      <c r="A149" s="110"/>
      <c r="B149" s="107"/>
      <c r="C149" s="81"/>
      <c r="D149" s="81"/>
      <c r="E149" s="81"/>
      <c r="F149" s="81"/>
      <c r="G149" s="81"/>
      <c r="H149" s="81"/>
      <c r="I149" s="81"/>
      <c r="J149" s="81"/>
      <c r="K149" s="81"/>
      <c r="L149" s="81"/>
      <c r="M149" s="113"/>
      <c r="N149" s="81"/>
      <c r="O149" s="102"/>
      <c r="P149" s="81"/>
      <c r="Q149" s="90"/>
      <c r="S149" s="80"/>
      <c r="T149" s="80"/>
      <c r="AB149" s="75"/>
    </row>
    <row r="150" spans="1:28" x14ac:dyDescent="0.25">
      <c r="A150" s="110"/>
      <c r="B150" s="107"/>
      <c r="C150" s="81"/>
      <c r="D150" s="81"/>
      <c r="E150" s="81"/>
      <c r="F150" s="81"/>
      <c r="G150" s="81"/>
      <c r="H150" s="81"/>
      <c r="I150" s="81"/>
      <c r="J150" s="81"/>
      <c r="K150" s="81"/>
      <c r="L150" s="81"/>
      <c r="M150" s="113"/>
      <c r="N150" s="81"/>
      <c r="O150" s="102"/>
      <c r="P150" s="81"/>
      <c r="Q150" s="90"/>
      <c r="S150" s="80"/>
      <c r="T150" s="80"/>
      <c r="AB150" s="75"/>
    </row>
    <row r="151" spans="1:28" x14ac:dyDescent="0.25">
      <c r="A151" s="110"/>
      <c r="B151" s="107"/>
      <c r="C151" s="81"/>
      <c r="D151" s="81"/>
      <c r="E151" s="81"/>
      <c r="F151" s="81"/>
      <c r="G151" s="81"/>
      <c r="H151" s="81"/>
      <c r="I151" s="81"/>
      <c r="J151" s="81"/>
      <c r="K151" s="81"/>
      <c r="L151" s="81"/>
      <c r="M151" s="113"/>
      <c r="N151" s="81"/>
      <c r="O151" s="102"/>
      <c r="P151" s="81"/>
      <c r="Q151" s="90"/>
      <c r="S151" s="80"/>
      <c r="T151" s="80"/>
      <c r="AB151" s="75"/>
    </row>
    <row r="152" spans="1:28" x14ac:dyDescent="0.25">
      <c r="A152" s="110"/>
      <c r="B152" s="107"/>
      <c r="C152" s="81"/>
      <c r="D152" s="81"/>
      <c r="E152" s="81"/>
      <c r="F152" s="81"/>
      <c r="G152" s="81"/>
      <c r="H152" s="81"/>
      <c r="I152" s="81"/>
      <c r="J152" s="81"/>
      <c r="K152" s="81"/>
      <c r="L152" s="81"/>
      <c r="M152" s="113"/>
      <c r="N152" s="81"/>
      <c r="O152" s="102"/>
      <c r="P152" s="81"/>
      <c r="Q152" s="90"/>
      <c r="S152" s="80"/>
      <c r="T152" s="80"/>
      <c r="AB152" s="75"/>
    </row>
    <row r="153" spans="1:28" x14ac:dyDescent="0.25">
      <c r="A153" s="110"/>
      <c r="B153" s="107"/>
      <c r="C153" s="81"/>
      <c r="D153" s="81"/>
      <c r="E153" s="81"/>
      <c r="F153" s="81"/>
      <c r="G153" s="81"/>
      <c r="H153" s="81"/>
      <c r="I153" s="81"/>
      <c r="J153" s="81"/>
      <c r="K153" s="81"/>
      <c r="L153" s="81"/>
      <c r="M153" s="113"/>
      <c r="N153" s="81"/>
      <c r="O153" s="102"/>
      <c r="P153" s="81"/>
      <c r="Q153" s="90"/>
      <c r="S153" s="80"/>
      <c r="T153" s="80"/>
      <c r="AB153" s="75"/>
    </row>
    <row r="154" spans="1:28" x14ac:dyDescent="0.25">
      <c r="A154" s="110"/>
      <c r="B154" s="107"/>
      <c r="C154" s="81"/>
      <c r="D154" s="81"/>
      <c r="E154" s="81"/>
      <c r="F154" s="81"/>
      <c r="G154" s="81"/>
      <c r="H154" s="81"/>
      <c r="I154" s="81"/>
      <c r="J154" s="81"/>
      <c r="K154" s="81"/>
      <c r="L154" s="81"/>
      <c r="M154" s="113"/>
      <c r="N154" s="81"/>
      <c r="O154" s="102"/>
      <c r="P154" s="81"/>
      <c r="Q154" s="90"/>
      <c r="S154" s="80"/>
      <c r="T154" s="80"/>
      <c r="AB154" s="75"/>
    </row>
    <row r="155" spans="1:28" x14ac:dyDescent="0.25">
      <c r="A155" s="110"/>
      <c r="B155" s="107"/>
      <c r="C155" s="81"/>
      <c r="D155" s="81"/>
      <c r="E155" s="81"/>
      <c r="F155" s="81"/>
      <c r="G155" s="81"/>
      <c r="H155" s="81"/>
      <c r="I155" s="81"/>
      <c r="J155" s="81"/>
      <c r="K155" s="81"/>
      <c r="L155" s="81"/>
      <c r="M155" s="113"/>
      <c r="N155" s="81"/>
      <c r="O155" s="102"/>
      <c r="P155" s="81"/>
      <c r="Q155" s="90"/>
      <c r="S155" s="80"/>
      <c r="T155" s="80"/>
      <c r="AB155" s="75"/>
    </row>
    <row r="156" spans="1:28" x14ac:dyDescent="0.25">
      <c r="A156" s="110"/>
      <c r="B156" s="107"/>
      <c r="C156" s="81"/>
      <c r="D156" s="81"/>
      <c r="E156" s="81"/>
      <c r="F156" s="81"/>
      <c r="G156" s="81"/>
      <c r="H156" s="81"/>
      <c r="I156" s="81"/>
      <c r="J156" s="81"/>
      <c r="K156" s="81"/>
      <c r="L156" s="81"/>
      <c r="M156" s="113"/>
      <c r="N156" s="81"/>
      <c r="O156" s="102"/>
      <c r="P156" s="81"/>
      <c r="Q156" s="90"/>
      <c r="S156" s="80"/>
      <c r="T156" s="80"/>
      <c r="AB156" s="75"/>
    </row>
    <row r="157" spans="1:28" x14ac:dyDescent="0.25">
      <c r="A157" s="110"/>
      <c r="B157" s="107"/>
      <c r="C157" s="81"/>
      <c r="D157" s="81"/>
      <c r="E157" s="81"/>
      <c r="F157" s="81"/>
      <c r="G157" s="81"/>
      <c r="H157" s="81"/>
      <c r="I157" s="81"/>
      <c r="J157" s="81"/>
      <c r="K157" s="81"/>
      <c r="L157" s="81"/>
      <c r="M157" s="113"/>
      <c r="N157" s="81"/>
      <c r="O157" s="102"/>
      <c r="P157" s="81"/>
      <c r="Q157" s="90"/>
      <c r="S157" s="80"/>
      <c r="T157" s="80"/>
      <c r="AB157" s="75"/>
    </row>
    <row r="158" spans="1:28" x14ac:dyDescent="0.25">
      <c r="A158" s="110"/>
      <c r="B158" s="107"/>
      <c r="C158" s="81"/>
      <c r="D158" s="81"/>
      <c r="E158" s="81"/>
      <c r="F158" s="81"/>
      <c r="G158" s="81"/>
      <c r="H158" s="81"/>
      <c r="I158" s="81"/>
      <c r="J158" s="81"/>
      <c r="K158" s="81"/>
      <c r="L158" s="81"/>
      <c r="M158" s="113"/>
      <c r="N158" s="81"/>
      <c r="O158" s="102"/>
      <c r="P158" s="81"/>
      <c r="Q158" s="90"/>
      <c r="S158" s="80"/>
      <c r="T158" s="80"/>
      <c r="AB158" s="75"/>
    </row>
    <row r="159" spans="1:28" x14ac:dyDescent="0.25">
      <c r="A159" s="110"/>
      <c r="B159" s="107"/>
      <c r="C159" s="81"/>
      <c r="D159" s="81"/>
      <c r="E159" s="81"/>
      <c r="F159" s="81"/>
      <c r="G159" s="81"/>
      <c r="H159" s="81"/>
      <c r="I159" s="81"/>
      <c r="J159" s="81"/>
      <c r="K159" s="81"/>
      <c r="L159" s="81"/>
      <c r="M159" s="113"/>
      <c r="N159" s="81"/>
      <c r="O159" s="102"/>
      <c r="P159" s="81"/>
      <c r="Q159" s="90"/>
      <c r="S159" s="80"/>
      <c r="T159" s="80"/>
      <c r="AB159" s="75"/>
    </row>
    <row r="160" spans="1:28" x14ac:dyDescent="0.25">
      <c r="A160" s="110"/>
      <c r="B160" s="107"/>
      <c r="C160" s="81"/>
      <c r="D160" s="81"/>
      <c r="E160" s="81"/>
      <c r="F160" s="81"/>
      <c r="G160" s="81"/>
      <c r="H160" s="81"/>
      <c r="I160" s="81"/>
      <c r="J160" s="81"/>
      <c r="K160" s="81"/>
      <c r="L160" s="81"/>
      <c r="M160" s="113"/>
      <c r="N160" s="81"/>
      <c r="O160" s="102"/>
      <c r="P160" s="81"/>
      <c r="Q160" s="90"/>
      <c r="S160" s="80"/>
      <c r="T160" s="80"/>
      <c r="AB160" s="75"/>
    </row>
    <row r="161" spans="1:28" x14ac:dyDescent="0.25">
      <c r="A161" s="110"/>
      <c r="B161" s="107"/>
      <c r="C161" s="81"/>
      <c r="D161" s="81"/>
      <c r="E161" s="81"/>
      <c r="F161" s="81"/>
      <c r="G161" s="81"/>
      <c r="H161" s="81"/>
      <c r="I161" s="81"/>
      <c r="J161" s="81"/>
      <c r="K161" s="81"/>
      <c r="L161" s="81"/>
      <c r="M161" s="113"/>
      <c r="N161" s="81"/>
      <c r="O161" s="102"/>
      <c r="P161" s="81"/>
      <c r="Q161" s="90"/>
      <c r="S161" s="80"/>
      <c r="T161" s="80"/>
      <c r="AB161" s="75"/>
    </row>
    <row r="162" spans="1:28" x14ac:dyDescent="0.25">
      <c r="A162" s="110"/>
      <c r="B162" s="107"/>
      <c r="C162" s="81"/>
      <c r="D162" s="81"/>
      <c r="E162" s="81"/>
      <c r="F162" s="81"/>
      <c r="G162" s="81"/>
      <c r="H162" s="81"/>
      <c r="I162" s="81"/>
      <c r="J162" s="81"/>
      <c r="K162" s="81"/>
      <c r="L162" s="81"/>
      <c r="M162" s="113"/>
      <c r="N162" s="81"/>
      <c r="O162" s="102"/>
      <c r="P162" s="81"/>
      <c r="Q162" s="90"/>
      <c r="S162" s="80"/>
      <c r="T162" s="80"/>
      <c r="AB162" s="75"/>
    </row>
    <row r="163" spans="1:28" x14ac:dyDescent="0.25">
      <c r="A163" s="110"/>
      <c r="B163" s="107"/>
      <c r="C163" s="81"/>
      <c r="D163" s="81"/>
      <c r="E163" s="81"/>
      <c r="F163" s="81"/>
      <c r="G163" s="81"/>
      <c r="H163" s="81"/>
      <c r="I163" s="81"/>
      <c r="J163" s="81"/>
      <c r="K163" s="81"/>
      <c r="L163" s="81"/>
      <c r="M163" s="113"/>
      <c r="N163" s="81"/>
      <c r="O163" s="102"/>
      <c r="P163" s="81"/>
      <c r="Q163" s="90"/>
      <c r="S163" s="80"/>
      <c r="T163" s="80"/>
      <c r="AB163" s="75"/>
    </row>
    <row r="164" spans="1:28" x14ac:dyDescent="0.25">
      <c r="A164" s="110"/>
      <c r="B164" s="107"/>
      <c r="C164" s="81"/>
      <c r="D164" s="81"/>
      <c r="E164" s="81"/>
      <c r="F164" s="81"/>
      <c r="G164" s="81"/>
      <c r="H164" s="81"/>
      <c r="I164" s="81"/>
      <c r="J164" s="81"/>
      <c r="K164" s="81"/>
      <c r="L164" s="81"/>
      <c r="M164" s="113"/>
      <c r="N164" s="81"/>
      <c r="O164" s="102"/>
      <c r="P164" s="81"/>
      <c r="Q164" s="90"/>
      <c r="S164" s="80"/>
      <c r="T164" s="80"/>
      <c r="AB164" s="75"/>
    </row>
    <row r="165" spans="1:28" x14ac:dyDescent="0.25">
      <c r="A165" s="110"/>
      <c r="B165" s="107"/>
      <c r="C165" s="81"/>
      <c r="D165" s="81"/>
      <c r="E165" s="81"/>
      <c r="F165" s="81"/>
      <c r="G165" s="81"/>
      <c r="H165" s="81"/>
      <c r="I165" s="81"/>
      <c r="J165" s="81"/>
      <c r="K165" s="81"/>
      <c r="L165" s="81"/>
      <c r="M165" s="113"/>
      <c r="N165" s="81"/>
      <c r="O165" s="102"/>
      <c r="P165" s="81"/>
      <c r="Q165" s="90"/>
      <c r="S165" s="80"/>
      <c r="T165" s="80"/>
      <c r="AB165" s="75"/>
    </row>
    <row r="166" spans="1:28" x14ac:dyDescent="0.25">
      <c r="A166" s="110"/>
      <c r="B166" s="107"/>
      <c r="C166" s="81"/>
      <c r="D166" s="81"/>
      <c r="E166" s="81"/>
      <c r="F166" s="81"/>
      <c r="G166" s="81"/>
      <c r="H166" s="81"/>
      <c r="I166" s="81"/>
      <c r="J166" s="81"/>
      <c r="K166" s="81"/>
      <c r="L166" s="81"/>
      <c r="M166" s="113"/>
      <c r="N166" s="81"/>
      <c r="O166" s="102"/>
      <c r="P166" s="81"/>
      <c r="Q166" s="90"/>
      <c r="S166" s="80"/>
      <c r="T166" s="80"/>
      <c r="AB166" s="75"/>
    </row>
    <row r="167" spans="1:28" x14ac:dyDescent="0.25">
      <c r="A167" s="110"/>
      <c r="B167" s="107"/>
      <c r="C167" s="81"/>
      <c r="D167" s="81"/>
      <c r="E167" s="81"/>
      <c r="F167" s="81"/>
      <c r="G167" s="81"/>
      <c r="H167" s="81"/>
      <c r="I167" s="81"/>
      <c r="J167" s="81"/>
      <c r="K167" s="81"/>
      <c r="L167" s="81"/>
      <c r="M167" s="113"/>
      <c r="N167" s="81"/>
      <c r="O167" s="102"/>
      <c r="P167" s="81"/>
      <c r="Q167" s="90"/>
      <c r="S167" s="80"/>
      <c r="T167" s="80"/>
      <c r="AB167" s="75"/>
    </row>
    <row r="168" spans="1:28" x14ac:dyDescent="0.25">
      <c r="A168" s="110"/>
      <c r="B168" s="107"/>
      <c r="C168" s="81"/>
      <c r="D168" s="81"/>
      <c r="E168" s="81"/>
      <c r="F168" s="81"/>
      <c r="G168" s="81"/>
      <c r="H168" s="81"/>
      <c r="I168" s="81"/>
      <c r="J168" s="81"/>
      <c r="K168" s="81"/>
      <c r="L168" s="81"/>
      <c r="M168" s="113"/>
      <c r="N168" s="81"/>
      <c r="O168" s="102"/>
      <c r="P168" s="81"/>
      <c r="Q168" s="90"/>
      <c r="S168" s="80"/>
      <c r="T168" s="80"/>
      <c r="AB168" s="75"/>
    </row>
    <row r="169" spans="1:28" x14ac:dyDescent="0.25">
      <c r="A169" s="110"/>
      <c r="B169" s="107"/>
      <c r="C169" s="81"/>
      <c r="D169" s="81"/>
      <c r="E169" s="81"/>
      <c r="F169" s="81"/>
      <c r="G169" s="81"/>
      <c r="H169" s="81"/>
      <c r="I169" s="81"/>
      <c r="J169" s="81"/>
      <c r="K169" s="81"/>
      <c r="L169" s="81"/>
      <c r="M169" s="113"/>
      <c r="N169" s="81"/>
      <c r="O169" s="102"/>
      <c r="P169" s="81"/>
      <c r="Q169" s="90"/>
      <c r="S169" s="80"/>
      <c r="T169" s="80"/>
      <c r="AB169" s="75"/>
    </row>
    <row r="170" spans="1:28" x14ac:dyDescent="0.25">
      <c r="A170" s="110"/>
      <c r="B170" s="107"/>
      <c r="C170" s="81"/>
      <c r="D170" s="81"/>
      <c r="E170" s="81"/>
      <c r="F170" s="81"/>
      <c r="G170" s="81"/>
      <c r="H170" s="81"/>
      <c r="I170" s="81"/>
      <c r="J170" s="81"/>
      <c r="K170" s="81"/>
      <c r="L170" s="81"/>
      <c r="M170" s="113"/>
      <c r="N170" s="81"/>
      <c r="O170" s="102"/>
      <c r="P170" s="81"/>
      <c r="Q170" s="90"/>
      <c r="S170" s="80"/>
      <c r="T170" s="80"/>
      <c r="AB170" s="75"/>
    </row>
    <row r="171" spans="1:28" x14ac:dyDescent="0.25">
      <c r="A171" s="110"/>
      <c r="B171" s="107"/>
      <c r="C171" s="81"/>
      <c r="D171" s="81"/>
      <c r="E171" s="81"/>
      <c r="F171" s="81"/>
      <c r="G171" s="81"/>
      <c r="H171" s="81"/>
      <c r="I171" s="81"/>
      <c r="J171" s="81"/>
      <c r="K171" s="81"/>
      <c r="L171" s="81"/>
      <c r="M171" s="113"/>
      <c r="N171" s="81"/>
      <c r="O171" s="102"/>
      <c r="P171" s="81"/>
      <c r="Q171" s="90"/>
      <c r="S171" s="80"/>
      <c r="T171" s="80"/>
      <c r="AB171" s="75"/>
    </row>
    <row r="172" spans="1:28" x14ac:dyDescent="0.25">
      <c r="A172" s="110"/>
      <c r="B172" s="107"/>
      <c r="C172" s="81"/>
      <c r="D172" s="81"/>
      <c r="E172" s="81"/>
      <c r="F172" s="81"/>
      <c r="G172" s="81"/>
      <c r="H172" s="81"/>
      <c r="I172" s="81"/>
      <c r="J172" s="81"/>
      <c r="K172" s="81"/>
      <c r="L172" s="81"/>
      <c r="M172" s="113"/>
      <c r="N172" s="81"/>
      <c r="O172" s="102"/>
      <c r="P172" s="81"/>
      <c r="Q172" s="90"/>
      <c r="S172" s="80"/>
      <c r="T172" s="80"/>
      <c r="AB172" s="75"/>
    </row>
    <row r="173" spans="1:28" x14ac:dyDescent="0.25">
      <c r="A173" s="110"/>
      <c r="B173" s="107"/>
      <c r="C173" s="81"/>
      <c r="D173" s="81"/>
      <c r="E173" s="81"/>
      <c r="F173" s="81"/>
      <c r="G173" s="81"/>
      <c r="H173" s="81"/>
      <c r="I173" s="81"/>
      <c r="J173" s="81"/>
      <c r="K173" s="81"/>
      <c r="L173" s="81"/>
      <c r="M173" s="113"/>
      <c r="N173" s="81"/>
      <c r="O173" s="102"/>
      <c r="P173" s="81"/>
      <c r="Q173" s="90"/>
      <c r="S173" s="80"/>
      <c r="T173" s="80"/>
      <c r="AB173" s="75"/>
    </row>
    <row r="174" spans="1:28" x14ac:dyDescent="0.25">
      <c r="A174" s="110"/>
      <c r="B174" s="107"/>
      <c r="C174" s="81"/>
      <c r="D174" s="81"/>
      <c r="E174" s="81"/>
      <c r="F174" s="81"/>
      <c r="G174" s="81"/>
      <c r="H174" s="81"/>
      <c r="I174" s="81"/>
      <c r="J174" s="81"/>
      <c r="K174" s="81"/>
      <c r="L174" s="81"/>
      <c r="M174" s="113"/>
      <c r="N174" s="81"/>
      <c r="O174" s="102"/>
      <c r="P174" s="81"/>
      <c r="Q174" s="90"/>
      <c r="S174" s="80"/>
      <c r="T174" s="80"/>
      <c r="AB174" s="75"/>
    </row>
    <row r="175" spans="1:28" x14ac:dyDescent="0.25">
      <c r="A175" s="110"/>
      <c r="B175" s="107"/>
      <c r="C175" s="81"/>
      <c r="D175" s="81"/>
      <c r="E175" s="81"/>
      <c r="F175" s="81"/>
      <c r="G175" s="81"/>
      <c r="H175" s="81"/>
      <c r="I175" s="81"/>
      <c r="J175" s="81"/>
      <c r="K175" s="81"/>
      <c r="L175" s="81"/>
      <c r="M175" s="113"/>
      <c r="N175" s="81"/>
      <c r="O175" s="102"/>
      <c r="P175" s="81"/>
      <c r="Q175" s="90"/>
      <c r="S175" s="80"/>
      <c r="T175" s="80"/>
      <c r="AB175" s="75"/>
    </row>
    <row r="176" spans="1:28" x14ac:dyDescent="0.25">
      <c r="A176" s="110"/>
      <c r="B176" s="107"/>
      <c r="C176" s="81"/>
      <c r="D176" s="81"/>
      <c r="E176" s="81"/>
      <c r="F176" s="81"/>
      <c r="G176" s="81"/>
      <c r="H176" s="81"/>
      <c r="I176" s="81"/>
      <c r="J176" s="81"/>
      <c r="K176" s="81"/>
      <c r="L176" s="81"/>
      <c r="M176" s="113"/>
      <c r="N176" s="81"/>
      <c r="O176" s="102"/>
      <c r="P176" s="81"/>
      <c r="Q176" s="90"/>
      <c r="S176" s="80"/>
      <c r="T176" s="80"/>
      <c r="AB176" s="75"/>
    </row>
    <row r="177" spans="1:28" x14ac:dyDescent="0.25">
      <c r="A177" s="110"/>
      <c r="B177" s="107"/>
      <c r="C177" s="81"/>
      <c r="D177" s="81"/>
      <c r="E177" s="81"/>
      <c r="F177" s="81"/>
      <c r="G177" s="81"/>
      <c r="H177" s="81"/>
      <c r="I177" s="81"/>
      <c r="J177" s="81"/>
      <c r="K177" s="81"/>
      <c r="L177" s="81"/>
      <c r="M177" s="113"/>
      <c r="N177" s="81"/>
      <c r="O177" s="102"/>
      <c r="P177" s="81"/>
      <c r="Q177" s="90"/>
      <c r="S177" s="80"/>
      <c r="T177" s="80"/>
      <c r="AB177" s="75"/>
    </row>
    <row r="178" spans="1:28" x14ac:dyDescent="0.25">
      <c r="A178" s="110"/>
      <c r="B178" s="107"/>
      <c r="C178" s="81"/>
      <c r="D178" s="81"/>
      <c r="E178" s="81"/>
      <c r="F178" s="81"/>
      <c r="G178" s="81"/>
      <c r="H178" s="81"/>
      <c r="I178" s="81"/>
      <c r="J178" s="81"/>
      <c r="K178" s="81"/>
      <c r="L178" s="81"/>
      <c r="M178" s="113"/>
      <c r="N178" s="81"/>
      <c r="O178" s="102"/>
      <c r="P178" s="81"/>
      <c r="Q178" s="90"/>
      <c r="S178" s="80"/>
      <c r="T178" s="80"/>
      <c r="AB178" s="75"/>
    </row>
    <row r="179" spans="1:28" x14ac:dyDescent="0.25">
      <c r="A179" s="110"/>
      <c r="B179" s="107"/>
      <c r="C179" s="81"/>
      <c r="D179" s="81"/>
      <c r="E179" s="81"/>
      <c r="F179" s="81"/>
      <c r="G179" s="81"/>
      <c r="H179" s="81"/>
      <c r="I179" s="81"/>
      <c r="J179" s="81"/>
      <c r="K179" s="81"/>
      <c r="L179" s="81"/>
      <c r="M179" s="113"/>
      <c r="N179" s="81"/>
      <c r="O179" s="102"/>
      <c r="P179" s="81"/>
      <c r="Q179" s="90"/>
      <c r="S179" s="80"/>
      <c r="T179" s="80"/>
      <c r="AB179" s="75"/>
    </row>
    <row r="180" spans="1:28" x14ac:dyDescent="0.25">
      <c r="A180" s="110"/>
      <c r="B180" s="107"/>
      <c r="C180" s="81"/>
      <c r="D180" s="81"/>
      <c r="E180" s="81"/>
      <c r="F180" s="81"/>
      <c r="G180" s="81"/>
      <c r="H180" s="81"/>
      <c r="I180" s="81"/>
      <c r="J180" s="81"/>
      <c r="K180" s="81"/>
      <c r="L180" s="81"/>
      <c r="M180" s="113"/>
      <c r="N180" s="81"/>
      <c r="O180" s="102"/>
      <c r="P180" s="81"/>
      <c r="Q180" s="90"/>
      <c r="S180" s="80"/>
      <c r="T180" s="80"/>
      <c r="AB180" s="75"/>
    </row>
    <row r="181" spans="1:28" x14ac:dyDescent="0.25">
      <c r="A181" s="110"/>
      <c r="B181" s="107"/>
      <c r="C181" s="81"/>
      <c r="D181" s="81"/>
      <c r="E181" s="81"/>
      <c r="F181" s="81"/>
      <c r="G181" s="81"/>
      <c r="H181" s="81"/>
      <c r="I181" s="81"/>
      <c r="J181" s="81"/>
      <c r="K181" s="81"/>
      <c r="L181" s="81"/>
      <c r="M181" s="113"/>
      <c r="N181" s="81"/>
      <c r="O181" s="102"/>
      <c r="P181" s="81"/>
      <c r="Q181" s="90"/>
      <c r="S181" s="80"/>
      <c r="T181" s="80"/>
      <c r="AB181" s="75"/>
    </row>
    <row r="182" spans="1:28" x14ac:dyDescent="0.25">
      <c r="A182" s="110"/>
      <c r="B182" s="107"/>
      <c r="C182" s="81"/>
      <c r="D182" s="81"/>
      <c r="E182" s="81"/>
      <c r="F182" s="81"/>
      <c r="G182" s="81"/>
      <c r="H182" s="81"/>
      <c r="I182" s="81"/>
      <c r="J182" s="81"/>
      <c r="K182" s="81"/>
      <c r="L182" s="81"/>
      <c r="M182" s="113"/>
      <c r="N182" s="81"/>
      <c r="O182" s="102"/>
      <c r="P182" s="81"/>
      <c r="Q182" s="90"/>
      <c r="S182" s="80"/>
      <c r="T182" s="80"/>
      <c r="AB182" s="75"/>
    </row>
    <row r="183" spans="1:28" x14ac:dyDescent="0.25">
      <c r="A183" s="110"/>
      <c r="B183" s="107"/>
      <c r="C183" s="81"/>
      <c r="D183" s="81"/>
      <c r="E183" s="81"/>
      <c r="F183" s="81"/>
      <c r="G183" s="81"/>
      <c r="H183" s="81"/>
      <c r="I183" s="81"/>
      <c r="J183" s="81"/>
      <c r="K183" s="81"/>
      <c r="L183" s="81"/>
      <c r="M183" s="113"/>
      <c r="N183" s="81"/>
      <c r="O183" s="102"/>
      <c r="P183" s="81"/>
      <c r="Q183" s="90"/>
      <c r="S183" s="80"/>
      <c r="T183" s="80"/>
      <c r="AB183" s="75"/>
    </row>
    <row r="184" spans="1:28" x14ac:dyDescent="0.25">
      <c r="A184" s="110"/>
      <c r="B184" s="107"/>
      <c r="C184" s="81"/>
      <c r="D184" s="81"/>
      <c r="E184" s="81"/>
      <c r="F184" s="81"/>
      <c r="G184" s="81"/>
      <c r="H184" s="81"/>
      <c r="I184" s="81"/>
      <c r="J184" s="81"/>
      <c r="K184" s="81"/>
      <c r="L184" s="81"/>
      <c r="M184" s="113"/>
      <c r="N184" s="81"/>
      <c r="O184" s="102"/>
      <c r="P184" s="81"/>
      <c r="Q184" s="90"/>
      <c r="S184" s="80"/>
      <c r="T184" s="80"/>
      <c r="AB184" s="75"/>
    </row>
    <row r="185" spans="1:28" x14ac:dyDescent="0.25">
      <c r="A185" s="110"/>
      <c r="B185" s="107"/>
      <c r="C185" s="81"/>
      <c r="D185" s="81"/>
      <c r="E185" s="81"/>
      <c r="F185" s="81"/>
      <c r="G185" s="81"/>
      <c r="H185" s="81"/>
      <c r="I185" s="81"/>
      <c r="J185" s="81"/>
      <c r="K185" s="81"/>
      <c r="L185" s="81"/>
      <c r="M185" s="113"/>
      <c r="N185" s="81"/>
      <c r="O185" s="102"/>
      <c r="P185" s="81"/>
      <c r="Q185" s="90"/>
      <c r="S185" s="80"/>
      <c r="T185" s="80"/>
      <c r="AB185" s="75"/>
    </row>
    <row r="186" spans="1:28" x14ac:dyDescent="0.25">
      <c r="A186" s="110"/>
      <c r="B186" s="107"/>
      <c r="C186" s="81"/>
      <c r="D186" s="81"/>
      <c r="E186" s="81"/>
      <c r="F186" s="81"/>
      <c r="G186" s="81"/>
      <c r="H186" s="81"/>
      <c r="I186" s="81"/>
      <c r="J186" s="81"/>
      <c r="K186" s="81"/>
      <c r="L186" s="81"/>
      <c r="M186" s="113"/>
      <c r="N186" s="81"/>
      <c r="O186" s="102"/>
      <c r="P186" s="81"/>
      <c r="Q186" s="90"/>
      <c r="S186" s="80"/>
      <c r="T186" s="80"/>
      <c r="AB186" s="75"/>
    </row>
    <row r="187" spans="1:28" x14ac:dyDescent="0.25">
      <c r="A187" s="110"/>
      <c r="B187" s="107"/>
      <c r="C187" s="81"/>
      <c r="D187" s="81"/>
      <c r="E187" s="81"/>
      <c r="F187" s="81"/>
      <c r="G187" s="81"/>
      <c r="H187" s="81"/>
      <c r="I187" s="81"/>
      <c r="J187" s="81"/>
      <c r="K187" s="81"/>
      <c r="L187" s="81"/>
      <c r="M187" s="113"/>
      <c r="N187" s="81"/>
      <c r="O187" s="102"/>
      <c r="P187" s="81"/>
      <c r="Q187" s="90"/>
      <c r="S187" s="80"/>
      <c r="T187" s="80"/>
      <c r="AB187" s="75"/>
    </row>
    <row r="188" spans="1:28" x14ac:dyDescent="0.25">
      <c r="A188" s="110"/>
      <c r="B188" s="107"/>
      <c r="C188" s="81"/>
      <c r="D188" s="81"/>
      <c r="E188" s="81"/>
      <c r="F188" s="81"/>
      <c r="G188" s="81"/>
      <c r="H188" s="81"/>
      <c r="I188" s="81"/>
      <c r="J188" s="81"/>
      <c r="K188" s="81"/>
      <c r="L188" s="81"/>
      <c r="M188" s="113"/>
      <c r="N188" s="81"/>
      <c r="O188" s="102"/>
      <c r="P188" s="81"/>
      <c r="Q188" s="90"/>
      <c r="S188" s="80"/>
      <c r="T188" s="80"/>
      <c r="AB188" s="75"/>
    </row>
    <row r="189" spans="1:28" x14ac:dyDescent="0.25">
      <c r="A189" s="110"/>
      <c r="B189" s="107"/>
      <c r="C189" s="81"/>
      <c r="D189" s="81"/>
      <c r="E189" s="81"/>
      <c r="F189" s="81"/>
      <c r="G189" s="81"/>
      <c r="H189" s="81"/>
      <c r="I189" s="81"/>
      <c r="J189" s="81"/>
      <c r="K189" s="81"/>
      <c r="L189" s="81"/>
      <c r="M189" s="113"/>
      <c r="N189" s="81"/>
      <c r="O189" s="102"/>
      <c r="P189" s="81"/>
      <c r="Q189" s="90"/>
      <c r="S189" s="80"/>
      <c r="T189" s="80"/>
      <c r="AB189" s="75"/>
    </row>
    <row r="190" spans="1:28" x14ac:dyDescent="0.25">
      <c r="A190" s="110"/>
      <c r="B190" s="107"/>
      <c r="C190" s="81"/>
      <c r="D190" s="81"/>
      <c r="E190" s="81"/>
      <c r="F190" s="81"/>
      <c r="G190" s="81"/>
      <c r="H190" s="81"/>
      <c r="I190" s="81"/>
      <c r="J190" s="81"/>
      <c r="K190" s="81"/>
      <c r="L190" s="81"/>
      <c r="M190" s="113"/>
      <c r="N190" s="81"/>
      <c r="O190" s="102"/>
      <c r="P190" s="81"/>
      <c r="Q190" s="90"/>
      <c r="S190" s="80"/>
      <c r="T190" s="80"/>
      <c r="AB190" s="75"/>
    </row>
    <row r="191" spans="1:28" x14ac:dyDescent="0.25">
      <c r="A191" s="110"/>
      <c r="B191" s="107"/>
      <c r="C191" s="81"/>
      <c r="D191" s="81"/>
      <c r="E191" s="81"/>
      <c r="F191" s="81"/>
      <c r="G191" s="81"/>
      <c r="H191" s="81"/>
      <c r="I191" s="81"/>
      <c r="J191" s="81"/>
      <c r="K191" s="81"/>
      <c r="L191" s="81"/>
      <c r="M191" s="113"/>
      <c r="N191" s="81"/>
      <c r="O191" s="102"/>
      <c r="P191" s="81"/>
      <c r="Q191" s="90"/>
      <c r="S191" s="80"/>
      <c r="T191" s="80"/>
      <c r="AB191" s="75"/>
    </row>
    <row r="192" spans="1:28" x14ac:dyDescent="0.25">
      <c r="A192" s="110"/>
      <c r="B192" s="107"/>
      <c r="C192" s="81"/>
      <c r="D192" s="81"/>
      <c r="E192" s="81"/>
      <c r="F192" s="81"/>
      <c r="G192" s="81"/>
      <c r="H192" s="81"/>
      <c r="I192" s="81"/>
      <c r="J192" s="81"/>
      <c r="K192" s="81"/>
      <c r="L192" s="81"/>
      <c r="M192" s="113"/>
      <c r="N192" s="81"/>
      <c r="O192" s="102"/>
      <c r="P192" s="81"/>
      <c r="Q192" s="90"/>
      <c r="S192" s="80"/>
      <c r="T192" s="80"/>
      <c r="AB192" s="75"/>
    </row>
    <row r="193" spans="1:28" x14ac:dyDescent="0.25">
      <c r="A193" s="110"/>
      <c r="B193" s="107"/>
      <c r="C193" s="81"/>
      <c r="D193" s="81"/>
      <c r="E193" s="81"/>
      <c r="F193" s="81"/>
      <c r="G193" s="81"/>
      <c r="H193" s="81"/>
      <c r="I193" s="81"/>
      <c r="J193" s="81"/>
      <c r="K193" s="81"/>
      <c r="L193" s="81"/>
      <c r="M193" s="113"/>
      <c r="N193" s="81"/>
      <c r="O193" s="102"/>
      <c r="P193" s="81"/>
      <c r="Q193" s="90"/>
      <c r="S193" s="80"/>
      <c r="T193" s="80"/>
      <c r="AB193" s="75"/>
    </row>
    <row r="194" spans="1:28" x14ac:dyDescent="0.25">
      <c r="A194" s="110"/>
      <c r="B194" s="107"/>
      <c r="C194" s="81"/>
      <c r="D194" s="81"/>
      <c r="E194" s="81"/>
      <c r="F194" s="81"/>
      <c r="G194" s="81"/>
      <c r="H194" s="81"/>
      <c r="I194" s="81"/>
      <c r="J194" s="81"/>
      <c r="K194" s="81"/>
      <c r="L194" s="81"/>
      <c r="M194" s="113"/>
      <c r="N194" s="81"/>
      <c r="O194" s="102"/>
      <c r="P194" s="81"/>
      <c r="Q194" s="90"/>
      <c r="S194" s="80"/>
      <c r="T194" s="80"/>
      <c r="AB194" s="75"/>
    </row>
    <row r="195" spans="1:28" x14ac:dyDescent="0.25">
      <c r="A195" s="110"/>
      <c r="B195" s="107"/>
      <c r="C195" s="81"/>
      <c r="D195" s="81"/>
      <c r="E195" s="81"/>
      <c r="F195" s="81"/>
      <c r="G195" s="81"/>
      <c r="H195" s="81"/>
      <c r="I195" s="81"/>
      <c r="J195" s="81"/>
      <c r="K195" s="81"/>
      <c r="L195" s="81"/>
      <c r="M195" s="113"/>
      <c r="N195" s="81"/>
      <c r="O195" s="102"/>
      <c r="P195" s="81"/>
      <c r="Q195" s="90"/>
      <c r="S195" s="80"/>
      <c r="T195" s="80"/>
      <c r="AB195" s="75"/>
    </row>
    <row r="196" spans="1:28" x14ac:dyDescent="0.25">
      <c r="A196" s="110"/>
      <c r="B196" s="107"/>
      <c r="C196" s="81"/>
      <c r="D196" s="81"/>
      <c r="E196" s="81"/>
      <c r="F196" s="81"/>
      <c r="G196" s="81"/>
      <c r="H196" s="81"/>
      <c r="I196" s="81"/>
      <c r="J196" s="81"/>
      <c r="K196" s="81"/>
      <c r="L196" s="81"/>
      <c r="M196" s="113"/>
      <c r="N196" s="81"/>
      <c r="O196" s="102"/>
      <c r="P196" s="81"/>
      <c r="Q196" s="90"/>
      <c r="S196" s="80"/>
      <c r="T196" s="80"/>
      <c r="AB196" s="75"/>
    </row>
    <row r="197" spans="1:28" x14ac:dyDescent="0.25">
      <c r="A197" s="110"/>
      <c r="B197" s="107"/>
      <c r="C197" s="81"/>
      <c r="D197" s="81"/>
      <c r="E197" s="81"/>
      <c r="F197" s="81"/>
      <c r="G197" s="81"/>
      <c r="H197" s="81"/>
      <c r="I197" s="81"/>
      <c r="J197" s="81"/>
      <c r="K197" s="81"/>
      <c r="L197" s="81"/>
      <c r="M197" s="113"/>
      <c r="N197" s="81"/>
      <c r="O197" s="102"/>
      <c r="P197" s="81"/>
      <c r="Q197" s="90"/>
      <c r="S197" s="80"/>
      <c r="T197" s="80"/>
      <c r="AB197" s="75"/>
    </row>
    <row r="198" spans="1:28" x14ac:dyDescent="0.25">
      <c r="A198" s="110"/>
      <c r="B198" s="107"/>
      <c r="C198" s="81"/>
      <c r="D198" s="81"/>
      <c r="E198" s="81"/>
      <c r="F198" s="81"/>
      <c r="G198" s="81"/>
      <c r="H198" s="81"/>
      <c r="I198" s="81"/>
      <c r="J198" s="81"/>
      <c r="K198" s="81"/>
      <c r="L198" s="81"/>
      <c r="M198" s="113"/>
      <c r="N198" s="81"/>
      <c r="O198" s="102"/>
      <c r="P198" s="81"/>
      <c r="Q198" s="90"/>
      <c r="S198" s="80"/>
      <c r="T198" s="80"/>
      <c r="AB198" s="75"/>
    </row>
    <row r="199" spans="1:28" x14ac:dyDescent="0.25">
      <c r="A199" s="110"/>
      <c r="B199" s="107"/>
      <c r="C199" s="81"/>
      <c r="D199" s="81"/>
      <c r="E199" s="81"/>
      <c r="F199" s="81"/>
      <c r="G199" s="81"/>
      <c r="H199" s="81"/>
      <c r="I199" s="81"/>
      <c r="J199" s="81"/>
      <c r="K199" s="81"/>
      <c r="L199" s="81"/>
      <c r="M199" s="113"/>
      <c r="N199" s="81"/>
      <c r="O199" s="102"/>
      <c r="P199" s="81"/>
      <c r="Q199" s="90"/>
      <c r="S199" s="80"/>
      <c r="T199" s="80"/>
      <c r="AB199" s="75"/>
    </row>
    <row r="200" spans="1:28" x14ac:dyDescent="0.25">
      <c r="A200" s="110"/>
      <c r="B200" s="107"/>
      <c r="C200" s="81"/>
      <c r="D200" s="81"/>
      <c r="E200" s="81"/>
      <c r="F200" s="81"/>
      <c r="G200" s="81"/>
      <c r="H200" s="81"/>
      <c r="I200" s="81"/>
      <c r="J200" s="81"/>
      <c r="K200" s="81"/>
      <c r="L200" s="81"/>
      <c r="M200" s="113"/>
      <c r="N200" s="81"/>
      <c r="O200" s="102"/>
      <c r="P200" s="81"/>
      <c r="Q200" s="90"/>
      <c r="S200" s="80"/>
      <c r="T200" s="80"/>
      <c r="AB200" s="75"/>
    </row>
    <row r="201" spans="1:28" x14ac:dyDescent="0.25">
      <c r="A201" s="110"/>
      <c r="B201" s="107"/>
      <c r="C201" s="81"/>
      <c r="D201" s="81"/>
      <c r="E201" s="81"/>
      <c r="F201" s="81"/>
      <c r="G201" s="81"/>
      <c r="H201" s="81"/>
      <c r="I201" s="81"/>
      <c r="J201" s="81"/>
      <c r="K201" s="81"/>
      <c r="L201" s="81"/>
      <c r="M201" s="113"/>
      <c r="N201" s="81"/>
      <c r="O201" s="102"/>
      <c r="P201" s="81"/>
      <c r="Q201" s="90"/>
      <c r="S201" s="80"/>
      <c r="T201" s="80"/>
      <c r="AB201" s="75"/>
    </row>
    <row r="202" spans="1:28" x14ac:dyDescent="0.25">
      <c r="A202" s="110"/>
      <c r="B202" s="107"/>
      <c r="C202" s="81"/>
      <c r="D202" s="81"/>
      <c r="E202" s="81"/>
      <c r="F202" s="81"/>
      <c r="G202" s="81"/>
      <c r="H202" s="81"/>
      <c r="I202" s="81"/>
      <c r="J202" s="81"/>
      <c r="K202" s="81"/>
      <c r="L202" s="81"/>
      <c r="M202" s="113"/>
      <c r="N202" s="81"/>
      <c r="O202" s="102"/>
      <c r="P202" s="81"/>
      <c r="Q202" s="90"/>
      <c r="S202" s="80"/>
      <c r="T202" s="80"/>
      <c r="AB202" s="75"/>
    </row>
    <row r="203" spans="1:28" x14ac:dyDescent="0.25">
      <c r="A203" s="110"/>
      <c r="B203" s="107"/>
      <c r="C203" s="81"/>
      <c r="D203" s="81"/>
      <c r="E203" s="81"/>
      <c r="F203" s="81"/>
      <c r="G203" s="81"/>
      <c r="H203" s="81"/>
      <c r="I203" s="81"/>
      <c r="J203" s="81"/>
      <c r="K203" s="81"/>
      <c r="L203" s="81"/>
      <c r="M203" s="113"/>
      <c r="N203" s="81"/>
      <c r="O203" s="102"/>
      <c r="P203" s="81"/>
      <c r="Q203" s="90"/>
      <c r="S203" s="80"/>
      <c r="T203" s="80"/>
      <c r="AB203" s="75"/>
    </row>
    <row r="204" spans="1:28" x14ac:dyDescent="0.25">
      <c r="A204" s="110"/>
      <c r="B204" s="107"/>
      <c r="C204" s="81"/>
      <c r="D204" s="81"/>
      <c r="E204" s="81"/>
      <c r="F204" s="81"/>
      <c r="G204" s="81"/>
      <c r="H204" s="81"/>
      <c r="I204" s="81"/>
      <c r="J204" s="81"/>
      <c r="K204" s="81"/>
      <c r="L204" s="81"/>
      <c r="M204" s="113"/>
      <c r="N204" s="81"/>
      <c r="O204" s="102"/>
      <c r="P204" s="81"/>
      <c r="Q204" s="90"/>
      <c r="S204" s="80"/>
      <c r="T204" s="80"/>
      <c r="AB204" s="75"/>
    </row>
    <row r="205" spans="1:28" x14ac:dyDescent="0.25">
      <c r="A205" s="110"/>
      <c r="B205" s="107"/>
      <c r="C205" s="81"/>
      <c r="D205" s="81"/>
      <c r="E205" s="81"/>
      <c r="F205" s="81"/>
      <c r="G205" s="81"/>
      <c r="H205" s="81"/>
      <c r="I205" s="81"/>
      <c r="J205" s="81"/>
      <c r="K205" s="81"/>
      <c r="L205" s="81"/>
      <c r="M205" s="113"/>
      <c r="N205" s="81"/>
      <c r="O205" s="102"/>
      <c r="P205" s="81"/>
      <c r="Q205" s="90"/>
      <c r="S205" s="80"/>
      <c r="T205" s="80"/>
      <c r="AB205" s="75"/>
    </row>
    <row r="206" spans="1:28" x14ac:dyDescent="0.25">
      <c r="A206" s="110"/>
      <c r="B206" s="107"/>
      <c r="C206" s="81"/>
      <c r="D206" s="81"/>
      <c r="E206" s="81"/>
      <c r="F206" s="81"/>
      <c r="G206" s="81"/>
      <c r="H206" s="81"/>
      <c r="I206" s="81"/>
      <c r="J206" s="81"/>
      <c r="K206" s="81"/>
      <c r="L206" s="81"/>
      <c r="M206" s="113"/>
      <c r="N206" s="81"/>
      <c r="O206" s="102"/>
      <c r="P206" s="81"/>
      <c r="Q206" s="90"/>
      <c r="S206" s="80"/>
      <c r="T206" s="80"/>
      <c r="AB206" s="75"/>
    </row>
    <row r="207" spans="1:28" x14ac:dyDescent="0.25">
      <c r="A207" s="110"/>
      <c r="B207" s="107"/>
      <c r="C207" s="81"/>
      <c r="D207" s="81"/>
      <c r="E207" s="81"/>
      <c r="F207" s="81"/>
      <c r="G207" s="81"/>
      <c r="H207" s="81"/>
      <c r="I207" s="81"/>
      <c r="J207" s="81"/>
      <c r="K207" s="81"/>
      <c r="L207" s="81"/>
      <c r="M207" s="113"/>
      <c r="N207" s="81"/>
      <c r="O207" s="102"/>
      <c r="P207" s="81"/>
      <c r="Q207" s="90"/>
      <c r="S207" s="80"/>
      <c r="T207" s="80"/>
      <c r="AB207" s="75"/>
    </row>
    <row r="208" spans="1:28" x14ac:dyDescent="0.25">
      <c r="A208" s="110"/>
      <c r="B208" s="107"/>
      <c r="C208" s="81"/>
      <c r="D208" s="81"/>
      <c r="E208" s="81"/>
      <c r="F208" s="81"/>
      <c r="G208" s="81"/>
      <c r="H208" s="81"/>
      <c r="I208" s="81"/>
      <c r="J208" s="81"/>
      <c r="K208" s="81"/>
      <c r="L208" s="81"/>
      <c r="M208" s="113"/>
      <c r="N208" s="81"/>
      <c r="O208" s="102"/>
      <c r="P208" s="81"/>
      <c r="Q208" s="90"/>
      <c r="S208" s="80"/>
      <c r="T208" s="80"/>
      <c r="AB208" s="75"/>
    </row>
    <row r="209" spans="1:28" x14ac:dyDescent="0.25">
      <c r="A209" s="110"/>
      <c r="B209" s="107"/>
      <c r="C209" s="81"/>
      <c r="D209" s="81"/>
      <c r="E209" s="81"/>
      <c r="F209" s="81"/>
      <c r="G209" s="81"/>
      <c r="H209" s="81"/>
      <c r="I209" s="81"/>
      <c r="J209" s="81"/>
      <c r="K209" s="81"/>
      <c r="L209" s="81"/>
      <c r="M209" s="113"/>
      <c r="N209" s="81"/>
      <c r="O209" s="102"/>
      <c r="P209" s="81"/>
      <c r="Q209" s="90"/>
      <c r="S209" s="80"/>
      <c r="T209" s="80"/>
      <c r="AB209" s="75"/>
    </row>
    <row r="210" spans="1:28" x14ac:dyDescent="0.25">
      <c r="A210" s="110"/>
      <c r="B210" s="107"/>
      <c r="C210" s="81"/>
      <c r="D210" s="81"/>
      <c r="E210" s="81"/>
      <c r="F210" s="81"/>
      <c r="G210" s="81"/>
      <c r="H210" s="81"/>
      <c r="I210" s="81"/>
      <c r="J210" s="81"/>
      <c r="K210" s="81"/>
      <c r="L210" s="81"/>
      <c r="M210" s="113"/>
      <c r="N210" s="81"/>
      <c r="O210" s="102"/>
      <c r="P210" s="81"/>
      <c r="Q210" s="90"/>
      <c r="S210" s="80"/>
      <c r="T210" s="80"/>
      <c r="AB210" s="75"/>
    </row>
    <row r="211" spans="1:28" x14ac:dyDescent="0.25">
      <c r="A211" s="110"/>
      <c r="B211" s="107"/>
      <c r="C211" s="81"/>
      <c r="D211" s="81"/>
      <c r="E211" s="81"/>
      <c r="F211" s="81"/>
      <c r="G211" s="81"/>
      <c r="H211" s="81"/>
      <c r="I211" s="81"/>
      <c r="J211" s="81"/>
      <c r="K211" s="81"/>
      <c r="L211" s="81"/>
      <c r="M211" s="113"/>
      <c r="N211" s="81"/>
      <c r="O211" s="102"/>
      <c r="P211" s="81"/>
      <c r="Q211" s="90"/>
      <c r="S211" s="80"/>
      <c r="T211" s="80"/>
      <c r="AB211" s="75"/>
    </row>
    <row r="212" spans="1:28" x14ac:dyDescent="0.25">
      <c r="A212" s="110"/>
      <c r="B212" s="107"/>
      <c r="C212" s="81"/>
      <c r="D212" s="81"/>
      <c r="E212" s="81"/>
      <c r="F212" s="81"/>
      <c r="G212" s="81"/>
      <c r="H212" s="81"/>
      <c r="I212" s="81"/>
      <c r="J212" s="81"/>
      <c r="K212" s="81"/>
      <c r="L212" s="81"/>
      <c r="M212" s="113"/>
      <c r="N212" s="81"/>
      <c r="O212" s="102"/>
      <c r="P212" s="81"/>
      <c r="Q212" s="90"/>
      <c r="S212" s="80"/>
      <c r="T212" s="80"/>
      <c r="AB212" s="75"/>
    </row>
    <row r="213" spans="1:28" x14ac:dyDescent="0.25">
      <c r="A213" s="110"/>
      <c r="B213" s="107"/>
      <c r="C213" s="81"/>
      <c r="D213" s="81"/>
      <c r="E213" s="81"/>
      <c r="F213" s="81"/>
      <c r="G213" s="81"/>
      <c r="H213" s="81"/>
      <c r="I213" s="81"/>
      <c r="J213" s="81"/>
      <c r="K213" s="81"/>
      <c r="L213" s="81"/>
      <c r="M213" s="113"/>
      <c r="N213" s="81"/>
      <c r="O213" s="102"/>
      <c r="P213" s="81"/>
      <c r="Q213" s="90"/>
      <c r="S213" s="80"/>
      <c r="T213" s="80"/>
      <c r="AB213" s="75"/>
    </row>
    <row r="214" spans="1:28" x14ac:dyDescent="0.25">
      <c r="A214" s="110"/>
      <c r="B214" s="107"/>
      <c r="C214" s="81"/>
      <c r="D214" s="81"/>
      <c r="E214" s="81"/>
      <c r="F214" s="81"/>
      <c r="G214" s="81"/>
      <c r="H214" s="81"/>
      <c r="I214" s="81"/>
      <c r="J214" s="81"/>
      <c r="K214" s="81"/>
      <c r="L214" s="81"/>
      <c r="M214" s="113"/>
      <c r="N214" s="81"/>
      <c r="O214" s="102"/>
      <c r="P214" s="81"/>
      <c r="Q214" s="90"/>
      <c r="S214" s="80"/>
      <c r="T214" s="80"/>
      <c r="AB214" s="75"/>
    </row>
    <row r="215" spans="1:28" x14ac:dyDescent="0.25">
      <c r="A215" s="110"/>
      <c r="B215" s="107"/>
      <c r="C215" s="81"/>
      <c r="D215" s="81"/>
      <c r="E215" s="81"/>
      <c r="F215" s="81"/>
      <c r="G215" s="81"/>
      <c r="H215" s="81"/>
      <c r="I215" s="81"/>
      <c r="J215" s="81"/>
      <c r="K215" s="81"/>
      <c r="L215" s="81"/>
      <c r="M215" s="113"/>
      <c r="N215" s="81"/>
      <c r="O215" s="102"/>
      <c r="P215" s="81"/>
      <c r="Q215" s="90"/>
      <c r="S215" s="80"/>
      <c r="T215" s="80"/>
      <c r="AB215" s="75"/>
    </row>
    <row r="216" spans="1:28" x14ac:dyDescent="0.25">
      <c r="A216" s="110"/>
      <c r="B216" s="107"/>
      <c r="C216" s="81"/>
      <c r="D216" s="81"/>
      <c r="E216" s="81"/>
      <c r="F216" s="81"/>
      <c r="G216" s="81"/>
      <c r="H216" s="81"/>
      <c r="I216" s="81"/>
      <c r="J216" s="81"/>
      <c r="K216" s="81"/>
      <c r="L216" s="81"/>
      <c r="M216" s="113"/>
      <c r="N216" s="81"/>
      <c r="O216" s="102"/>
      <c r="P216" s="81"/>
      <c r="Q216" s="90"/>
      <c r="S216" s="80"/>
      <c r="T216" s="80"/>
      <c r="AB216" s="75"/>
    </row>
    <row r="217" spans="1:28" x14ac:dyDescent="0.25">
      <c r="A217" s="110"/>
      <c r="B217" s="107"/>
      <c r="C217" s="81"/>
      <c r="D217" s="81"/>
      <c r="E217" s="81"/>
      <c r="F217" s="81"/>
      <c r="G217" s="81"/>
      <c r="H217" s="81"/>
      <c r="I217" s="81"/>
      <c r="J217" s="81"/>
      <c r="K217" s="81"/>
      <c r="L217" s="81"/>
      <c r="M217" s="113"/>
      <c r="N217" s="81"/>
      <c r="O217" s="102"/>
      <c r="P217" s="81"/>
      <c r="Q217" s="90"/>
      <c r="S217" s="80"/>
      <c r="T217" s="80"/>
      <c r="AB217" s="75"/>
    </row>
    <row r="218" spans="1:28" x14ac:dyDescent="0.25">
      <c r="A218" s="110"/>
      <c r="B218" s="107"/>
      <c r="C218" s="81"/>
      <c r="D218" s="81"/>
      <c r="E218" s="81"/>
      <c r="F218" s="81"/>
      <c r="G218" s="81"/>
      <c r="H218" s="81"/>
      <c r="I218" s="81"/>
      <c r="J218" s="81"/>
      <c r="K218" s="81"/>
      <c r="L218" s="81"/>
      <c r="M218" s="113"/>
      <c r="N218" s="81"/>
      <c r="O218" s="102"/>
      <c r="P218" s="81"/>
      <c r="Q218" s="90"/>
      <c r="S218" s="80"/>
      <c r="T218" s="80"/>
      <c r="AB218" s="75"/>
    </row>
    <row r="219" spans="1:28" x14ac:dyDescent="0.25">
      <c r="A219" s="110"/>
      <c r="B219" s="107"/>
      <c r="C219" s="81"/>
      <c r="D219" s="81"/>
      <c r="E219" s="81"/>
      <c r="F219" s="81"/>
      <c r="G219" s="81"/>
      <c r="H219" s="81"/>
      <c r="I219" s="81"/>
      <c r="J219" s="81"/>
      <c r="K219" s="81"/>
      <c r="L219" s="81"/>
      <c r="M219" s="113"/>
      <c r="N219" s="81"/>
      <c r="O219" s="102"/>
      <c r="P219" s="81"/>
      <c r="Q219" s="90"/>
      <c r="S219" s="80"/>
      <c r="T219" s="80"/>
      <c r="AB219" s="75"/>
    </row>
    <row r="220" spans="1:28" x14ac:dyDescent="0.25">
      <c r="A220" s="110"/>
      <c r="B220" s="107"/>
      <c r="C220" s="81"/>
      <c r="D220" s="81"/>
      <c r="E220" s="81"/>
      <c r="F220" s="81"/>
      <c r="G220" s="81"/>
      <c r="H220" s="81"/>
      <c r="I220" s="81"/>
      <c r="J220" s="81"/>
      <c r="K220" s="81"/>
      <c r="L220" s="81"/>
      <c r="M220" s="113"/>
      <c r="N220" s="81"/>
      <c r="O220" s="102"/>
      <c r="P220" s="81"/>
      <c r="Q220" s="90"/>
      <c r="S220" s="80"/>
      <c r="T220" s="80"/>
      <c r="AB220" s="75"/>
    </row>
    <row r="221" spans="1:28" x14ac:dyDescent="0.25">
      <c r="A221" s="110"/>
      <c r="B221" s="107"/>
      <c r="C221" s="81"/>
      <c r="D221" s="81"/>
      <c r="E221" s="81"/>
      <c r="F221" s="81"/>
      <c r="G221" s="81"/>
      <c r="H221" s="81"/>
      <c r="I221" s="81"/>
      <c r="J221" s="81"/>
      <c r="K221" s="81"/>
      <c r="L221" s="81"/>
      <c r="M221" s="113"/>
      <c r="N221" s="81"/>
      <c r="O221" s="102"/>
      <c r="P221" s="81"/>
      <c r="Q221" s="90"/>
      <c r="S221" s="80"/>
      <c r="T221" s="80"/>
      <c r="AB221" s="75"/>
    </row>
    <row r="222" spans="1:28" x14ac:dyDescent="0.25">
      <c r="A222" s="110"/>
      <c r="B222" s="107"/>
      <c r="C222" s="81"/>
      <c r="D222" s="81"/>
      <c r="E222" s="81"/>
      <c r="F222" s="81"/>
      <c r="G222" s="81"/>
      <c r="H222" s="81"/>
      <c r="I222" s="81"/>
      <c r="J222" s="81"/>
      <c r="K222" s="81"/>
      <c r="L222" s="81"/>
      <c r="M222" s="113"/>
      <c r="N222" s="81"/>
      <c r="O222" s="102"/>
      <c r="P222" s="81"/>
      <c r="Q222" s="90"/>
      <c r="S222" s="80"/>
      <c r="T222" s="80"/>
      <c r="AB222" s="75"/>
    </row>
    <row r="223" spans="1:28" x14ac:dyDescent="0.25">
      <c r="A223" s="110"/>
      <c r="B223" s="107"/>
      <c r="C223" s="81"/>
      <c r="D223" s="81"/>
      <c r="E223" s="81"/>
      <c r="F223" s="81"/>
      <c r="G223" s="81"/>
      <c r="H223" s="81"/>
      <c r="I223" s="81"/>
      <c r="J223" s="81"/>
      <c r="K223" s="81"/>
      <c r="L223" s="81"/>
      <c r="M223" s="113"/>
      <c r="N223" s="81"/>
      <c r="O223" s="102"/>
      <c r="P223" s="81"/>
      <c r="Q223" s="90"/>
      <c r="S223" s="80"/>
      <c r="T223" s="80"/>
      <c r="AB223" s="75"/>
    </row>
    <row r="224" spans="1:28" x14ac:dyDescent="0.25">
      <c r="A224" s="110"/>
      <c r="B224" s="107"/>
      <c r="C224" s="81"/>
      <c r="D224" s="81"/>
      <c r="E224" s="81"/>
      <c r="F224" s="81"/>
      <c r="G224" s="81"/>
      <c r="H224" s="81"/>
      <c r="I224" s="81"/>
      <c r="J224" s="81"/>
      <c r="K224" s="81"/>
      <c r="L224" s="81"/>
      <c r="M224" s="113"/>
      <c r="N224" s="81"/>
      <c r="O224" s="102"/>
      <c r="P224" s="81"/>
      <c r="Q224" s="90"/>
      <c r="S224" s="80"/>
      <c r="T224" s="80"/>
      <c r="AB224" s="75"/>
    </row>
    <row r="225" spans="1:28" x14ac:dyDescent="0.25">
      <c r="A225" s="110"/>
      <c r="B225" s="107"/>
      <c r="C225" s="81"/>
      <c r="D225" s="81"/>
      <c r="E225" s="81"/>
      <c r="F225" s="81"/>
      <c r="G225" s="81"/>
      <c r="H225" s="81"/>
      <c r="I225" s="81"/>
      <c r="J225" s="81"/>
      <c r="K225" s="81"/>
      <c r="L225" s="81"/>
      <c r="M225" s="113"/>
      <c r="N225" s="81"/>
      <c r="O225" s="102"/>
      <c r="P225" s="81"/>
      <c r="Q225" s="90"/>
      <c r="S225" s="80"/>
      <c r="T225" s="80"/>
      <c r="AB225" s="75"/>
    </row>
    <row r="226" spans="1:28" x14ac:dyDescent="0.25">
      <c r="A226" s="110"/>
      <c r="B226" s="107"/>
      <c r="C226" s="81"/>
      <c r="D226" s="81"/>
      <c r="E226" s="81"/>
      <c r="F226" s="81"/>
      <c r="G226" s="81"/>
      <c r="H226" s="81"/>
      <c r="I226" s="81"/>
      <c r="J226" s="81"/>
      <c r="K226" s="81"/>
      <c r="L226" s="81"/>
      <c r="M226" s="113"/>
      <c r="N226" s="81"/>
      <c r="O226" s="102"/>
      <c r="P226" s="81"/>
      <c r="Q226" s="90"/>
      <c r="S226" s="80"/>
      <c r="T226" s="80"/>
      <c r="AB226" s="75"/>
    </row>
    <row r="227" spans="1:28" x14ac:dyDescent="0.25">
      <c r="A227" s="110"/>
      <c r="B227" s="107"/>
      <c r="C227" s="81"/>
      <c r="D227" s="81"/>
      <c r="E227" s="81"/>
      <c r="F227" s="81"/>
      <c r="G227" s="81"/>
      <c r="H227" s="81"/>
      <c r="I227" s="81"/>
      <c r="J227" s="81"/>
      <c r="K227" s="81"/>
      <c r="L227" s="81"/>
      <c r="M227" s="113"/>
      <c r="N227" s="81"/>
      <c r="O227" s="102"/>
      <c r="P227" s="81"/>
      <c r="Q227" s="90"/>
      <c r="S227" s="80"/>
      <c r="T227" s="80"/>
      <c r="AB227" s="75"/>
    </row>
    <row r="228" spans="1:28" x14ac:dyDescent="0.25">
      <c r="A228" s="110"/>
      <c r="B228" s="107"/>
      <c r="C228" s="81"/>
      <c r="D228" s="81"/>
      <c r="E228" s="81"/>
      <c r="F228" s="81"/>
      <c r="G228" s="81"/>
      <c r="H228" s="81"/>
      <c r="I228" s="81"/>
      <c r="J228" s="81"/>
      <c r="K228" s="81"/>
      <c r="L228" s="81"/>
      <c r="M228" s="113"/>
      <c r="N228" s="81"/>
      <c r="O228" s="102"/>
      <c r="P228" s="81"/>
      <c r="Q228" s="90"/>
      <c r="S228" s="80"/>
      <c r="T228" s="80"/>
      <c r="AB228" s="75"/>
    </row>
    <row r="229" spans="1:28" x14ac:dyDescent="0.25">
      <c r="A229" s="110"/>
      <c r="B229" s="107"/>
      <c r="C229" s="81"/>
      <c r="D229" s="81"/>
      <c r="E229" s="81"/>
      <c r="F229" s="81"/>
      <c r="G229" s="81"/>
      <c r="H229" s="81"/>
      <c r="I229" s="81"/>
      <c r="J229" s="81"/>
      <c r="K229" s="81"/>
      <c r="L229" s="81"/>
      <c r="M229" s="113"/>
      <c r="N229" s="81"/>
      <c r="O229" s="102"/>
      <c r="P229" s="81"/>
      <c r="Q229" s="90"/>
      <c r="S229" s="80"/>
      <c r="T229" s="80"/>
      <c r="AB229" s="75"/>
    </row>
    <row r="230" spans="1:28" x14ac:dyDescent="0.25">
      <c r="A230" s="110"/>
      <c r="B230" s="107"/>
      <c r="C230" s="81"/>
      <c r="D230" s="81"/>
      <c r="E230" s="81"/>
      <c r="F230" s="81"/>
      <c r="G230" s="81"/>
      <c r="H230" s="81"/>
      <c r="I230" s="81"/>
      <c r="J230" s="81"/>
      <c r="K230" s="81"/>
      <c r="L230" s="81"/>
      <c r="M230" s="113"/>
      <c r="N230" s="81"/>
      <c r="O230" s="102"/>
      <c r="P230" s="81"/>
      <c r="Q230" s="90"/>
      <c r="S230" s="80"/>
      <c r="T230" s="80"/>
      <c r="AB230" s="75"/>
    </row>
    <row r="231" spans="1:28" x14ac:dyDescent="0.25">
      <c r="A231" s="110"/>
      <c r="B231" s="107"/>
      <c r="C231" s="81"/>
      <c r="D231" s="81"/>
      <c r="E231" s="81"/>
      <c r="F231" s="81"/>
      <c r="G231" s="81"/>
      <c r="H231" s="81"/>
      <c r="I231" s="81"/>
      <c r="J231" s="81"/>
      <c r="K231" s="81"/>
      <c r="L231" s="81"/>
      <c r="M231" s="113"/>
      <c r="N231" s="81"/>
      <c r="O231" s="102"/>
      <c r="P231" s="81"/>
      <c r="Q231" s="90"/>
      <c r="S231" s="80"/>
      <c r="T231" s="80"/>
      <c r="AB231" s="75"/>
    </row>
    <row r="232" spans="1:28" x14ac:dyDescent="0.25">
      <c r="A232" s="110"/>
      <c r="B232" s="107"/>
      <c r="C232" s="81"/>
      <c r="D232" s="81"/>
      <c r="E232" s="81"/>
      <c r="F232" s="81"/>
      <c r="G232" s="81"/>
      <c r="H232" s="81"/>
      <c r="I232" s="81"/>
      <c r="J232" s="81"/>
      <c r="K232" s="81"/>
      <c r="L232" s="81"/>
      <c r="M232" s="113"/>
      <c r="N232" s="81"/>
      <c r="O232" s="102"/>
      <c r="P232" s="81"/>
      <c r="Q232" s="90"/>
      <c r="S232" s="80"/>
      <c r="T232" s="80"/>
      <c r="AB232" s="75"/>
    </row>
    <row r="233" spans="1:28" x14ac:dyDescent="0.25">
      <c r="A233" s="110"/>
      <c r="B233" s="107"/>
      <c r="C233" s="81"/>
      <c r="D233" s="81"/>
      <c r="E233" s="81"/>
      <c r="F233" s="81"/>
      <c r="G233" s="81"/>
      <c r="H233" s="81"/>
      <c r="I233" s="81"/>
      <c r="J233" s="81"/>
      <c r="K233" s="81"/>
      <c r="L233" s="81"/>
      <c r="M233" s="113"/>
      <c r="N233" s="81"/>
      <c r="O233" s="102"/>
      <c r="P233" s="81"/>
      <c r="Q233" s="90"/>
      <c r="S233" s="80"/>
      <c r="T233" s="80"/>
      <c r="AB233" s="75"/>
    </row>
    <row r="234" spans="1:28" x14ac:dyDescent="0.25">
      <c r="A234" s="110"/>
      <c r="B234" s="107"/>
      <c r="C234" s="81"/>
      <c r="D234" s="81"/>
      <c r="E234" s="81"/>
      <c r="F234" s="81"/>
      <c r="G234" s="81"/>
      <c r="H234" s="81"/>
      <c r="I234" s="81"/>
      <c r="J234" s="81"/>
      <c r="K234" s="81"/>
      <c r="L234" s="81"/>
      <c r="M234" s="113"/>
      <c r="N234" s="81"/>
      <c r="O234" s="102"/>
      <c r="P234" s="81"/>
      <c r="Q234" s="90"/>
      <c r="S234" s="80"/>
      <c r="T234" s="80"/>
      <c r="AB234" s="75"/>
    </row>
    <row r="235" spans="1:28" x14ac:dyDescent="0.25">
      <c r="A235" s="110"/>
      <c r="B235" s="107"/>
      <c r="C235" s="81"/>
      <c r="D235" s="81"/>
      <c r="E235" s="81"/>
      <c r="F235" s="81"/>
      <c r="G235" s="81"/>
      <c r="H235" s="81"/>
      <c r="I235" s="81"/>
      <c r="J235" s="81"/>
      <c r="K235" s="81"/>
      <c r="L235" s="81"/>
      <c r="M235" s="113"/>
      <c r="N235" s="81"/>
      <c r="O235" s="102"/>
      <c r="P235" s="81"/>
      <c r="Q235" s="90"/>
      <c r="S235" s="80"/>
      <c r="T235" s="80"/>
      <c r="AB235" s="75"/>
    </row>
    <row r="236" spans="1:28" x14ac:dyDescent="0.25">
      <c r="A236" s="110"/>
      <c r="B236" s="107"/>
      <c r="C236" s="81"/>
      <c r="D236" s="81"/>
      <c r="E236" s="81"/>
      <c r="F236" s="81"/>
      <c r="G236" s="81"/>
      <c r="H236" s="81"/>
      <c r="I236" s="81"/>
      <c r="J236" s="81"/>
      <c r="K236" s="81"/>
      <c r="L236" s="81"/>
      <c r="M236" s="113"/>
      <c r="N236" s="81"/>
      <c r="O236" s="102"/>
      <c r="P236" s="81"/>
      <c r="Q236" s="90"/>
      <c r="S236" s="80"/>
      <c r="T236" s="80"/>
      <c r="AB236" s="75"/>
    </row>
    <row r="237" spans="1:28" x14ac:dyDescent="0.25">
      <c r="A237" s="110"/>
      <c r="B237" s="107"/>
      <c r="C237" s="81"/>
      <c r="D237" s="81"/>
      <c r="E237" s="81"/>
      <c r="F237" s="81"/>
      <c r="G237" s="81"/>
      <c r="H237" s="81"/>
      <c r="I237" s="81"/>
      <c r="J237" s="81"/>
      <c r="K237" s="81"/>
      <c r="L237" s="81"/>
      <c r="M237" s="113"/>
      <c r="N237" s="81"/>
      <c r="O237" s="102"/>
      <c r="P237" s="81"/>
      <c r="Q237" s="90"/>
      <c r="S237" s="80"/>
      <c r="T237" s="80"/>
      <c r="AB237" s="75"/>
    </row>
    <row r="238" spans="1:28" x14ac:dyDescent="0.25">
      <c r="A238" s="110"/>
      <c r="B238" s="107"/>
      <c r="C238" s="81"/>
      <c r="D238" s="81"/>
      <c r="E238" s="81"/>
      <c r="F238" s="81"/>
      <c r="G238" s="81"/>
      <c r="H238" s="81"/>
      <c r="I238" s="81"/>
      <c r="J238" s="81"/>
      <c r="K238" s="81"/>
      <c r="L238" s="81"/>
      <c r="M238" s="113"/>
      <c r="N238" s="81"/>
      <c r="O238" s="102"/>
      <c r="P238" s="81"/>
      <c r="Q238" s="90"/>
      <c r="S238" s="80"/>
      <c r="T238" s="80"/>
      <c r="AB238" s="75"/>
    </row>
    <row r="239" spans="1:28" x14ac:dyDescent="0.25">
      <c r="A239" s="110"/>
      <c r="B239" s="107"/>
      <c r="C239" s="81"/>
      <c r="D239" s="81"/>
      <c r="E239" s="81"/>
      <c r="F239" s="81"/>
      <c r="G239" s="81"/>
      <c r="H239" s="81"/>
      <c r="I239" s="81"/>
      <c r="J239" s="81"/>
      <c r="K239" s="81"/>
      <c r="L239" s="81"/>
      <c r="M239" s="113"/>
      <c r="N239" s="81"/>
      <c r="O239" s="102"/>
      <c r="P239" s="81"/>
      <c r="Q239" s="90"/>
      <c r="S239" s="80"/>
      <c r="T239" s="80"/>
      <c r="AB239" s="75"/>
    </row>
    <row r="240" spans="1:28" x14ac:dyDescent="0.25">
      <c r="A240" s="110"/>
      <c r="B240" s="107"/>
      <c r="C240" s="81"/>
      <c r="D240" s="81"/>
      <c r="E240" s="81"/>
      <c r="F240" s="81"/>
      <c r="G240" s="81"/>
      <c r="H240" s="81"/>
      <c r="I240" s="81"/>
      <c r="J240" s="81"/>
      <c r="K240" s="81"/>
      <c r="L240" s="81"/>
      <c r="M240" s="113"/>
      <c r="N240" s="81"/>
      <c r="O240" s="102"/>
      <c r="P240" s="81"/>
      <c r="Q240" s="90"/>
      <c r="S240" s="80"/>
      <c r="T240" s="80"/>
      <c r="AB240" s="75"/>
    </row>
    <row r="241" spans="1:28" x14ac:dyDescent="0.25">
      <c r="A241" s="110"/>
      <c r="B241" s="107"/>
      <c r="C241" s="81"/>
      <c r="D241" s="81"/>
      <c r="E241" s="81"/>
      <c r="F241" s="81"/>
      <c r="G241" s="81"/>
      <c r="H241" s="81"/>
      <c r="I241" s="81"/>
      <c r="J241" s="81"/>
      <c r="K241" s="81"/>
      <c r="L241" s="81"/>
      <c r="M241" s="113"/>
      <c r="N241" s="81"/>
      <c r="O241" s="102"/>
      <c r="P241" s="81"/>
      <c r="Q241" s="90"/>
      <c r="S241" s="80"/>
      <c r="T241" s="80"/>
      <c r="AB241" s="75"/>
    </row>
    <row r="242" spans="1:28" x14ac:dyDescent="0.25">
      <c r="A242" s="110"/>
      <c r="B242" s="107"/>
      <c r="C242" s="81"/>
      <c r="D242" s="81"/>
      <c r="E242" s="81"/>
      <c r="F242" s="81"/>
      <c r="G242" s="81"/>
      <c r="H242" s="81"/>
      <c r="I242" s="81"/>
      <c r="J242" s="81"/>
      <c r="K242" s="81"/>
      <c r="L242" s="81"/>
      <c r="M242" s="113"/>
      <c r="N242" s="81"/>
      <c r="O242" s="102"/>
      <c r="P242" s="81"/>
      <c r="Q242" s="90"/>
      <c r="S242" s="80"/>
      <c r="T242" s="80"/>
      <c r="AB242" s="75"/>
    </row>
    <row r="243" spans="1:28" x14ac:dyDescent="0.25">
      <c r="A243" s="110"/>
      <c r="B243" s="107"/>
      <c r="C243" s="81"/>
      <c r="D243" s="81"/>
      <c r="E243" s="81"/>
      <c r="F243" s="81"/>
      <c r="G243" s="81"/>
      <c r="H243" s="81"/>
      <c r="I243" s="81"/>
      <c r="J243" s="81"/>
      <c r="K243" s="81"/>
      <c r="L243" s="81"/>
      <c r="M243" s="113"/>
      <c r="N243" s="81"/>
      <c r="O243" s="102"/>
      <c r="P243" s="81"/>
      <c r="Q243" s="90"/>
      <c r="S243" s="80"/>
      <c r="T243" s="80"/>
      <c r="AB243" s="75"/>
    </row>
    <row r="244" spans="1:28" x14ac:dyDescent="0.25">
      <c r="A244" s="110"/>
      <c r="B244" s="107"/>
      <c r="C244" s="81"/>
      <c r="D244" s="81"/>
      <c r="E244" s="81"/>
      <c r="F244" s="81"/>
      <c r="G244" s="81"/>
      <c r="H244" s="81"/>
      <c r="I244" s="81"/>
      <c r="J244" s="81"/>
      <c r="K244" s="81"/>
      <c r="L244" s="81"/>
      <c r="M244" s="113"/>
      <c r="N244" s="81"/>
      <c r="O244" s="102"/>
      <c r="P244" s="81"/>
      <c r="Q244" s="90"/>
      <c r="S244" s="80"/>
      <c r="T244" s="80"/>
      <c r="AB244" s="75"/>
    </row>
    <row r="245" spans="1:28" x14ac:dyDescent="0.25">
      <c r="A245" s="110"/>
      <c r="B245" s="107"/>
      <c r="C245" s="81"/>
      <c r="D245" s="81"/>
      <c r="E245" s="81"/>
      <c r="F245" s="81"/>
      <c r="G245" s="81"/>
      <c r="H245" s="81"/>
      <c r="I245" s="81"/>
      <c r="J245" s="81"/>
      <c r="K245" s="81"/>
      <c r="L245" s="81"/>
      <c r="M245" s="113"/>
      <c r="N245" s="81"/>
      <c r="O245" s="102"/>
      <c r="P245" s="81"/>
      <c r="Q245" s="90"/>
      <c r="S245" s="80"/>
      <c r="T245" s="80"/>
      <c r="AB245" s="75"/>
    </row>
    <row r="246" spans="1:28" x14ac:dyDescent="0.25">
      <c r="A246" s="110"/>
      <c r="B246" s="107"/>
      <c r="C246" s="81"/>
      <c r="D246" s="81"/>
      <c r="E246" s="81"/>
      <c r="F246" s="81"/>
      <c r="G246" s="81"/>
      <c r="H246" s="81"/>
      <c r="I246" s="81"/>
      <c r="J246" s="81"/>
      <c r="K246" s="81"/>
      <c r="L246" s="81"/>
      <c r="M246" s="113"/>
      <c r="N246" s="81"/>
      <c r="O246" s="102"/>
      <c r="P246" s="81"/>
      <c r="Q246" s="90"/>
      <c r="S246" s="80"/>
      <c r="T246" s="80"/>
      <c r="AB246" s="75"/>
    </row>
    <row r="247" spans="1:28" x14ac:dyDescent="0.25">
      <c r="A247" s="110"/>
      <c r="B247" s="107"/>
      <c r="C247" s="81"/>
      <c r="D247" s="81"/>
      <c r="E247" s="81"/>
      <c r="F247" s="81"/>
      <c r="G247" s="81"/>
      <c r="H247" s="81"/>
      <c r="I247" s="81"/>
      <c r="J247" s="81"/>
      <c r="K247" s="81"/>
      <c r="L247" s="81"/>
      <c r="M247" s="113"/>
      <c r="N247" s="81"/>
      <c r="O247" s="102"/>
      <c r="P247" s="81"/>
      <c r="Q247" s="90"/>
      <c r="S247" s="80"/>
      <c r="T247" s="80"/>
      <c r="AB247" s="75"/>
    </row>
    <row r="248" spans="1:28" x14ac:dyDescent="0.25">
      <c r="A248" s="110"/>
      <c r="B248" s="107"/>
      <c r="C248" s="81"/>
      <c r="D248" s="81"/>
      <c r="E248" s="81"/>
      <c r="F248" s="81"/>
      <c r="G248" s="81"/>
      <c r="H248" s="81"/>
      <c r="I248" s="81"/>
      <c r="J248" s="81"/>
      <c r="K248" s="81"/>
      <c r="L248" s="81"/>
      <c r="M248" s="113"/>
      <c r="N248" s="81"/>
      <c r="O248" s="102"/>
      <c r="P248" s="81"/>
      <c r="Q248" s="90"/>
      <c r="S248" s="80"/>
      <c r="T248" s="80"/>
      <c r="AB248" s="75"/>
    </row>
    <row r="249" spans="1:28" x14ac:dyDescent="0.25">
      <c r="A249" s="110"/>
      <c r="B249" s="107"/>
      <c r="C249" s="81"/>
      <c r="D249" s="81"/>
      <c r="E249" s="81"/>
      <c r="F249" s="81"/>
      <c r="G249" s="81"/>
      <c r="H249" s="81"/>
      <c r="I249" s="81"/>
      <c r="J249" s="81"/>
      <c r="K249" s="81"/>
      <c r="L249" s="81"/>
      <c r="M249" s="113"/>
      <c r="N249" s="81"/>
      <c r="O249" s="102"/>
      <c r="P249" s="81"/>
      <c r="Q249" s="90"/>
      <c r="S249" s="80"/>
      <c r="T249" s="80"/>
      <c r="AB249" s="75"/>
    </row>
    <row r="250" spans="1:28" x14ac:dyDescent="0.25">
      <c r="A250" s="110"/>
      <c r="B250" s="107"/>
      <c r="C250" s="81"/>
      <c r="D250" s="81"/>
      <c r="E250" s="81"/>
      <c r="F250" s="81"/>
      <c r="G250" s="81"/>
      <c r="H250" s="81"/>
      <c r="I250" s="81"/>
      <c r="J250" s="81"/>
      <c r="K250" s="81"/>
      <c r="L250" s="81"/>
      <c r="M250" s="113"/>
      <c r="N250" s="81"/>
      <c r="O250" s="102"/>
      <c r="P250" s="81"/>
      <c r="Q250" s="90"/>
      <c r="S250" s="80"/>
      <c r="T250" s="80"/>
      <c r="AB250" s="75"/>
    </row>
    <row r="251" spans="1:28" x14ac:dyDescent="0.25">
      <c r="A251" s="110"/>
      <c r="B251" s="107"/>
      <c r="C251" s="81"/>
      <c r="D251" s="81"/>
      <c r="E251" s="81"/>
      <c r="F251" s="81"/>
      <c r="G251" s="81"/>
      <c r="H251" s="81"/>
      <c r="I251" s="81"/>
      <c r="J251" s="81"/>
      <c r="K251" s="81"/>
      <c r="L251" s="81"/>
      <c r="M251" s="113"/>
      <c r="N251" s="81"/>
      <c r="O251" s="102"/>
      <c r="P251" s="81"/>
      <c r="Q251" s="90"/>
      <c r="S251" s="80"/>
      <c r="T251" s="80"/>
      <c r="AB251" s="75"/>
    </row>
    <row r="252" spans="1:28" x14ac:dyDescent="0.25">
      <c r="A252" s="110"/>
      <c r="B252" s="107"/>
      <c r="C252" s="81"/>
      <c r="D252" s="81"/>
      <c r="E252" s="81"/>
      <c r="F252" s="81"/>
      <c r="G252" s="81"/>
      <c r="H252" s="81"/>
      <c r="I252" s="81"/>
      <c r="J252" s="81"/>
      <c r="K252" s="81"/>
      <c r="L252" s="81"/>
      <c r="M252" s="113"/>
      <c r="N252" s="81"/>
      <c r="O252" s="102"/>
      <c r="P252" s="81"/>
      <c r="Q252" s="90"/>
      <c r="S252" s="80"/>
      <c r="T252" s="80"/>
      <c r="AB252" s="75"/>
    </row>
    <row r="253" spans="1:28" x14ac:dyDescent="0.25">
      <c r="A253" s="110"/>
      <c r="B253" s="107"/>
      <c r="C253" s="81"/>
      <c r="D253" s="81"/>
      <c r="E253" s="81"/>
      <c r="F253" s="81"/>
      <c r="G253" s="81"/>
      <c r="H253" s="81"/>
      <c r="I253" s="81"/>
      <c r="J253" s="81"/>
      <c r="K253" s="81"/>
      <c r="L253" s="81"/>
      <c r="M253" s="113"/>
      <c r="N253" s="81"/>
      <c r="O253" s="102"/>
      <c r="P253" s="81"/>
      <c r="Q253" s="90"/>
      <c r="S253" s="80"/>
      <c r="T253" s="80"/>
      <c r="AB253" s="75"/>
    </row>
    <row r="254" spans="1:28" x14ac:dyDescent="0.25">
      <c r="A254" s="110"/>
      <c r="B254" s="107"/>
      <c r="C254" s="81"/>
      <c r="D254" s="81"/>
      <c r="E254" s="81"/>
      <c r="F254" s="81"/>
      <c r="G254" s="81"/>
      <c r="H254" s="81"/>
      <c r="I254" s="81"/>
      <c r="J254" s="81"/>
      <c r="K254" s="81"/>
      <c r="L254" s="81"/>
      <c r="M254" s="113"/>
      <c r="N254" s="81"/>
      <c r="O254" s="102"/>
      <c r="P254" s="81"/>
      <c r="Q254" s="90"/>
      <c r="S254" s="80"/>
      <c r="T254" s="80"/>
      <c r="AB254" s="75"/>
    </row>
    <row r="255" spans="1:28" x14ac:dyDescent="0.25">
      <c r="A255" s="110"/>
      <c r="B255" s="107"/>
      <c r="C255" s="81"/>
      <c r="D255" s="81"/>
      <c r="E255" s="81"/>
      <c r="F255" s="81"/>
      <c r="G255" s="81"/>
      <c r="H255" s="81"/>
      <c r="I255" s="81"/>
      <c r="J255" s="81"/>
      <c r="K255" s="81"/>
      <c r="L255" s="81"/>
      <c r="M255" s="113"/>
      <c r="N255" s="81"/>
      <c r="O255" s="102"/>
      <c r="P255" s="81"/>
      <c r="Q255" s="90"/>
      <c r="S255" s="80"/>
      <c r="T255" s="80"/>
      <c r="AB255" s="75"/>
    </row>
    <row r="256" spans="1:28" x14ac:dyDescent="0.25">
      <c r="A256" s="110"/>
      <c r="B256" s="107"/>
      <c r="C256" s="81"/>
      <c r="D256" s="81"/>
      <c r="E256" s="81"/>
      <c r="F256" s="81"/>
      <c r="G256" s="81"/>
      <c r="H256" s="81"/>
      <c r="I256" s="81"/>
      <c r="J256" s="81"/>
      <c r="K256" s="81"/>
      <c r="L256" s="81"/>
      <c r="M256" s="113"/>
      <c r="N256" s="81"/>
      <c r="O256" s="102"/>
      <c r="P256" s="81"/>
      <c r="Q256" s="90"/>
      <c r="S256" s="80"/>
      <c r="T256" s="80"/>
      <c r="AB256" s="75"/>
    </row>
    <row r="257" spans="1:28" x14ac:dyDescent="0.25">
      <c r="A257" s="110"/>
      <c r="B257" s="107"/>
      <c r="C257" s="81"/>
      <c r="D257" s="81"/>
      <c r="E257" s="81"/>
      <c r="F257" s="81"/>
      <c r="G257" s="81"/>
      <c r="H257" s="81"/>
      <c r="I257" s="81"/>
      <c r="J257" s="81"/>
      <c r="K257" s="81"/>
      <c r="L257" s="81"/>
      <c r="M257" s="113"/>
      <c r="N257" s="81"/>
      <c r="O257" s="102"/>
      <c r="P257" s="81"/>
      <c r="Q257" s="90"/>
      <c r="S257" s="80"/>
      <c r="T257" s="80"/>
      <c r="AB257" s="75"/>
    </row>
    <row r="258" spans="1:28" x14ac:dyDescent="0.25">
      <c r="A258" s="110"/>
      <c r="B258" s="107"/>
      <c r="C258" s="81"/>
      <c r="D258" s="81"/>
      <c r="E258" s="81"/>
      <c r="F258" s="81"/>
      <c r="G258" s="81"/>
      <c r="H258" s="81"/>
      <c r="I258" s="81"/>
      <c r="J258" s="81"/>
      <c r="K258" s="81"/>
      <c r="L258" s="81"/>
      <c r="M258" s="113"/>
      <c r="N258" s="81"/>
      <c r="O258" s="102"/>
      <c r="P258" s="81"/>
      <c r="Q258" s="90"/>
      <c r="S258" s="80"/>
      <c r="T258" s="80"/>
      <c r="AB258" s="75"/>
    </row>
    <row r="259" spans="1:28" x14ac:dyDescent="0.25">
      <c r="A259" s="110"/>
      <c r="B259" s="107"/>
      <c r="C259" s="81"/>
      <c r="D259" s="81"/>
      <c r="E259" s="81"/>
      <c r="F259" s="81"/>
      <c r="G259" s="81"/>
      <c r="H259" s="81"/>
      <c r="I259" s="81"/>
      <c r="J259" s="81"/>
      <c r="K259" s="81"/>
      <c r="L259" s="81"/>
      <c r="M259" s="113"/>
      <c r="N259" s="81"/>
      <c r="O259" s="102"/>
      <c r="P259" s="81"/>
      <c r="Q259" s="90"/>
      <c r="S259" s="80"/>
      <c r="T259" s="80"/>
      <c r="AB259" s="75"/>
    </row>
    <row r="260" spans="1:28" x14ac:dyDescent="0.25">
      <c r="A260" s="110"/>
      <c r="B260" s="107"/>
      <c r="C260" s="81"/>
      <c r="D260" s="81"/>
      <c r="E260" s="81"/>
      <c r="F260" s="81"/>
      <c r="G260" s="81"/>
      <c r="H260" s="81"/>
      <c r="I260" s="81"/>
      <c r="J260" s="81"/>
      <c r="K260" s="81"/>
      <c r="L260" s="81"/>
      <c r="M260" s="113"/>
      <c r="N260" s="81"/>
      <c r="O260" s="102"/>
      <c r="P260" s="81"/>
      <c r="Q260" s="90"/>
      <c r="S260" s="80"/>
      <c r="T260" s="80"/>
      <c r="AB260" s="75"/>
    </row>
    <row r="261" spans="1:28" x14ac:dyDescent="0.25">
      <c r="A261" s="110"/>
      <c r="B261" s="107"/>
      <c r="C261" s="81"/>
      <c r="D261" s="81"/>
      <c r="E261" s="81"/>
      <c r="F261" s="81"/>
      <c r="G261" s="81"/>
      <c r="H261" s="81"/>
      <c r="I261" s="81"/>
      <c r="J261" s="81"/>
      <c r="K261" s="81"/>
      <c r="L261" s="81"/>
      <c r="M261" s="113"/>
      <c r="N261" s="81"/>
      <c r="O261" s="102"/>
      <c r="P261" s="81"/>
      <c r="Q261" s="90"/>
      <c r="S261" s="80"/>
      <c r="T261" s="80"/>
      <c r="AB261" s="75"/>
    </row>
    <row r="262" spans="1:28" x14ac:dyDescent="0.25">
      <c r="A262" s="110"/>
      <c r="B262" s="107"/>
      <c r="C262" s="81"/>
      <c r="D262" s="81"/>
      <c r="E262" s="81"/>
      <c r="F262" s="81"/>
      <c r="G262" s="81"/>
      <c r="H262" s="81"/>
      <c r="I262" s="81"/>
      <c r="J262" s="81"/>
      <c r="K262" s="81"/>
      <c r="L262" s="81"/>
      <c r="M262" s="113"/>
      <c r="N262" s="81"/>
      <c r="O262" s="102"/>
      <c r="P262" s="81"/>
      <c r="Q262" s="90"/>
      <c r="S262" s="80"/>
      <c r="T262" s="80"/>
      <c r="AB262" s="75"/>
    </row>
    <row r="263" spans="1:28" x14ac:dyDescent="0.25">
      <c r="A263" s="110"/>
      <c r="B263" s="107"/>
      <c r="C263" s="81"/>
      <c r="D263" s="81"/>
      <c r="E263" s="81"/>
      <c r="F263" s="81"/>
      <c r="G263" s="81"/>
      <c r="H263" s="81"/>
      <c r="I263" s="81"/>
      <c r="J263" s="81"/>
      <c r="K263" s="81"/>
      <c r="L263" s="81"/>
      <c r="M263" s="113"/>
      <c r="N263" s="81"/>
      <c r="O263" s="102"/>
      <c r="P263" s="81"/>
      <c r="Q263" s="90"/>
      <c r="S263" s="80"/>
      <c r="T263" s="80"/>
      <c r="AB263" s="75"/>
    </row>
    <row r="264" spans="1:28" x14ac:dyDescent="0.25">
      <c r="A264" s="110"/>
      <c r="B264" s="107"/>
      <c r="C264" s="81"/>
      <c r="D264" s="81"/>
      <c r="E264" s="81"/>
      <c r="F264" s="81"/>
      <c r="G264" s="81"/>
      <c r="H264" s="81"/>
      <c r="I264" s="81"/>
      <c r="J264" s="81"/>
      <c r="K264" s="81"/>
      <c r="L264" s="81"/>
      <c r="M264" s="113"/>
      <c r="N264" s="81"/>
      <c r="O264" s="102"/>
      <c r="P264" s="81"/>
      <c r="Q264" s="90"/>
      <c r="S264" s="80"/>
      <c r="T264" s="80"/>
      <c r="AB264" s="75"/>
    </row>
    <row r="265" spans="1:28" x14ac:dyDescent="0.25">
      <c r="A265" s="110"/>
      <c r="B265" s="107"/>
      <c r="C265" s="81"/>
      <c r="D265" s="81"/>
      <c r="E265" s="81"/>
      <c r="F265" s="81"/>
      <c r="G265" s="81"/>
      <c r="H265" s="81"/>
      <c r="I265" s="81"/>
      <c r="J265" s="81"/>
      <c r="K265" s="81"/>
      <c r="L265" s="81"/>
      <c r="M265" s="113"/>
      <c r="N265" s="81"/>
      <c r="O265" s="102"/>
      <c r="P265" s="81"/>
      <c r="Q265" s="90"/>
      <c r="S265" s="80"/>
      <c r="T265" s="80"/>
      <c r="AB265" s="75"/>
    </row>
    <row r="266" spans="1:28" x14ac:dyDescent="0.25">
      <c r="A266" s="110"/>
      <c r="B266" s="107"/>
      <c r="C266" s="81"/>
      <c r="D266" s="81"/>
      <c r="E266" s="81"/>
      <c r="F266" s="81"/>
      <c r="G266" s="81"/>
      <c r="H266" s="81"/>
      <c r="I266" s="81"/>
      <c r="J266" s="81"/>
      <c r="K266" s="81"/>
      <c r="L266" s="81"/>
      <c r="M266" s="113"/>
      <c r="N266" s="81"/>
      <c r="O266" s="102"/>
      <c r="P266" s="81"/>
      <c r="Q266" s="90"/>
      <c r="S266" s="80"/>
      <c r="T266" s="80"/>
      <c r="AB266" s="75"/>
    </row>
    <row r="267" spans="1:28" x14ac:dyDescent="0.25">
      <c r="A267" s="110"/>
      <c r="B267" s="107"/>
      <c r="C267" s="81"/>
      <c r="D267" s="81"/>
      <c r="E267" s="81"/>
      <c r="F267" s="81"/>
      <c r="G267" s="81"/>
      <c r="H267" s="81"/>
      <c r="I267" s="81"/>
      <c r="J267" s="81"/>
      <c r="K267" s="81"/>
      <c r="L267" s="81"/>
      <c r="M267" s="113"/>
      <c r="N267" s="81"/>
      <c r="O267" s="102"/>
      <c r="P267" s="81"/>
      <c r="Q267" s="90"/>
      <c r="S267" s="80"/>
      <c r="T267" s="80"/>
      <c r="AB267" s="75"/>
    </row>
    <row r="268" spans="1:28" x14ac:dyDescent="0.25">
      <c r="A268" s="110"/>
      <c r="B268" s="107"/>
      <c r="C268" s="81"/>
      <c r="D268" s="81"/>
      <c r="E268" s="81"/>
      <c r="F268" s="81"/>
      <c r="G268" s="81"/>
      <c r="H268" s="81"/>
      <c r="I268" s="81"/>
      <c r="J268" s="81"/>
      <c r="K268" s="81"/>
      <c r="L268" s="81"/>
      <c r="M268" s="113"/>
      <c r="N268" s="81"/>
      <c r="O268" s="102"/>
      <c r="P268" s="81"/>
      <c r="Q268" s="90"/>
      <c r="S268" s="80"/>
      <c r="T268" s="80"/>
      <c r="AB268" s="75"/>
    </row>
    <row r="269" spans="1:28" x14ac:dyDescent="0.25">
      <c r="A269" s="110"/>
      <c r="B269" s="107"/>
      <c r="C269" s="81"/>
      <c r="D269" s="81"/>
      <c r="E269" s="81"/>
      <c r="F269" s="81"/>
      <c r="G269" s="81"/>
      <c r="H269" s="81"/>
      <c r="I269" s="81"/>
      <c r="J269" s="81"/>
      <c r="K269" s="81"/>
      <c r="L269" s="81"/>
      <c r="M269" s="113"/>
      <c r="N269" s="81"/>
      <c r="O269" s="102"/>
      <c r="P269" s="81"/>
      <c r="Q269" s="90"/>
      <c r="S269" s="80"/>
      <c r="T269" s="80"/>
      <c r="AB269" s="75"/>
    </row>
    <row r="270" spans="1:28" x14ac:dyDescent="0.25">
      <c r="A270" s="110"/>
      <c r="B270" s="107"/>
      <c r="C270" s="81"/>
      <c r="D270" s="81"/>
      <c r="E270" s="81"/>
      <c r="F270" s="81"/>
      <c r="G270" s="81"/>
      <c r="H270" s="81"/>
      <c r="I270" s="81"/>
      <c r="J270" s="81"/>
      <c r="K270" s="81"/>
      <c r="L270" s="81"/>
      <c r="M270" s="113"/>
      <c r="N270" s="81"/>
      <c r="O270" s="102"/>
      <c r="P270" s="81"/>
      <c r="Q270" s="90"/>
      <c r="S270" s="80"/>
      <c r="T270" s="80"/>
      <c r="AB270" s="75"/>
    </row>
    <row r="271" spans="1:28" x14ac:dyDescent="0.25">
      <c r="A271" s="110"/>
      <c r="B271" s="107"/>
      <c r="C271" s="81"/>
      <c r="D271" s="81"/>
      <c r="E271" s="81"/>
      <c r="F271" s="81"/>
      <c r="G271" s="81"/>
      <c r="H271" s="81"/>
      <c r="I271" s="81"/>
      <c r="J271" s="81"/>
      <c r="K271" s="81"/>
      <c r="L271" s="81"/>
      <c r="M271" s="113"/>
      <c r="N271" s="81"/>
      <c r="O271" s="102"/>
      <c r="P271" s="81"/>
      <c r="Q271" s="90"/>
      <c r="S271" s="80"/>
      <c r="T271" s="80"/>
      <c r="AB271" s="75"/>
    </row>
    <row r="272" spans="1:28" x14ac:dyDescent="0.25">
      <c r="A272" s="110"/>
      <c r="B272" s="107"/>
      <c r="C272" s="81"/>
      <c r="D272" s="81"/>
      <c r="E272" s="81"/>
      <c r="F272" s="81"/>
      <c r="G272" s="81"/>
      <c r="H272" s="81"/>
      <c r="I272" s="81"/>
      <c r="J272" s="81"/>
      <c r="K272" s="81"/>
      <c r="L272" s="81"/>
      <c r="M272" s="113"/>
      <c r="N272" s="81"/>
      <c r="O272" s="102"/>
      <c r="P272" s="81"/>
      <c r="Q272" s="90"/>
      <c r="S272" s="80"/>
      <c r="T272" s="80"/>
      <c r="AB272" s="75"/>
    </row>
    <row r="273" spans="1:28" x14ac:dyDescent="0.25">
      <c r="A273" s="110"/>
      <c r="B273" s="107"/>
      <c r="C273" s="81"/>
      <c r="D273" s="81"/>
      <c r="E273" s="81"/>
      <c r="F273" s="81"/>
      <c r="G273" s="81"/>
      <c r="H273" s="81"/>
      <c r="I273" s="81"/>
      <c r="J273" s="81"/>
      <c r="K273" s="81"/>
      <c r="L273" s="81"/>
      <c r="M273" s="113"/>
      <c r="N273" s="81"/>
      <c r="O273" s="102"/>
      <c r="P273" s="81"/>
      <c r="Q273" s="90"/>
      <c r="S273" s="80"/>
      <c r="T273" s="80"/>
      <c r="AB273" s="75"/>
    </row>
    <row r="274" spans="1:28" x14ac:dyDescent="0.25">
      <c r="A274" s="110"/>
      <c r="B274" s="107"/>
      <c r="C274" s="81"/>
      <c r="D274" s="81"/>
      <c r="E274" s="81"/>
      <c r="F274" s="81"/>
      <c r="G274" s="81"/>
      <c r="H274" s="81"/>
      <c r="I274" s="81"/>
      <c r="J274" s="81"/>
      <c r="K274" s="81"/>
      <c r="L274" s="81"/>
      <c r="M274" s="113"/>
      <c r="N274" s="81"/>
      <c r="O274" s="102"/>
      <c r="P274" s="81"/>
      <c r="Q274" s="90"/>
      <c r="S274" s="80"/>
      <c r="T274" s="80"/>
      <c r="AB274" s="75"/>
    </row>
    <row r="275" spans="1:28" x14ac:dyDescent="0.25">
      <c r="A275" s="110"/>
      <c r="B275" s="107"/>
      <c r="C275" s="81"/>
      <c r="D275" s="81"/>
      <c r="E275" s="81"/>
      <c r="F275" s="81"/>
      <c r="G275" s="81"/>
      <c r="H275" s="81"/>
      <c r="I275" s="81"/>
      <c r="J275" s="81"/>
      <c r="K275" s="81"/>
      <c r="L275" s="81"/>
      <c r="M275" s="113"/>
      <c r="N275" s="81"/>
      <c r="O275" s="102"/>
      <c r="P275" s="81"/>
      <c r="Q275" s="90"/>
      <c r="S275" s="80"/>
      <c r="T275" s="80"/>
      <c r="AB275" s="75"/>
    </row>
    <row r="276" spans="1:28" x14ac:dyDescent="0.25">
      <c r="A276" s="110"/>
      <c r="B276" s="107"/>
      <c r="C276" s="81"/>
      <c r="D276" s="81"/>
      <c r="E276" s="81"/>
      <c r="F276" s="81"/>
      <c r="G276" s="81"/>
      <c r="H276" s="81"/>
      <c r="I276" s="81"/>
      <c r="J276" s="81"/>
      <c r="K276" s="81"/>
      <c r="L276" s="81"/>
      <c r="M276" s="113"/>
      <c r="N276" s="81"/>
      <c r="O276" s="102"/>
      <c r="P276" s="81"/>
      <c r="Q276" s="90"/>
      <c r="S276" s="80"/>
      <c r="T276" s="80"/>
      <c r="AB276" s="75"/>
    </row>
    <row r="277" spans="1:28" x14ac:dyDescent="0.25">
      <c r="A277" s="110"/>
      <c r="B277" s="107"/>
      <c r="C277" s="81"/>
      <c r="D277" s="81"/>
      <c r="E277" s="81"/>
      <c r="F277" s="81"/>
      <c r="G277" s="81"/>
      <c r="H277" s="81"/>
      <c r="I277" s="81"/>
      <c r="J277" s="81"/>
      <c r="K277" s="81"/>
      <c r="L277" s="81"/>
      <c r="M277" s="113"/>
      <c r="N277" s="81"/>
      <c r="O277" s="102"/>
      <c r="P277" s="81"/>
      <c r="Q277" s="90"/>
      <c r="S277" s="80"/>
      <c r="T277" s="80"/>
      <c r="AB277" s="75"/>
    </row>
    <row r="278" spans="1:28" x14ac:dyDescent="0.25">
      <c r="A278" s="110"/>
      <c r="B278" s="107"/>
      <c r="C278" s="81"/>
      <c r="D278" s="81"/>
      <c r="E278" s="81"/>
      <c r="F278" s="81"/>
      <c r="G278" s="81"/>
      <c r="H278" s="81"/>
      <c r="I278" s="81"/>
      <c r="J278" s="81"/>
      <c r="K278" s="81"/>
      <c r="L278" s="81"/>
      <c r="M278" s="113"/>
      <c r="N278" s="81"/>
      <c r="O278" s="102"/>
      <c r="P278" s="81"/>
      <c r="Q278" s="90"/>
      <c r="S278" s="80"/>
      <c r="T278" s="80"/>
      <c r="AB278" s="75"/>
    </row>
    <row r="279" spans="1:28" x14ac:dyDescent="0.25">
      <c r="A279" s="110"/>
      <c r="B279" s="107"/>
      <c r="C279" s="81"/>
      <c r="D279" s="81"/>
      <c r="E279" s="81"/>
      <c r="F279" s="81"/>
      <c r="G279" s="81"/>
      <c r="H279" s="81"/>
      <c r="I279" s="81"/>
      <c r="J279" s="81"/>
      <c r="K279" s="81"/>
      <c r="L279" s="81"/>
      <c r="M279" s="113"/>
      <c r="N279" s="81"/>
      <c r="O279" s="102"/>
      <c r="P279" s="81"/>
      <c r="Q279" s="90"/>
      <c r="S279" s="80"/>
      <c r="T279" s="80"/>
      <c r="AB279" s="75"/>
    </row>
    <row r="280" spans="1:28" x14ac:dyDescent="0.25">
      <c r="A280" s="110"/>
      <c r="B280" s="107"/>
      <c r="C280" s="81"/>
      <c r="D280" s="81"/>
      <c r="E280" s="81"/>
      <c r="F280" s="81"/>
      <c r="G280" s="81"/>
      <c r="H280" s="81"/>
      <c r="I280" s="81"/>
      <c r="J280" s="81"/>
      <c r="K280" s="81"/>
      <c r="L280" s="81"/>
      <c r="M280" s="113"/>
      <c r="N280" s="81"/>
      <c r="O280" s="102"/>
      <c r="P280" s="81"/>
      <c r="Q280" s="90"/>
      <c r="S280" s="80"/>
      <c r="T280" s="80"/>
      <c r="AB280" s="75"/>
    </row>
    <row r="281" spans="1:28" x14ac:dyDescent="0.25">
      <c r="A281" s="110"/>
      <c r="B281" s="107"/>
      <c r="C281" s="81"/>
      <c r="D281" s="81"/>
      <c r="E281" s="81"/>
      <c r="F281" s="81"/>
      <c r="G281" s="81"/>
      <c r="H281" s="81"/>
      <c r="I281" s="81"/>
      <c r="J281" s="81"/>
      <c r="K281" s="81"/>
      <c r="L281" s="81"/>
      <c r="M281" s="113"/>
      <c r="N281" s="81"/>
      <c r="O281" s="102"/>
      <c r="P281" s="81"/>
      <c r="Q281" s="90"/>
      <c r="S281" s="80"/>
      <c r="T281" s="80"/>
      <c r="AB281" s="75"/>
    </row>
    <row r="282" spans="1:28" x14ac:dyDescent="0.25">
      <c r="A282" s="110"/>
      <c r="B282" s="107"/>
      <c r="C282" s="81"/>
      <c r="D282" s="81"/>
      <c r="E282" s="81"/>
      <c r="F282" s="81"/>
      <c r="G282" s="81"/>
      <c r="H282" s="81"/>
      <c r="I282" s="81"/>
      <c r="J282" s="81"/>
      <c r="K282" s="81"/>
      <c r="L282" s="81"/>
      <c r="M282" s="113"/>
      <c r="N282" s="81"/>
      <c r="O282" s="102"/>
      <c r="P282" s="81"/>
      <c r="Q282" s="90"/>
      <c r="S282" s="80"/>
      <c r="T282" s="80"/>
      <c r="AB282" s="75"/>
    </row>
    <row r="283" spans="1:28" x14ac:dyDescent="0.25">
      <c r="A283" s="110"/>
      <c r="B283" s="107"/>
      <c r="C283" s="81"/>
      <c r="D283" s="81"/>
      <c r="E283" s="81"/>
      <c r="F283" s="81"/>
      <c r="G283" s="81"/>
      <c r="H283" s="81"/>
      <c r="I283" s="81"/>
      <c r="J283" s="81"/>
      <c r="K283" s="81"/>
      <c r="L283" s="81"/>
      <c r="M283" s="113"/>
      <c r="N283" s="81"/>
      <c r="O283" s="102"/>
      <c r="P283" s="81"/>
      <c r="Q283" s="90"/>
      <c r="S283" s="80"/>
      <c r="T283" s="80"/>
      <c r="AB283" s="75"/>
    </row>
    <row r="284" spans="1:28" x14ac:dyDescent="0.25">
      <c r="A284" s="110"/>
      <c r="B284" s="107"/>
      <c r="C284" s="81"/>
      <c r="D284" s="81"/>
      <c r="E284" s="81"/>
      <c r="F284" s="81"/>
      <c r="G284" s="81"/>
      <c r="H284" s="81"/>
      <c r="I284" s="81"/>
      <c r="J284" s="81"/>
      <c r="K284" s="81"/>
      <c r="L284" s="81"/>
      <c r="M284" s="113"/>
      <c r="N284" s="81"/>
      <c r="O284" s="102"/>
      <c r="P284" s="81"/>
      <c r="Q284" s="90"/>
      <c r="S284" s="80"/>
      <c r="T284" s="80"/>
      <c r="AB284" s="75"/>
    </row>
    <row r="285" spans="1:28" x14ac:dyDescent="0.25">
      <c r="A285" s="110"/>
      <c r="B285" s="107"/>
      <c r="C285" s="81"/>
      <c r="D285" s="81"/>
      <c r="E285" s="81"/>
      <c r="F285" s="81"/>
      <c r="G285" s="81"/>
      <c r="H285" s="81"/>
      <c r="I285" s="81"/>
      <c r="J285" s="81"/>
      <c r="K285" s="81"/>
      <c r="L285" s="81"/>
      <c r="M285" s="113"/>
      <c r="N285" s="81"/>
      <c r="O285" s="102"/>
      <c r="P285" s="81"/>
      <c r="Q285" s="90"/>
      <c r="S285" s="80"/>
      <c r="T285" s="80"/>
      <c r="AB285" s="75"/>
    </row>
    <row r="286" spans="1:28" x14ac:dyDescent="0.25">
      <c r="A286" s="110"/>
      <c r="B286" s="107"/>
      <c r="C286" s="81"/>
      <c r="D286" s="81"/>
      <c r="E286" s="81"/>
      <c r="F286" s="81"/>
      <c r="G286" s="81"/>
      <c r="H286" s="81"/>
      <c r="I286" s="81"/>
      <c r="J286" s="81"/>
      <c r="K286" s="81"/>
      <c r="L286" s="81"/>
      <c r="M286" s="113"/>
      <c r="N286" s="81"/>
      <c r="O286" s="102"/>
      <c r="P286" s="81"/>
      <c r="Q286" s="90"/>
      <c r="S286" s="80"/>
      <c r="T286" s="80"/>
      <c r="AB286" s="75"/>
    </row>
    <row r="287" spans="1:28" x14ac:dyDescent="0.25">
      <c r="A287" s="110"/>
      <c r="B287" s="107"/>
      <c r="C287" s="81"/>
      <c r="D287" s="81"/>
      <c r="E287" s="81"/>
      <c r="F287" s="81"/>
      <c r="G287" s="81"/>
      <c r="H287" s="81"/>
      <c r="I287" s="81"/>
      <c r="J287" s="81"/>
      <c r="K287" s="81"/>
      <c r="L287" s="81"/>
      <c r="M287" s="113"/>
      <c r="N287" s="81"/>
      <c r="O287" s="102"/>
      <c r="P287" s="81"/>
      <c r="Q287" s="90"/>
      <c r="S287" s="80"/>
      <c r="T287" s="80"/>
      <c r="AB287" s="75"/>
    </row>
    <row r="288" spans="1:28" x14ac:dyDescent="0.25">
      <c r="A288" s="110"/>
      <c r="B288" s="107"/>
      <c r="C288" s="81"/>
      <c r="D288" s="81"/>
      <c r="E288" s="81"/>
      <c r="F288" s="81"/>
      <c r="G288" s="81"/>
      <c r="H288" s="81"/>
      <c r="I288" s="81"/>
      <c r="J288" s="81"/>
      <c r="K288" s="81"/>
      <c r="L288" s="81"/>
      <c r="M288" s="113"/>
      <c r="N288" s="81"/>
      <c r="O288" s="102"/>
      <c r="P288" s="81"/>
      <c r="Q288" s="90"/>
      <c r="S288" s="80"/>
      <c r="T288" s="80"/>
      <c r="AB288" s="75"/>
    </row>
    <row r="289" spans="1:28" x14ac:dyDescent="0.25">
      <c r="A289" s="110"/>
      <c r="B289" s="107"/>
      <c r="C289" s="81"/>
      <c r="D289" s="81"/>
      <c r="E289" s="81"/>
      <c r="F289" s="81"/>
      <c r="G289" s="81"/>
      <c r="H289" s="81"/>
      <c r="I289" s="81"/>
      <c r="J289" s="81"/>
      <c r="K289" s="81"/>
      <c r="L289" s="81"/>
      <c r="M289" s="113"/>
      <c r="N289" s="81"/>
      <c r="O289" s="102"/>
      <c r="P289" s="81"/>
      <c r="Q289" s="90"/>
      <c r="S289" s="80"/>
      <c r="T289" s="80"/>
      <c r="AB289" s="75"/>
    </row>
    <row r="290" spans="1:28" x14ac:dyDescent="0.25">
      <c r="A290" s="110"/>
      <c r="B290" s="107"/>
      <c r="C290" s="81"/>
      <c r="D290" s="81"/>
      <c r="E290" s="81"/>
      <c r="F290" s="81"/>
      <c r="G290" s="81"/>
      <c r="H290" s="81"/>
      <c r="I290" s="81"/>
      <c r="J290" s="81"/>
      <c r="K290" s="81"/>
      <c r="L290" s="81"/>
      <c r="M290" s="113"/>
      <c r="N290" s="81"/>
      <c r="O290" s="102"/>
      <c r="P290" s="81"/>
      <c r="Q290" s="90"/>
      <c r="S290" s="80"/>
      <c r="T290" s="80"/>
      <c r="AB290" s="75"/>
    </row>
    <row r="291" spans="1:28" x14ac:dyDescent="0.25">
      <c r="A291" s="110"/>
      <c r="B291" s="107"/>
      <c r="C291" s="81"/>
      <c r="D291" s="81"/>
      <c r="E291" s="81"/>
      <c r="F291" s="81"/>
      <c r="G291" s="81"/>
      <c r="H291" s="81"/>
      <c r="I291" s="81"/>
      <c r="J291" s="81"/>
      <c r="K291" s="81"/>
      <c r="L291" s="81"/>
      <c r="M291" s="113"/>
      <c r="N291" s="81"/>
      <c r="O291" s="102"/>
      <c r="P291" s="81"/>
      <c r="Q291" s="90"/>
      <c r="S291" s="80"/>
      <c r="T291" s="80"/>
      <c r="AB291" s="75"/>
    </row>
    <row r="292" spans="1:28" x14ac:dyDescent="0.25">
      <c r="A292" s="110"/>
      <c r="B292" s="107"/>
      <c r="C292" s="81"/>
      <c r="D292" s="81"/>
      <c r="E292" s="81"/>
      <c r="F292" s="81"/>
      <c r="G292" s="81"/>
      <c r="H292" s="81"/>
      <c r="I292" s="81"/>
      <c r="J292" s="81"/>
      <c r="K292" s="81"/>
      <c r="L292" s="81"/>
      <c r="M292" s="113"/>
      <c r="N292" s="81"/>
      <c r="O292" s="102"/>
      <c r="P292" s="81"/>
      <c r="Q292" s="90"/>
      <c r="S292" s="80"/>
      <c r="T292" s="80"/>
      <c r="AB292" s="75"/>
    </row>
    <row r="293" spans="1:28" x14ac:dyDescent="0.25">
      <c r="A293" s="110"/>
      <c r="B293" s="107"/>
      <c r="C293" s="81"/>
      <c r="D293" s="81"/>
      <c r="E293" s="81"/>
      <c r="F293" s="81"/>
      <c r="G293" s="81"/>
      <c r="H293" s="81"/>
      <c r="I293" s="81"/>
      <c r="J293" s="81"/>
      <c r="K293" s="81"/>
      <c r="L293" s="81"/>
      <c r="M293" s="113"/>
      <c r="N293" s="81"/>
      <c r="O293" s="102"/>
      <c r="P293" s="81"/>
      <c r="Q293" s="90"/>
      <c r="S293" s="80"/>
      <c r="T293" s="80"/>
      <c r="AB293" s="75"/>
    </row>
    <row r="294" spans="1:28" x14ac:dyDescent="0.25">
      <c r="A294" s="110"/>
      <c r="B294" s="107"/>
      <c r="C294" s="81"/>
      <c r="D294" s="81"/>
      <c r="E294" s="81"/>
      <c r="F294" s="81"/>
      <c r="G294" s="81"/>
      <c r="H294" s="81"/>
      <c r="I294" s="81"/>
      <c r="J294" s="81"/>
      <c r="K294" s="81"/>
      <c r="L294" s="81"/>
      <c r="M294" s="113"/>
      <c r="N294" s="81"/>
      <c r="O294" s="102"/>
      <c r="P294" s="81"/>
      <c r="Q294" s="90"/>
      <c r="S294" s="80"/>
      <c r="T294" s="80"/>
      <c r="AB294" s="75"/>
    </row>
    <row r="295" spans="1:28" x14ac:dyDescent="0.25">
      <c r="A295" s="110"/>
      <c r="B295" s="107"/>
      <c r="C295" s="81"/>
      <c r="D295" s="81"/>
      <c r="E295" s="81"/>
      <c r="F295" s="81"/>
      <c r="G295" s="81"/>
      <c r="H295" s="81"/>
      <c r="I295" s="81"/>
      <c r="J295" s="81"/>
      <c r="K295" s="81"/>
      <c r="L295" s="81"/>
      <c r="M295" s="113"/>
      <c r="N295" s="81"/>
      <c r="O295" s="102"/>
      <c r="P295" s="81"/>
      <c r="Q295" s="90"/>
      <c r="S295" s="80"/>
      <c r="T295" s="80"/>
      <c r="AB295" s="75"/>
    </row>
    <row r="296" spans="1:28" x14ac:dyDescent="0.25">
      <c r="A296" s="110"/>
      <c r="B296" s="107"/>
      <c r="C296" s="81"/>
      <c r="D296" s="81"/>
      <c r="E296" s="81"/>
      <c r="F296" s="81"/>
      <c r="G296" s="81"/>
      <c r="H296" s="81"/>
      <c r="I296" s="81"/>
      <c r="J296" s="81"/>
      <c r="K296" s="81"/>
      <c r="L296" s="81"/>
      <c r="M296" s="113"/>
      <c r="N296" s="81"/>
      <c r="O296" s="102"/>
      <c r="P296" s="81"/>
      <c r="Q296" s="90"/>
      <c r="S296" s="80"/>
      <c r="T296" s="80"/>
      <c r="AB296" s="75"/>
    </row>
    <row r="297" spans="1:28" x14ac:dyDescent="0.25">
      <c r="A297" s="110"/>
      <c r="B297" s="107"/>
      <c r="C297" s="81"/>
      <c r="D297" s="81"/>
      <c r="E297" s="81"/>
      <c r="F297" s="81"/>
      <c r="G297" s="81"/>
      <c r="H297" s="81"/>
      <c r="I297" s="81"/>
      <c r="J297" s="81"/>
      <c r="K297" s="81"/>
      <c r="L297" s="81"/>
      <c r="M297" s="113"/>
      <c r="N297" s="81"/>
      <c r="O297" s="102"/>
      <c r="P297" s="81"/>
      <c r="Q297" s="90"/>
      <c r="S297" s="80"/>
      <c r="T297" s="80"/>
      <c r="AB297" s="75"/>
    </row>
    <row r="298" spans="1:28" x14ac:dyDescent="0.25">
      <c r="A298" s="110"/>
      <c r="B298" s="107"/>
      <c r="C298" s="81"/>
      <c r="D298" s="81"/>
      <c r="E298" s="81"/>
      <c r="F298" s="81"/>
      <c r="G298" s="81"/>
      <c r="H298" s="81"/>
      <c r="I298" s="81"/>
      <c r="J298" s="81"/>
      <c r="K298" s="81"/>
      <c r="L298" s="81"/>
      <c r="M298" s="113"/>
      <c r="N298" s="81"/>
      <c r="O298" s="102"/>
      <c r="P298" s="81"/>
      <c r="Q298" s="90"/>
      <c r="S298" s="80"/>
      <c r="T298" s="80"/>
      <c r="AB298" s="75"/>
    </row>
    <row r="299" spans="1:28" x14ac:dyDescent="0.25">
      <c r="A299" s="110"/>
      <c r="B299" s="107"/>
      <c r="C299" s="81"/>
      <c r="D299" s="81"/>
      <c r="E299" s="81"/>
      <c r="F299" s="81"/>
      <c r="G299" s="81"/>
      <c r="H299" s="81"/>
      <c r="I299" s="81"/>
      <c r="J299" s="81"/>
      <c r="K299" s="81"/>
      <c r="L299" s="81"/>
      <c r="M299" s="113"/>
      <c r="N299" s="81"/>
      <c r="O299" s="102"/>
      <c r="P299" s="81"/>
      <c r="Q299" s="90"/>
      <c r="S299" s="80"/>
      <c r="T299" s="80"/>
      <c r="AB299" s="75"/>
    </row>
    <row r="300" spans="1:28" x14ac:dyDescent="0.25">
      <c r="A300" s="110"/>
      <c r="B300" s="107"/>
      <c r="C300" s="81"/>
      <c r="D300" s="81"/>
      <c r="E300" s="81"/>
      <c r="F300" s="81"/>
      <c r="G300" s="81"/>
      <c r="H300" s="81"/>
      <c r="I300" s="81"/>
      <c r="J300" s="81"/>
      <c r="K300" s="81"/>
      <c r="L300" s="81"/>
      <c r="M300" s="113"/>
      <c r="N300" s="81"/>
      <c r="O300" s="102"/>
      <c r="P300" s="81"/>
      <c r="Q300" s="90"/>
      <c r="S300" s="80"/>
      <c r="T300" s="80"/>
      <c r="AB300" s="75"/>
    </row>
    <row r="301" spans="1:28" x14ac:dyDescent="0.25">
      <c r="A301" s="110"/>
      <c r="B301" s="107"/>
      <c r="C301" s="81"/>
      <c r="D301" s="81"/>
      <c r="E301" s="81"/>
      <c r="F301" s="81"/>
      <c r="G301" s="81"/>
      <c r="H301" s="81"/>
      <c r="I301" s="81"/>
      <c r="J301" s="81"/>
      <c r="K301" s="81"/>
      <c r="L301" s="81"/>
      <c r="M301" s="113"/>
      <c r="N301" s="81"/>
      <c r="O301" s="102"/>
      <c r="P301" s="81"/>
      <c r="Q301" s="90"/>
      <c r="S301" s="80"/>
      <c r="T301" s="80"/>
      <c r="AB301" s="75"/>
    </row>
    <row r="302" spans="1:28" x14ac:dyDescent="0.25">
      <c r="A302" s="110"/>
      <c r="B302" s="107"/>
      <c r="C302" s="81"/>
      <c r="D302" s="81"/>
      <c r="E302" s="81"/>
      <c r="F302" s="81"/>
      <c r="G302" s="81"/>
      <c r="H302" s="81"/>
      <c r="I302" s="81"/>
      <c r="J302" s="81"/>
      <c r="K302" s="81"/>
      <c r="L302" s="81"/>
      <c r="M302" s="113"/>
      <c r="N302" s="81"/>
      <c r="O302" s="102"/>
      <c r="P302" s="81"/>
      <c r="Q302" s="90"/>
      <c r="S302" s="80"/>
      <c r="T302" s="80"/>
      <c r="AB302" s="75"/>
    </row>
    <row r="303" spans="1:28" x14ac:dyDescent="0.25">
      <c r="A303" s="110"/>
      <c r="B303" s="107"/>
      <c r="C303" s="81"/>
      <c r="D303" s="81"/>
      <c r="E303" s="81"/>
      <c r="F303" s="81"/>
      <c r="G303" s="81"/>
      <c r="H303" s="81"/>
      <c r="I303" s="81"/>
      <c r="J303" s="81"/>
      <c r="K303" s="81"/>
      <c r="L303" s="81"/>
      <c r="M303" s="113"/>
      <c r="N303" s="81"/>
      <c r="O303" s="102"/>
      <c r="P303" s="81"/>
      <c r="Q303" s="90"/>
      <c r="S303" s="80"/>
      <c r="T303" s="80"/>
      <c r="AB303" s="75"/>
    </row>
    <row r="304" spans="1:28" x14ac:dyDescent="0.25">
      <c r="A304" s="110"/>
      <c r="B304" s="107"/>
      <c r="C304" s="81"/>
      <c r="D304" s="81"/>
      <c r="E304" s="81"/>
      <c r="F304" s="81"/>
      <c r="G304" s="81"/>
      <c r="H304" s="81"/>
      <c r="I304" s="81"/>
      <c r="J304" s="81"/>
      <c r="K304" s="81"/>
      <c r="L304" s="81"/>
      <c r="M304" s="113"/>
      <c r="N304" s="81"/>
      <c r="O304" s="102"/>
      <c r="P304" s="81"/>
      <c r="Q304" s="90"/>
      <c r="S304" s="80"/>
      <c r="T304" s="80"/>
      <c r="AB304" s="75"/>
    </row>
    <row r="305" spans="1:28" x14ac:dyDescent="0.25">
      <c r="A305" s="110"/>
      <c r="B305" s="107"/>
      <c r="C305" s="81"/>
      <c r="D305" s="81"/>
      <c r="E305" s="81"/>
      <c r="F305" s="81"/>
      <c r="G305" s="81"/>
      <c r="H305" s="81"/>
      <c r="I305" s="81"/>
      <c r="J305" s="81"/>
      <c r="K305" s="81"/>
      <c r="L305" s="81"/>
      <c r="M305" s="113"/>
      <c r="N305" s="81"/>
      <c r="O305" s="102"/>
      <c r="P305" s="81"/>
      <c r="Q305" s="90"/>
      <c r="S305" s="80"/>
      <c r="T305" s="80"/>
      <c r="AB305" s="75"/>
    </row>
    <row r="306" spans="1:28" x14ac:dyDescent="0.25">
      <c r="A306" s="110"/>
      <c r="B306" s="107"/>
      <c r="C306" s="81"/>
      <c r="D306" s="81"/>
      <c r="E306" s="81"/>
      <c r="F306" s="81"/>
      <c r="G306" s="81"/>
      <c r="H306" s="81"/>
      <c r="I306" s="81"/>
      <c r="J306" s="81"/>
      <c r="K306" s="81"/>
      <c r="L306" s="81"/>
      <c r="M306" s="113"/>
      <c r="N306" s="81"/>
      <c r="O306" s="102"/>
      <c r="P306" s="81"/>
      <c r="Q306" s="90"/>
      <c r="S306" s="80"/>
      <c r="T306" s="80"/>
      <c r="AB306" s="75"/>
    </row>
    <row r="307" spans="1:28" x14ac:dyDescent="0.25">
      <c r="A307" s="110"/>
      <c r="B307" s="107"/>
      <c r="C307" s="81"/>
      <c r="D307" s="81"/>
      <c r="E307" s="81"/>
      <c r="F307" s="81"/>
      <c r="G307" s="81"/>
      <c r="H307" s="81"/>
      <c r="I307" s="81"/>
      <c r="J307" s="81"/>
      <c r="K307" s="81"/>
      <c r="L307" s="81"/>
      <c r="M307" s="113"/>
      <c r="N307" s="81"/>
      <c r="O307" s="102"/>
      <c r="P307" s="81"/>
      <c r="Q307" s="90"/>
      <c r="S307" s="80"/>
      <c r="T307" s="80"/>
      <c r="AB307" s="75"/>
    </row>
    <row r="308" spans="1:28" x14ac:dyDescent="0.25">
      <c r="A308" s="110"/>
      <c r="B308" s="107"/>
      <c r="C308" s="81"/>
      <c r="D308" s="81"/>
      <c r="E308" s="81"/>
      <c r="F308" s="81"/>
      <c r="G308" s="81"/>
      <c r="H308" s="81"/>
      <c r="I308" s="81"/>
      <c r="J308" s="81"/>
      <c r="K308" s="81"/>
      <c r="L308" s="81"/>
      <c r="M308" s="113"/>
      <c r="N308" s="81"/>
      <c r="O308" s="102"/>
      <c r="P308" s="81"/>
      <c r="Q308" s="90"/>
      <c r="S308" s="80"/>
      <c r="T308" s="80"/>
      <c r="AB308" s="75"/>
    </row>
    <row r="309" spans="1:28" x14ac:dyDescent="0.25">
      <c r="A309" s="110"/>
      <c r="B309" s="107"/>
      <c r="C309" s="81"/>
      <c r="D309" s="81"/>
      <c r="E309" s="81"/>
      <c r="F309" s="81"/>
      <c r="G309" s="81"/>
      <c r="H309" s="81"/>
      <c r="I309" s="81"/>
      <c r="J309" s="81"/>
      <c r="K309" s="81"/>
      <c r="L309" s="81"/>
      <c r="M309" s="113"/>
      <c r="N309" s="81"/>
      <c r="O309" s="102"/>
      <c r="P309" s="81"/>
      <c r="Q309" s="90"/>
      <c r="S309" s="80"/>
      <c r="T309" s="80"/>
      <c r="AB309" s="75"/>
    </row>
    <row r="310" spans="1:28" x14ac:dyDescent="0.25">
      <c r="A310" s="110"/>
      <c r="B310" s="107"/>
      <c r="C310" s="81"/>
      <c r="D310" s="81"/>
      <c r="E310" s="81"/>
      <c r="F310" s="81"/>
      <c r="G310" s="81"/>
      <c r="H310" s="81"/>
      <c r="I310" s="81"/>
      <c r="J310" s="81"/>
      <c r="K310" s="81"/>
      <c r="L310" s="81"/>
      <c r="M310" s="113"/>
      <c r="N310" s="81"/>
      <c r="O310" s="102"/>
      <c r="P310" s="81"/>
      <c r="Q310" s="90"/>
      <c r="S310" s="80"/>
      <c r="T310" s="80"/>
      <c r="AB310" s="75"/>
    </row>
    <row r="311" spans="1:28" x14ac:dyDescent="0.25">
      <c r="A311" s="110"/>
      <c r="B311" s="107"/>
      <c r="C311" s="81"/>
      <c r="D311" s="81"/>
      <c r="E311" s="81"/>
      <c r="F311" s="81"/>
      <c r="G311" s="81"/>
      <c r="H311" s="81"/>
      <c r="I311" s="81"/>
      <c r="J311" s="81"/>
      <c r="K311" s="81"/>
      <c r="L311" s="81"/>
      <c r="M311" s="113"/>
      <c r="N311" s="81"/>
      <c r="O311" s="102"/>
      <c r="P311" s="81"/>
      <c r="Q311" s="90"/>
      <c r="S311" s="80"/>
      <c r="T311" s="80"/>
      <c r="AB311" s="75"/>
    </row>
    <row r="312" spans="1:28" x14ac:dyDescent="0.25">
      <c r="A312" s="110"/>
      <c r="B312" s="107"/>
      <c r="C312" s="81"/>
      <c r="D312" s="81"/>
      <c r="E312" s="81"/>
      <c r="F312" s="81"/>
      <c r="G312" s="81"/>
      <c r="H312" s="81"/>
      <c r="I312" s="81"/>
      <c r="J312" s="81"/>
      <c r="K312" s="81"/>
      <c r="L312" s="81"/>
      <c r="M312" s="113"/>
      <c r="N312" s="81"/>
      <c r="O312" s="102"/>
      <c r="P312" s="81"/>
      <c r="Q312" s="90"/>
      <c r="S312" s="80"/>
      <c r="T312" s="80"/>
      <c r="AB312" s="75"/>
    </row>
    <row r="313" spans="1:28" x14ac:dyDescent="0.25">
      <c r="A313" s="110"/>
      <c r="B313" s="107"/>
      <c r="C313" s="81"/>
      <c r="D313" s="81"/>
      <c r="E313" s="81"/>
      <c r="F313" s="81"/>
      <c r="G313" s="81"/>
      <c r="H313" s="81"/>
      <c r="I313" s="81"/>
      <c r="J313" s="81"/>
      <c r="K313" s="81"/>
      <c r="L313" s="81"/>
      <c r="M313" s="113"/>
      <c r="N313" s="81"/>
      <c r="O313" s="102"/>
      <c r="P313" s="81"/>
      <c r="Q313" s="90"/>
      <c r="S313" s="80"/>
      <c r="T313" s="80"/>
      <c r="AB313" s="75"/>
    </row>
    <row r="314" spans="1:28" x14ac:dyDescent="0.25">
      <c r="A314" s="110"/>
      <c r="B314" s="107"/>
      <c r="C314" s="81"/>
      <c r="D314" s="81"/>
      <c r="E314" s="81"/>
      <c r="F314" s="81"/>
      <c r="G314" s="81"/>
      <c r="H314" s="81"/>
      <c r="I314" s="81"/>
      <c r="J314" s="81"/>
      <c r="K314" s="81"/>
      <c r="L314" s="81"/>
      <c r="M314" s="113"/>
      <c r="N314" s="81"/>
      <c r="O314" s="102"/>
      <c r="P314" s="81"/>
      <c r="Q314" s="90"/>
      <c r="S314" s="80"/>
      <c r="T314" s="80"/>
      <c r="AB314" s="75"/>
    </row>
    <row r="315" spans="1:28" x14ac:dyDescent="0.25">
      <c r="A315" s="110"/>
      <c r="B315" s="107"/>
      <c r="C315" s="81"/>
      <c r="D315" s="81"/>
      <c r="E315" s="81"/>
      <c r="F315" s="81"/>
      <c r="G315" s="81"/>
      <c r="H315" s="81"/>
      <c r="I315" s="81"/>
      <c r="J315" s="81"/>
      <c r="K315" s="81"/>
      <c r="L315" s="81"/>
      <c r="M315" s="113"/>
      <c r="N315" s="81"/>
      <c r="O315" s="102"/>
      <c r="P315" s="81"/>
      <c r="Q315" s="90"/>
      <c r="S315" s="80"/>
      <c r="T315" s="80"/>
      <c r="AB315" s="75"/>
    </row>
    <row r="316" spans="1:28" x14ac:dyDescent="0.25">
      <c r="A316" s="110"/>
      <c r="B316" s="107"/>
      <c r="C316" s="81"/>
      <c r="D316" s="81"/>
      <c r="E316" s="81"/>
      <c r="F316" s="81"/>
      <c r="G316" s="81"/>
      <c r="H316" s="81"/>
      <c r="I316" s="81"/>
      <c r="J316" s="81"/>
      <c r="K316" s="81"/>
      <c r="L316" s="81"/>
      <c r="M316" s="113"/>
      <c r="N316" s="81"/>
      <c r="O316" s="102"/>
      <c r="P316" s="81"/>
      <c r="Q316" s="90"/>
      <c r="S316" s="80"/>
      <c r="T316" s="80"/>
      <c r="AB316" s="75"/>
    </row>
    <row r="317" spans="1:28" x14ac:dyDescent="0.25">
      <c r="A317" s="110"/>
      <c r="B317" s="107"/>
      <c r="C317" s="81"/>
      <c r="D317" s="81"/>
      <c r="E317" s="81"/>
      <c r="F317" s="81"/>
      <c r="G317" s="81"/>
      <c r="H317" s="81"/>
      <c r="I317" s="81"/>
      <c r="J317" s="81"/>
      <c r="K317" s="81"/>
      <c r="L317" s="81"/>
      <c r="M317" s="113"/>
      <c r="N317" s="81"/>
      <c r="O317" s="102"/>
      <c r="P317" s="81"/>
      <c r="Q317" s="90"/>
      <c r="S317" s="80"/>
      <c r="T317" s="80"/>
      <c r="AB317" s="75"/>
    </row>
    <row r="318" spans="1:28" x14ac:dyDescent="0.25">
      <c r="A318" s="110"/>
      <c r="B318" s="107"/>
      <c r="C318" s="81"/>
      <c r="D318" s="81"/>
      <c r="E318" s="81"/>
      <c r="F318" s="81"/>
      <c r="G318" s="81"/>
      <c r="H318" s="81"/>
      <c r="I318" s="81"/>
      <c r="J318" s="81"/>
      <c r="K318" s="81"/>
      <c r="L318" s="81"/>
      <c r="M318" s="113"/>
      <c r="N318" s="81"/>
      <c r="O318" s="102"/>
      <c r="P318" s="81"/>
      <c r="Q318" s="90"/>
      <c r="S318" s="80"/>
      <c r="T318" s="80"/>
      <c r="AB318" s="75"/>
    </row>
    <row r="319" spans="1:28" x14ac:dyDescent="0.25">
      <c r="A319" s="110"/>
      <c r="B319" s="107"/>
      <c r="C319" s="81"/>
      <c r="D319" s="81"/>
      <c r="E319" s="81"/>
      <c r="F319" s="81"/>
      <c r="G319" s="81"/>
      <c r="H319" s="81"/>
      <c r="I319" s="81"/>
      <c r="J319" s="81"/>
      <c r="K319" s="81"/>
      <c r="L319" s="81"/>
      <c r="M319" s="113"/>
      <c r="N319" s="81"/>
      <c r="O319" s="102"/>
      <c r="P319" s="81"/>
      <c r="Q319" s="90"/>
      <c r="S319" s="80"/>
      <c r="T319" s="80"/>
      <c r="AB319" s="75"/>
    </row>
    <row r="320" spans="1:28" x14ac:dyDescent="0.25">
      <c r="A320" s="110"/>
      <c r="B320" s="107"/>
      <c r="C320" s="81"/>
      <c r="D320" s="81"/>
      <c r="E320" s="81"/>
      <c r="F320" s="81"/>
      <c r="G320" s="81"/>
      <c r="H320" s="81"/>
      <c r="I320" s="81"/>
      <c r="J320" s="81"/>
      <c r="K320" s="81"/>
      <c r="L320" s="81"/>
      <c r="M320" s="113"/>
      <c r="N320" s="81"/>
      <c r="O320" s="102"/>
      <c r="P320" s="81"/>
      <c r="Q320" s="90"/>
      <c r="S320" s="80"/>
      <c r="T320" s="80"/>
      <c r="AB320" s="75"/>
    </row>
    <row r="321" spans="1:28" x14ac:dyDescent="0.25">
      <c r="A321" s="110"/>
      <c r="B321" s="107"/>
      <c r="C321" s="81"/>
      <c r="D321" s="81"/>
      <c r="E321" s="81"/>
      <c r="F321" s="81"/>
      <c r="G321" s="81"/>
      <c r="H321" s="81"/>
      <c r="I321" s="81"/>
      <c r="J321" s="81"/>
      <c r="K321" s="81"/>
      <c r="L321" s="81"/>
      <c r="M321" s="113"/>
      <c r="N321" s="81"/>
      <c r="O321" s="102"/>
      <c r="P321" s="81"/>
      <c r="Q321" s="90"/>
      <c r="S321" s="80"/>
      <c r="T321" s="80"/>
      <c r="AB321" s="75"/>
    </row>
    <row r="322" spans="1:28" x14ac:dyDescent="0.25">
      <c r="A322" s="110"/>
      <c r="B322" s="107"/>
      <c r="C322" s="81"/>
      <c r="D322" s="81"/>
      <c r="E322" s="81"/>
      <c r="F322" s="81"/>
      <c r="G322" s="81"/>
      <c r="H322" s="81"/>
      <c r="I322" s="81"/>
      <c r="J322" s="81"/>
      <c r="K322" s="81"/>
      <c r="L322" s="81"/>
      <c r="M322" s="113"/>
      <c r="N322" s="81"/>
      <c r="O322" s="102"/>
      <c r="P322" s="81"/>
      <c r="Q322" s="90"/>
      <c r="S322" s="80"/>
      <c r="T322" s="80"/>
      <c r="AB322" s="75"/>
    </row>
    <row r="323" spans="1:28" x14ac:dyDescent="0.25">
      <c r="A323" s="110"/>
      <c r="B323" s="107"/>
      <c r="C323" s="81"/>
      <c r="D323" s="81"/>
      <c r="E323" s="81"/>
      <c r="F323" s="81"/>
      <c r="G323" s="81"/>
      <c r="H323" s="81"/>
      <c r="I323" s="81"/>
      <c r="J323" s="81"/>
      <c r="K323" s="81"/>
      <c r="L323" s="81"/>
      <c r="M323" s="113"/>
      <c r="N323" s="81"/>
      <c r="O323" s="102"/>
      <c r="P323" s="81"/>
      <c r="Q323" s="90"/>
      <c r="S323" s="80"/>
      <c r="T323" s="80"/>
      <c r="AB323" s="75"/>
    </row>
    <row r="324" spans="1:28" x14ac:dyDescent="0.25">
      <c r="A324" s="110"/>
      <c r="B324" s="107"/>
      <c r="C324" s="81"/>
      <c r="D324" s="81"/>
      <c r="E324" s="81"/>
      <c r="F324" s="81"/>
      <c r="G324" s="81"/>
      <c r="H324" s="81"/>
      <c r="I324" s="81"/>
      <c r="J324" s="81"/>
      <c r="K324" s="81"/>
      <c r="L324" s="81"/>
      <c r="M324" s="113"/>
      <c r="N324" s="81"/>
      <c r="O324" s="102"/>
      <c r="P324" s="81"/>
      <c r="Q324" s="90"/>
      <c r="S324" s="80"/>
      <c r="T324" s="80"/>
      <c r="AB324" s="75"/>
    </row>
    <row r="325" spans="1:28" x14ac:dyDescent="0.25">
      <c r="A325" s="110"/>
      <c r="B325" s="107"/>
      <c r="C325" s="81"/>
      <c r="D325" s="81"/>
      <c r="E325" s="81"/>
      <c r="F325" s="81"/>
      <c r="G325" s="81"/>
      <c r="H325" s="81"/>
      <c r="I325" s="81"/>
      <c r="J325" s="81"/>
      <c r="K325" s="81"/>
      <c r="L325" s="81"/>
      <c r="M325" s="113"/>
      <c r="N325" s="81"/>
      <c r="O325" s="102"/>
      <c r="P325" s="81"/>
      <c r="Q325" s="90"/>
      <c r="S325" s="80"/>
      <c r="T325" s="80"/>
      <c r="AB325" s="75"/>
    </row>
    <row r="326" spans="1:28" x14ac:dyDescent="0.25">
      <c r="A326" s="110"/>
      <c r="B326" s="107"/>
      <c r="C326" s="81"/>
      <c r="D326" s="81"/>
      <c r="E326" s="81"/>
      <c r="F326" s="81"/>
      <c r="G326" s="81"/>
      <c r="H326" s="81"/>
      <c r="I326" s="81"/>
      <c r="J326" s="81"/>
      <c r="K326" s="81"/>
      <c r="L326" s="81"/>
      <c r="M326" s="113"/>
      <c r="N326" s="81"/>
      <c r="O326" s="102"/>
      <c r="P326" s="81"/>
      <c r="Q326" s="90"/>
      <c r="S326" s="80"/>
      <c r="T326" s="80"/>
      <c r="AB326" s="75"/>
    </row>
    <row r="327" spans="1:28" x14ac:dyDescent="0.25">
      <c r="A327" s="110"/>
      <c r="B327" s="107"/>
      <c r="C327" s="81"/>
      <c r="D327" s="81"/>
      <c r="E327" s="81"/>
      <c r="F327" s="81"/>
      <c r="G327" s="81"/>
      <c r="H327" s="81"/>
      <c r="I327" s="81"/>
      <c r="J327" s="81"/>
      <c r="K327" s="81"/>
      <c r="L327" s="81"/>
      <c r="M327" s="113"/>
      <c r="N327" s="81"/>
      <c r="O327" s="102"/>
      <c r="P327" s="81"/>
      <c r="Q327" s="90"/>
      <c r="S327" s="80"/>
      <c r="T327" s="80"/>
      <c r="AB327" s="75"/>
    </row>
    <row r="328" spans="1:28" x14ac:dyDescent="0.25">
      <c r="A328" s="110"/>
      <c r="B328" s="107"/>
      <c r="C328" s="81"/>
      <c r="D328" s="81"/>
      <c r="E328" s="81"/>
      <c r="F328" s="81"/>
      <c r="G328" s="81"/>
      <c r="H328" s="81"/>
      <c r="I328" s="81"/>
      <c r="J328" s="81"/>
      <c r="K328" s="81"/>
      <c r="L328" s="81"/>
      <c r="M328" s="113"/>
      <c r="N328" s="81"/>
      <c r="O328" s="102"/>
      <c r="P328" s="81"/>
      <c r="Q328" s="90"/>
      <c r="S328" s="80"/>
      <c r="T328" s="80"/>
      <c r="AB328" s="75"/>
    </row>
    <row r="329" spans="1:28" x14ac:dyDescent="0.25">
      <c r="A329" s="110"/>
      <c r="B329" s="107"/>
      <c r="C329" s="81"/>
      <c r="D329" s="81"/>
      <c r="E329" s="81"/>
      <c r="F329" s="81"/>
      <c r="G329" s="81"/>
      <c r="H329" s="81"/>
      <c r="I329" s="81"/>
      <c r="J329" s="81"/>
      <c r="K329" s="81"/>
      <c r="L329" s="81"/>
      <c r="M329" s="113"/>
      <c r="N329" s="81"/>
      <c r="O329" s="102"/>
      <c r="P329" s="81"/>
      <c r="Q329" s="90"/>
      <c r="S329" s="80"/>
      <c r="T329" s="80"/>
      <c r="AB329" s="75"/>
    </row>
    <row r="330" spans="1:28" x14ac:dyDescent="0.25">
      <c r="A330" s="110"/>
      <c r="B330" s="107"/>
      <c r="C330" s="81"/>
      <c r="D330" s="81"/>
      <c r="E330" s="81"/>
      <c r="F330" s="81"/>
      <c r="G330" s="81"/>
      <c r="H330" s="81"/>
      <c r="I330" s="81"/>
      <c r="J330" s="81"/>
      <c r="K330" s="81"/>
      <c r="L330" s="81"/>
      <c r="M330" s="113"/>
      <c r="N330" s="81"/>
      <c r="O330" s="102"/>
      <c r="P330" s="81"/>
      <c r="Q330" s="90"/>
      <c r="S330" s="80"/>
      <c r="T330" s="80"/>
      <c r="AB330" s="75"/>
    </row>
    <row r="331" spans="1:28" x14ac:dyDescent="0.25">
      <c r="A331" s="110"/>
      <c r="B331" s="107"/>
      <c r="C331" s="81"/>
      <c r="D331" s="81"/>
      <c r="E331" s="81"/>
      <c r="F331" s="81"/>
      <c r="G331" s="81"/>
      <c r="H331" s="81"/>
      <c r="I331" s="81"/>
      <c r="J331" s="81"/>
      <c r="K331" s="81"/>
      <c r="L331" s="81"/>
      <c r="M331" s="113"/>
      <c r="N331" s="81"/>
      <c r="O331" s="102"/>
      <c r="P331" s="81"/>
      <c r="Q331" s="90"/>
      <c r="S331" s="80"/>
      <c r="T331" s="80"/>
      <c r="AB331" s="75"/>
    </row>
    <row r="332" spans="1:28" x14ac:dyDescent="0.25">
      <c r="A332" s="110"/>
      <c r="B332" s="107"/>
      <c r="C332" s="81"/>
      <c r="D332" s="81"/>
      <c r="E332" s="81"/>
      <c r="F332" s="81"/>
      <c r="G332" s="81"/>
      <c r="H332" s="81"/>
      <c r="I332" s="81"/>
      <c r="J332" s="81"/>
      <c r="K332" s="81"/>
      <c r="L332" s="81"/>
      <c r="M332" s="113"/>
      <c r="N332" s="81"/>
      <c r="O332" s="102"/>
      <c r="P332" s="81"/>
      <c r="Q332" s="90"/>
      <c r="S332" s="80"/>
      <c r="T332" s="80"/>
      <c r="AB332" s="75"/>
    </row>
    <row r="333" spans="1:28" x14ac:dyDescent="0.25">
      <c r="A333" s="110"/>
      <c r="B333" s="107"/>
      <c r="C333" s="81"/>
      <c r="D333" s="81"/>
      <c r="E333" s="81"/>
      <c r="F333" s="81"/>
      <c r="G333" s="81"/>
      <c r="H333" s="81"/>
      <c r="I333" s="81"/>
      <c r="J333" s="81"/>
      <c r="K333" s="81"/>
      <c r="L333" s="81"/>
      <c r="M333" s="113"/>
      <c r="N333" s="81"/>
      <c r="O333" s="102"/>
      <c r="P333" s="81"/>
      <c r="Q333" s="90"/>
      <c r="S333" s="80"/>
      <c r="T333" s="80"/>
      <c r="AB333" s="75"/>
    </row>
    <row r="334" spans="1:28" x14ac:dyDescent="0.25">
      <c r="A334" s="110"/>
      <c r="B334" s="107"/>
      <c r="C334" s="81"/>
      <c r="D334" s="81"/>
      <c r="E334" s="81"/>
      <c r="F334" s="81"/>
      <c r="G334" s="81"/>
      <c r="H334" s="81"/>
      <c r="I334" s="81"/>
      <c r="J334" s="81"/>
      <c r="K334" s="81"/>
      <c r="L334" s="81"/>
      <c r="M334" s="113"/>
      <c r="N334" s="81"/>
      <c r="O334" s="102"/>
      <c r="P334" s="81"/>
      <c r="Q334" s="90"/>
      <c r="S334" s="80"/>
      <c r="T334" s="80"/>
      <c r="AB334" s="75"/>
    </row>
    <row r="335" spans="1:28" x14ac:dyDescent="0.25">
      <c r="A335" s="110"/>
      <c r="B335" s="107"/>
      <c r="C335" s="81"/>
      <c r="D335" s="81"/>
      <c r="E335" s="81"/>
      <c r="F335" s="81"/>
      <c r="G335" s="81"/>
      <c r="H335" s="81"/>
      <c r="I335" s="81"/>
      <c r="J335" s="81"/>
      <c r="K335" s="81"/>
      <c r="L335" s="81"/>
      <c r="M335" s="113"/>
      <c r="N335" s="81"/>
      <c r="O335" s="102"/>
      <c r="P335" s="81"/>
      <c r="Q335" s="90"/>
      <c r="S335" s="80"/>
      <c r="T335" s="80"/>
      <c r="AB335" s="75"/>
    </row>
    <row r="336" spans="1:28" x14ac:dyDescent="0.25">
      <c r="A336" s="110"/>
      <c r="B336" s="107"/>
      <c r="C336" s="81"/>
      <c r="D336" s="81"/>
      <c r="E336" s="81"/>
      <c r="F336" s="81"/>
      <c r="G336" s="81"/>
      <c r="H336" s="81"/>
      <c r="I336" s="81"/>
      <c r="J336" s="81"/>
      <c r="K336" s="81"/>
      <c r="L336" s="81"/>
      <c r="M336" s="113"/>
      <c r="N336" s="81"/>
      <c r="O336" s="102"/>
      <c r="P336" s="81"/>
      <c r="Q336" s="90"/>
      <c r="S336" s="80"/>
      <c r="T336" s="80"/>
      <c r="AB336" s="75"/>
    </row>
    <row r="337" spans="1:28" x14ac:dyDescent="0.25">
      <c r="A337" s="110"/>
      <c r="B337" s="107"/>
      <c r="C337" s="81"/>
      <c r="D337" s="81"/>
      <c r="E337" s="81"/>
      <c r="F337" s="81"/>
      <c r="G337" s="81"/>
      <c r="H337" s="81"/>
      <c r="I337" s="81"/>
      <c r="J337" s="81"/>
      <c r="K337" s="81"/>
      <c r="L337" s="81"/>
      <c r="M337" s="113"/>
      <c r="N337" s="81"/>
      <c r="O337" s="102"/>
      <c r="P337" s="81"/>
      <c r="Q337" s="90"/>
      <c r="S337" s="80"/>
      <c r="T337" s="80"/>
      <c r="AB337" s="75"/>
    </row>
    <row r="338" spans="1:28" x14ac:dyDescent="0.25">
      <c r="A338" s="110"/>
      <c r="B338" s="107"/>
      <c r="C338" s="81"/>
      <c r="D338" s="81"/>
      <c r="E338" s="81"/>
      <c r="F338" s="81"/>
      <c r="G338" s="81"/>
      <c r="H338" s="81"/>
      <c r="I338" s="81"/>
      <c r="J338" s="81"/>
      <c r="K338" s="81"/>
      <c r="L338" s="81"/>
      <c r="M338" s="113"/>
      <c r="N338" s="81"/>
      <c r="O338" s="102"/>
      <c r="P338" s="81"/>
      <c r="Q338" s="90"/>
      <c r="S338" s="80"/>
      <c r="T338" s="80"/>
      <c r="AB338" s="75"/>
    </row>
    <row r="339" spans="1:28" x14ac:dyDescent="0.25">
      <c r="A339" s="110"/>
      <c r="B339" s="107"/>
      <c r="C339" s="81"/>
      <c r="D339" s="81"/>
      <c r="E339" s="81"/>
      <c r="F339" s="81"/>
      <c r="G339" s="81"/>
      <c r="H339" s="81"/>
      <c r="I339" s="81"/>
      <c r="J339" s="81"/>
      <c r="K339" s="81"/>
      <c r="L339" s="81"/>
      <c r="M339" s="113"/>
      <c r="N339" s="81"/>
      <c r="O339" s="102"/>
      <c r="P339" s="81"/>
      <c r="Q339" s="90"/>
      <c r="S339" s="80"/>
      <c r="T339" s="80"/>
      <c r="AB339" s="75"/>
    </row>
    <row r="340" spans="1:28" x14ac:dyDescent="0.25">
      <c r="A340" s="110"/>
      <c r="B340" s="107"/>
      <c r="C340" s="81"/>
      <c r="D340" s="81"/>
      <c r="E340" s="81"/>
      <c r="F340" s="81"/>
      <c r="G340" s="81"/>
      <c r="H340" s="81"/>
      <c r="I340" s="81"/>
      <c r="J340" s="81"/>
      <c r="K340" s="81"/>
      <c r="L340" s="81"/>
      <c r="M340" s="113"/>
      <c r="N340" s="81"/>
      <c r="O340" s="102"/>
      <c r="P340" s="81"/>
      <c r="Q340" s="90"/>
      <c r="S340" s="80"/>
      <c r="T340" s="80"/>
      <c r="AB340" s="75"/>
    </row>
    <row r="341" spans="1:28" x14ac:dyDescent="0.25">
      <c r="A341" s="110"/>
      <c r="B341" s="107"/>
      <c r="C341" s="81"/>
      <c r="D341" s="81"/>
      <c r="E341" s="81"/>
      <c r="F341" s="81"/>
      <c r="G341" s="81"/>
      <c r="H341" s="81"/>
      <c r="I341" s="81"/>
      <c r="J341" s="81"/>
      <c r="K341" s="81"/>
      <c r="L341" s="81"/>
      <c r="M341" s="113"/>
      <c r="N341" s="81"/>
      <c r="O341" s="102"/>
      <c r="P341" s="81"/>
      <c r="Q341" s="90"/>
      <c r="S341" s="80"/>
      <c r="T341" s="80"/>
      <c r="AB341" s="75"/>
    </row>
    <row r="342" spans="1:28" x14ac:dyDescent="0.25">
      <c r="A342" s="110"/>
      <c r="B342" s="107"/>
      <c r="C342" s="81"/>
      <c r="D342" s="81"/>
      <c r="E342" s="81"/>
      <c r="F342" s="81"/>
      <c r="G342" s="81"/>
      <c r="H342" s="81"/>
      <c r="I342" s="81"/>
      <c r="J342" s="81"/>
      <c r="K342" s="81"/>
      <c r="L342" s="81"/>
      <c r="M342" s="113"/>
      <c r="N342" s="81"/>
      <c r="O342" s="102"/>
      <c r="P342" s="81"/>
      <c r="Q342" s="90"/>
      <c r="S342" s="80"/>
      <c r="T342" s="80"/>
      <c r="AB342" s="75"/>
    </row>
    <row r="343" spans="1:28" x14ac:dyDescent="0.25">
      <c r="A343" s="110"/>
      <c r="B343" s="107"/>
      <c r="C343" s="81"/>
      <c r="D343" s="81"/>
      <c r="E343" s="81"/>
      <c r="F343" s="81"/>
      <c r="G343" s="81"/>
      <c r="H343" s="81"/>
      <c r="I343" s="81"/>
      <c r="J343" s="81"/>
      <c r="K343" s="81"/>
      <c r="L343" s="81"/>
      <c r="M343" s="113"/>
      <c r="N343" s="81"/>
      <c r="O343" s="102"/>
      <c r="P343" s="81"/>
      <c r="Q343" s="90"/>
      <c r="S343" s="80"/>
      <c r="T343" s="80"/>
      <c r="AB343" s="75"/>
    </row>
    <row r="344" spans="1:28" x14ac:dyDescent="0.25">
      <c r="A344" s="110"/>
      <c r="B344" s="107"/>
      <c r="C344" s="81"/>
      <c r="D344" s="81"/>
      <c r="E344" s="81"/>
      <c r="F344" s="81"/>
      <c r="G344" s="81"/>
      <c r="H344" s="81"/>
      <c r="I344" s="81"/>
      <c r="J344" s="81"/>
      <c r="K344" s="81"/>
      <c r="L344" s="81"/>
      <c r="M344" s="113"/>
      <c r="N344" s="81"/>
      <c r="O344" s="102"/>
      <c r="P344" s="81"/>
      <c r="Q344" s="90"/>
      <c r="S344" s="80"/>
      <c r="T344" s="80"/>
      <c r="AB344" s="75"/>
    </row>
    <row r="345" spans="1:28" x14ac:dyDescent="0.25">
      <c r="A345" s="110"/>
      <c r="B345" s="107"/>
      <c r="C345" s="81"/>
      <c r="D345" s="81"/>
      <c r="E345" s="81"/>
      <c r="F345" s="81"/>
      <c r="G345" s="81"/>
      <c r="H345" s="81"/>
      <c r="I345" s="81"/>
      <c r="J345" s="81"/>
      <c r="K345" s="81"/>
      <c r="L345" s="81"/>
      <c r="M345" s="113"/>
      <c r="N345" s="81"/>
      <c r="O345" s="102"/>
      <c r="P345" s="81"/>
      <c r="Q345" s="90"/>
      <c r="S345" s="80"/>
      <c r="T345" s="80"/>
      <c r="AB345" s="75"/>
    </row>
    <row r="346" spans="1:28" x14ac:dyDescent="0.25">
      <c r="A346" s="110"/>
      <c r="B346" s="107"/>
      <c r="C346" s="81"/>
      <c r="D346" s="81"/>
      <c r="E346" s="81"/>
      <c r="F346" s="81"/>
      <c r="G346" s="81"/>
      <c r="H346" s="81"/>
      <c r="I346" s="81"/>
      <c r="J346" s="81"/>
      <c r="K346" s="81"/>
      <c r="L346" s="81"/>
      <c r="M346" s="113"/>
      <c r="N346" s="81"/>
      <c r="O346" s="102"/>
      <c r="P346" s="81"/>
      <c r="Q346" s="90"/>
      <c r="S346" s="80"/>
      <c r="T346" s="80"/>
      <c r="AB346" s="75"/>
    </row>
    <row r="347" spans="1:28" x14ac:dyDescent="0.25">
      <c r="A347" s="110"/>
      <c r="B347" s="107"/>
      <c r="C347" s="81"/>
      <c r="D347" s="81"/>
      <c r="E347" s="81"/>
      <c r="F347" s="81"/>
      <c r="G347" s="81"/>
      <c r="H347" s="81"/>
      <c r="I347" s="81"/>
      <c r="J347" s="81"/>
      <c r="K347" s="81"/>
      <c r="L347" s="81"/>
      <c r="M347" s="113"/>
      <c r="N347" s="81"/>
      <c r="O347" s="102"/>
      <c r="P347" s="81"/>
      <c r="Q347" s="90"/>
      <c r="S347" s="80"/>
      <c r="T347" s="80"/>
      <c r="AB347" s="75"/>
    </row>
    <row r="348" spans="1:28" x14ac:dyDescent="0.25">
      <c r="A348" s="110"/>
      <c r="B348" s="107"/>
      <c r="C348" s="81"/>
      <c r="D348" s="81"/>
      <c r="E348" s="81"/>
      <c r="F348" s="81"/>
      <c r="G348" s="81"/>
      <c r="H348" s="81"/>
      <c r="I348" s="81"/>
      <c r="J348" s="81"/>
      <c r="K348" s="81"/>
      <c r="L348" s="81"/>
      <c r="M348" s="113"/>
      <c r="N348" s="81"/>
      <c r="O348" s="102"/>
      <c r="P348" s="81"/>
      <c r="Q348" s="90"/>
      <c r="S348" s="80"/>
      <c r="T348" s="80"/>
      <c r="AB348" s="75"/>
    </row>
    <row r="349" spans="1:28" x14ac:dyDescent="0.25">
      <c r="A349" s="110"/>
      <c r="B349" s="107"/>
      <c r="C349" s="81"/>
      <c r="D349" s="81"/>
      <c r="E349" s="81"/>
      <c r="F349" s="81"/>
      <c r="G349" s="81"/>
      <c r="H349" s="81"/>
      <c r="I349" s="81"/>
      <c r="J349" s="81"/>
      <c r="K349" s="81"/>
      <c r="L349" s="81"/>
      <c r="M349" s="113"/>
      <c r="N349" s="81"/>
      <c r="O349" s="102"/>
      <c r="P349" s="81"/>
      <c r="Q349" s="90"/>
      <c r="S349" s="80"/>
      <c r="T349" s="80"/>
      <c r="AB349" s="75"/>
    </row>
    <row r="350" spans="1:28" x14ac:dyDescent="0.25">
      <c r="A350" s="110"/>
      <c r="B350" s="107"/>
      <c r="C350" s="81"/>
      <c r="D350" s="81"/>
      <c r="E350" s="81"/>
      <c r="F350" s="81"/>
      <c r="G350" s="81"/>
      <c r="H350" s="81"/>
      <c r="I350" s="81"/>
      <c r="J350" s="81"/>
      <c r="K350" s="81"/>
      <c r="L350" s="81"/>
      <c r="M350" s="113"/>
      <c r="N350" s="81"/>
      <c r="O350" s="102"/>
      <c r="P350" s="81"/>
      <c r="Q350" s="90"/>
      <c r="S350" s="80"/>
      <c r="T350" s="80"/>
      <c r="AB350" s="75"/>
    </row>
    <row r="351" spans="1:28" x14ac:dyDescent="0.25">
      <c r="A351" s="110"/>
      <c r="B351" s="107"/>
      <c r="C351" s="81"/>
      <c r="D351" s="81"/>
      <c r="E351" s="81"/>
      <c r="F351" s="81"/>
      <c r="G351" s="81"/>
      <c r="H351" s="81"/>
      <c r="I351" s="81"/>
      <c r="J351" s="81"/>
      <c r="K351" s="81"/>
      <c r="L351" s="81"/>
      <c r="M351" s="113"/>
      <c r="N351" s="81"/>
      <c r="O351" s="102"/>
      <c r="P351" s="81"/>
      <c r="Q351" s="90"/>
      <c r="S351" s="80"/>
      <c r="T351" s="80"/>
      <c r="AB351" s="75"/>
    </row>
    <row r="352" spans="1:28" x14ac:dyDescent="0.25">
      <c r="A352" s="110"/>
      <c r="B352" s="107"/>
      <c r="C352" s="81"/>
      <c r="D352" s="81"/>
      <c r="E352" s="81"/>
      <c r="F352" s="81"/>
      <c r="G352" s="81"/>
      <c r="H352" s="81"/>
      <c r="I352" s="81"/>
      <c r="J352" s="81"/>
      <c r="K352" s="81"/>
      <c r="L352" s="81"/>
      <c r="M352" s="113"/>
      <c r="N352" s="81"/>
      <c r="O352" s="102"/>
      <c r="P352" s="81"/>
      <c r="Q352" s="90"/>
      <c r="S352" s="80"/>
      <c r="T352" s="80"/>
      <c r="AB352" s="75"/>
    </row>
    <row r="353" spans="1:28" x14ac:dyDescent="0.25">
      <c r="A353" s="110"/>
      <c r="B353" s="107"/>
      <c r="C353" s="81"/>
      <c r="D353" s="81"/>
      <c r="E353" s="81"/>
      <c r="F353" s="81"/>
      <c r="G353" s="81"/>
      <c r="H353" s="81"/>
      <c r="I353" s="81"/>
      <c r="J353" s="81"/>
      <c r="K353" s="81"/>
      <c r="L353" s="81"/>
      <c r="M353" s="113"/>
      <c r="N353" s="81"/>
      <c r="O353" s="102"/>
      <c r="P353" s="81"/>
      <c r="Q353" s="90"/>
      <c r="S353" s="80"/>
      <c r="T353" s="80"/>
      <c r="AB353" s="75"/>
    </row>
    <row r="354" spans="1:28" x14ac:dyDescent="0.25">
      <c r="A354" s="110"/>
      <c r="B354" s="107"/>
      <c r="C354" s="81"/>
      <c r="D354" s="81"/>
      <c r="E354" s="81"/>
      <c r="F354" s="81"/>
      <c r="G354" s="81"/>
      <c r="H354" s="81"/>
      <c r="I354" s="81"/>
      <c r="J354" s="81"/>
      <c r="K354" s="81"/>
      <c r="L354" s="81"/>
      <c r="M354" s="113"/>
      <c r="N354" s="81"/>
      <c r="O354" s="102"/>
      <c r="P354" s="81"/>
      <c r="Q354" s="90"/>
      <c r="S354" s="80"/>
      <c r="T354" s="80"/>
      <c r="AB354" s="75"/>
    </row>
    <row r="355" spans="1:28" x14ac:dyDescent="0.25">
      <c r="A355" s="110"/>
      <c r="B355" s="107"/>
      <c r="C355" s="81"/>
      <c r="D355" s="81"/>
      <c r="E355" s="81"/>
      <c r="F355" s="81"/>
      <c r="G355" s="81"/>
      <c r="H355" s="81"/>
      <c r="I355" s="81"/>
      <c r="J355" s="81"/>
      <c r="K355" s="81"/>
      <c r="L355" s="81"/>
      <c r="M355" s="113"/>
      <c r="N355" s="81"/>
      <c r="O355" s="102"/>
      <c r="P355" s="81"/>
      <c r="Q355" s="90"/>
      <c r="S355" s="80"/>
      <c r="T355" s="80"/>
      <c r="AB355" s="75"/>
    </row>
    <row r="356" spans="1:28" x14ac:dyDescent="0.25">
      <c r="A356" s="110"/>
      <c r="B356" s="107"/>
      <c r="C356" s="81"/>
      <c r="D356" s="81"/>
      <c r="E356" s="81"/>
      <c r="F356" s="81"/>
      <c r="G356" s="81"/>
      <c r="H356" s="81"/>
      <c r="I356" s="81"/>
      <c r="J356" s="81"/>
      <c r="K356" s="81"/>
      <c r="L356" s="81"/>
      <c r="M356" s="113"/>
      <c r="N356" s="81"/>
      <c r="O356" s="102"/>
      <c r="P356" s="81"/>
      <c r="Q356" s="90"/>
      <c r="S356" s="80"/>
      <c r="T356" s="80"/>
      <c r="AB356" s="75"/>
    </row>
    <row r="357" spans="1:28" x14ac:dyDescent="0.25">
      <c r="A357" s="110"/>
      <c r="B357" s="107"/>
      <c r="C357" s="81"/>
      <c r="D357" s="81"/>
      <c r="E357" s="81"/>
      <c r="F357" s="81"/>
      <c r="G357" s="81"/>
      <c r="H357" s="81"/>
      <c r="I357" s="81"/>
      <c r="J357" s="81"/>
      <c r="K357" s="81"/>
      <c r="L357" s="81"/>
      <c r="M357" s="113"/>
      <c r="N357" s="81"/>
      <c r="O357" s="102"/>
      <c r="P357" s="81"/>
      <c r="Q357" s="90"/>
      <c r="S357" s="80"/>
      <c r="T357" s="80"/>
      <c r="AB357" s="75"/>
    </row>
    <row r="358" spans="1:28" x14ac:dyDescent="0.25">
      <c r="A358" s="110"/>
      <c r="B358" s="107"/>
      <c r="C358" s="81"/>
      <c r="D358" s="81"/>
      <c r="E358" s="81"/>
      <c r="F358" s="81"/>
      <c r="G358" s="81"/>
      <c r="H358" s="81"/>
      <c r="I358" s="81"/>
      <c r="J358" s="81"/>
      <c r="K358" s="81"/>
      <c r="L358" s="81"/>
      <c r="M358" s="113"/>
      <c r="N358" s="81"/>
      <c r="O358" s="102"/>
      <c r="P358" s="81"/>
      <c r="Q358" s="90"/>
      <c r="S358" s="80"/>
      <c r="T358" s="80"/>
      <c r="AB358" s="75"/>
    </row>
    <row r="359" spans="1:28" x14ac:dyDescent="0.25">
      <c r="A359" s="110"/>
      <c r="B359" s="107"/>
      <c r="C359" s="81"/>
      <c r="D359" s="81"/>
      <c r="E359" s="81"/>
      <c r="F359" s="81"/>
      <c r="G359" s="81"/>
      <c r="H359" s="81"/>
      <c r="I359" s="81"/>
      <c r="J359" s="81"/>
      <c r="K359" s="81"/>
      <c r="L359" s="81"/>
      <c r="M359" s="113"/>
      <c r="N359" s="81"/>
      <c r="O359" s="102"/>
      <c r="P359" s="81"/>
      <c r="Q359" s="90"/>
      <c r="S359" s="80"/>
      <c r="T359" s="80"/>
      <c r="AB359" s="75"/>
    </row>
    <row r="360" spans="1:28" x14ac:dyDescent="0.25">
      <c r="A360" s="110"/>
      <c r="B360" s="107"/>
      <c r="C360" s="81"/>
      <c r="D360" s="81"/>
      <c r="E360" s="81"/>
      <c r="F360" s="81"/>
      <c r="G360" s="81"/>
      <c r="H360" s="81"/>
      <c r="I360" s="81"/>
      <c r="J360" s="81"/>
      <c r="K360" s="81"/>
      <c r="L360" s="81"/>
      <c r="M360" s="113"/>
      <c r="N360" s="81"/>
      <c r="O360" s="102"/>
      <c r="P360" s="81"/>
      <c r="Q360" s="90"/>
      <c r="S360" s="80"/>
      <c r="T360" s="80"/>
      <c r="AB360" s="75"/>
    </row>
    <row r="361" spans="1:28" x14ac:dyDescent="0.25">
      <c r="A361" s="110"/>
      <c r="B361" s="107"/>
      <c r="C361" s="81"/>
      <c r="D361" s="81"/>
      <c r="E361" s="81"/>
      <c r="F361" s="81"/>
      <c r="G361" s="81"/>
      <c r="H361" s="81"/>
      <c r="I361" s="81"/>
      <c r="J361" s="81"/>
      <c r="K361" s="81"/>
      <c r="L361" s="81"/>
      <c r="M361" s="113"/>
      <c r="N361" s="81"/>
      <c r="O361" s="102"/>
      <c r="P361" s="81"/>
      <c r="Q361" s="90"/>
      <c r="S361" s="80"/>
      <c r="T361" s="80"/>
      <c r="AB361" s="75"/>
    </row>
    <row r="362" spans="1:28" x14ac:dyDescent="0.25">
      <c r="A362" s="110"/>
      <c r="B362" s="107"/>
      <c r="C362" s="81"/>
      <c r="D362" s="81"/>
      <c r="E362" s="81"/>
      <c r="F362" s="81"/>
      <c r="G362" s="81"/>
      <c r="H362" s="81"/>
      <c r="I362" s="81"/>
      <c r="J362" s="81"/>
      <c r="K362" s="81"/>
      <c r="L362" s="81"/>
      <c r="M362" s="113"/>
      <c r="N362" s="81"/>
      <c r="O362" s="102"/>
      <c r="P362" s="81"/>
      <c r="Q362" s="90"/>
      <c r="S362" s="80"/>
      <c r="T362" s="80"/>
      <c r="AB362" s="75"/>
    </row>
    <row r="363" spans="1:28" x14ac:dyDescent="0.25">
      <c r="A363" s="110"/>
      <c r="B363" s="107"/>
      <c r="C363" s="81"/>
      <c r="D363" s="81"/>
      <c r="E363" s="81"/>
      <c r="F363" s="81"/>
      <c r="G363" s="81"/>
      <c r="H363" s="81"/>
      <c r="I363" s="81"/>
      <c r="J363" s="81"/>
      <c r="K363" s="81"/>
      <c r="L363" s="81"/>
      <c r="M363" s="113"/>
      <c r="N363" s="81"/>
      <c r="O363" s="102"/>
      <c r="P363" s="81"/>
      <c r="Q363" s="90"/>
      <c r="S363" s="80"/>
      <c r="T363" s="80"/>
      <c r="AB363" s="75"/>
    </row>
    <row r="364" spans="1:28" x14ac:dyDescent="0.25">
      <c r="A364" s="110"/>
      <c r="B364" s="107"/>
      <c r="C364" s="81"/>
      <c r="D364" s="81"/>
      <c r="E364" s="81"/>
      <c r="F364" s="81"/>
      <c r="G364" s="81"/>
      <c r="H364" s="81"/>
      <c r="I364" s="81"/>
      <c r="J364" s="81"/>
      <c r="K364" s="81"/>
      <c r="L364" s="81"/>
      <c r="M364" s="113"/>
      <c r="N364" s="81"/>
      <c r="O364" s="102"/>
      <c r="P364" s="81"/>
      <c r="Q364" s="90"/>
      <c r="S364" s="80"/>
      <c r="T364" s="80"/>
      <c r="AB364" s="75"/>
    </row>
    <row r="365" spans="1:28" x14ac:dyDescent="0.25">
      <c r="A365" s="110"/>
      <c r="B365" s="107"/>
      <c r="C365" s="81"/>
      <c r="D365" s="81"/>
      <c r="E365" s="81"/>
      <c r="F365" s="81"/>
      <c r="G365" s="81"/>
      <c r="H365" s="81"/>
      <c r="I365" s="81"/>
      <c r="J365" s="81"/>
      <c r="K365" s="81"/>
      <c r="L365" s="81"/>
      <c r="M365" s="113"/>
      <c r="N365" s="81"/>
      <c r="O365" s="102"/>
      <c r="P365" s="81"/>
      <c r="Q365" s="90"/>
      <c r="S365" s="80"/>
      <c r="T365" s="80"/>
      <c r="AB365" s="75"/>
    </row>
    <row r="366" spans="1:28" x14ac:dyDescent="0.25">
      <c r="A366" s="110"/>
      <c r="B366" s="107"/>
      <c r="C366" s="81"/>
      <c r="D366" s="81"/>
      <c r="E366" s="81"/>
      <c r="F366" s="81"/>
      <c r="G366" s="81"/>
      <c r="H366" s="81"/>
      <c r="I366" s="81"/>
      <c r="J366" s="81"/>
      <c r="K366" s="81"/>
      <c r="L366" s="81"/>
      <c r="M366" s="113"/>
      <c r="N366" s="81"/>
      <c r="O366" s="102"/>
      <c r="P366" s="81"/>
      <c r="Q366" s="90"/>
      <c r="S366" s="80"/>
      <c r="T366" s="80"/>
      <c r="AB366" s="75"/>
    </row>
    <row r="367" spans="1:28" x14ac:dyDescent="0.25">
      <c r="A367" s="110"/>
      <c r="B367" s="107"/>
      <c r="C367" s="81"/>
      <c r="D367" s="81"/>
      <c r="E367" s="81"/>
      <c r="F367" s="81"/>
      <c r="G367" s="81"/>
      <c r="H367" s="81"/>
      <c r="I367" s="81"/>
      <c r="J367" s="81"/>
      <c r="K367" s="81"/>
      <c r="L367" s="81"/>
      <c r="M367" s="113"/>
      <c r="N367" s="81"/>
      <c r="O367" s="102"/>
      <c r="P367" s="81"/>
      <c r="Q367" s="90"/>
      <c r="S367" s="80"/>
      <c r="T367" s="80"/>
      <c r="AB367" s="75"/>
    </row>
    <row r="368" spans="1:28" x14ac:dyDescent="0.25">
      <c r="A368" s="110"/>
      <c r="B368" s="107"/>
      <c r="C368" s="81"/>
      <c r="D368" s="81"/>
      <c r="E368" s="81"/>
      <c r="F368" s="81"/>
      <c r="G368" s="81"/>
      <c r="H368" s="81"/>
      <c r="I368" s="81"/>
      <c r="J368" s="81"/>
      <c r="K368" s="81"/>
      <c r="L368" s="81"/>
      <c r="M368" s="113"/>
      <c r="N368" s="81"/>
      <c r="O368" s="102"/>
      <c r="P368" s="81"/>
      <c r="Q368" s="90"/>
      <c r="S368" s="80"/>
      <c r="T368" s="80"/>
      <c r="AB368" s="75"/>
    </row>
    <row r="369" spans="1:28" x14ac:dyDescent="0.25">
      <c r="A369" s="110"/>
      <c r="B369" s="107"/>
      <c r="C369" s="81"/>
      <c r="D369" s="81"/>
      <c r="E369" s="81"/>
      <c r="F369" s="81"/>
      <c r="G369" s="81"/>
      <c r="H369" s="81"/>
      <c r="I369" s="81"/>
      <c r="J369" s="81"/>
      <c r="K369" s="81"/>
      <c r="L369" s="81"/>
      <c r="M369" s="113"/>
      <c r="N369" s="81"/>
      <c r="O369" s="102"/>
      <c r="P369" s="81"/>
      <c r="Q369" s="90"/>
      <c r="S369" s="80"/>
      <c r="T369" s="80"/>
      <c r="AB369" s="75"/>
    </row>
    <row r="370" spans="1:28" x14ac:dyDescent="0.25">
      <c r="A370" s="110"/>
      <c r="B370" s="107"/>
      <c r="C370" s="81"/>
      <c r="D370" s="81"/>
      <c r="E370" s="81"/>
      <c r="F370" s="81"/>
      <c r="G370" s="81"/>
      <c r="H370" s="81"/>
      <c r="I370" s="81"/>
      <c r="J370" s="81"/>
      <c r="K370" s="81"/>
      <c r="L370" s="81"/>
      <c r="M370" s="113"/>
      <c r="N370" s="81"/>
      <c r="O370" s="102"/>
      <c r="P370" s="81"/>
      <c r="Q370" s="90"/>
      <c r="S370" s="80"/>
      <c r="T370" s="80"/>
      <c r="AB370" s="75"/>
    </row>
    <row r="371" spans="1:28" x14ac:dyDescent="0.25">
      <c r="A371" s="110"/>
      <c r="B371" s="107"/>
      <c r="C371" s="81"/>
      <c r="D371" s="81"/>
      <c r="E371" s="81"/>
      <c r="F371" s="81"/>
      <c r="G371" s="81"/>
      <c r="H371" s="81"/>
      <c r="I371" s="81"/>
      <c r="J371" s="81"/>
      <c r="K371" s="81"/>
      <c r="L371" s="81"/>
      <c r="M371" s="113"/>
      <c r="N371" s="81"/>
      <c r="O371" s="102"/>
      <c r="P371" s="81"/>
      <c r="Q371" s="90"/>
      <c r="S371" s="80"/>
      <c r="T371" s="80"/>
      <c r="AB371" s="75"/>
    </row>
    <row r="372" spans="1:28" x14ac:dyDescent="0.25">
      <c r="A372" s="110"/>
      <c r="B372" s="107"/>
      <c r="C372" s="81"/>
      <c r="D372" s="81"/>
      <c r="E372" s="81"/>
      <c r="F372" s="81"/>
      <c r="G372" s="81"/>
      <c r="H372" s="81"/>
      <c r="I372" s="81"/>
      <c r="J372" s="81"/>
      <c r="K372" s="81"/>
      <c r="L372" s="81"/>
      <c r="M372" s="113"/>
      <c r="N372" s="81"/>
      <c r="O372" s="102"/>
      <c r="P372" s="81"/>
      <c r="Q372" s="90"/>
      <c r="S372" s="80"/>
      <c r="T372" s="80"/>
      <c r="AB372" s="75"/>
    </row>
    <row r="373" spans="1:28" x14ac:dyDescent="0.25">
      <c r="A373" s="110"/>
      <c r="B373" s="107"/>
      <c r="C373" s="81"/>
      <c r="D373" s="81"/>
      <c r="E373" s="81"/>
      <c r="F373" s="81"/>
      <c r="G373" s="81"/>
      <c r="H373" s="81"/>
      <c r="I373" s="81"/>
      <c r="J373" s="81"/>
      <c r="K373" s="81"/>
      <c r="L373" s="81"/>
      <c r="M373" s="113"/>
      <c r="N373" s="81"/>
      <c r="O373" s="102"/>
      <c r="P373" s="81"/>
      <c r="Q373" s="90"/>
      <c r="S373" s="80"/>
      <c r="T373" s="80"/>
      <c r="AB373" s="75"/>
    </row>
    <row r="374" spans="1:28" x14ac:dyDescent="0.25">
      <c r="A374" s="110"/>
      <c r="B374" s="107"/>
      <c r="C374" s="81"/>
      <c r="D374" s="81"/>
      <c r="E374" s="81"/>
      <c r="F374" s="81"/>
      <c r="G374" s="81"/>
      <c r="H374" s="81"/>
      <c r="I374" s="81"/>
      <c r="J374" s="81"/>
      <c r="K374" s="81"/>
      <c r="L374" s="81"/>
      <c r="M374" s="113"/>
      <c r="N374" s="81"/>
      <c r="O374" s="102"/>
      <c r="P374" s="81"/>
      <c r="Q374" s="90"/>
      <c r="S374" s="80"/>
      <c r="T374" s="80"/>
      <c r="AB374" s="75"/>
    </row>
    <row r="375" spans="1:28" x14ac:dyDescent="0.25">
      <c r="A375" s="110"/>
      <c r="B375" s="107"/>
      <c r="C375" s="81"/>
      <c r="D375" s="81"/>
      <c r="E375" s="81"/>
      <c r="F375" s="81"/>
      <c r="G375" s="81"/>
      <c r="H375" s="81"/>
      <c r="I375" s="81"/>
      <c r="J375" s="81"/>
      <c r="K375" s="81"/>
      <c r="L375" s="81"/>
      <c r="M375" s="113"/>
      <c r="N375" s="81"/>
      <c r="O375" s="102"/>
      <c r="P375" s="81"/>
      <c r="Q375" s="90"/>
      <c r="S375" s="80"/>
      <c r="T375" s="80"/>
      <c r="AB375" s="75"/>
    </row>
    <row r="376" spans="1:28" x14ac:dyDescent="0.25">
      <c r="A376" s="110"/>
      <c r="B376" s="107"/>
      <c r="C376" s="81"/>
      <c r="D376" s="81"/>
      <c r="E376" s="81"/>
      <c r="F376" s="81"/>
      <c r="G376" s="81"/>
      <c r="H376" s="81"/>
      <c r="I376" s="81"/>
      <c r="J376" s="81"/>
      <c r="K376" s="81"/>
      <c r="L376" s="81"/>
      <c r="M376" s="113"/>
      <c r="N376" s="81"/>
      <c r="O376" s="102"/>
      <c r="P376" s="81"/>
      <c r="Q376" s="90"/>
      <c r="S376" s="80"/>
      <c r="T376" s="80"/>
      <c r="AB376" s="75"/>
    </row>
    <row r="377" spans="1:28" x14ac:dyDescent="0.25">
      <c r="A377" s="110"/>
      <c r="B377" s="107"/>
      <c r="C377" s="81"/>
      <c r="D377" s="81"/>
      <c r="E377" s="81"/>
      <c r="F377" s="81"/>
      <c r="G377" s="81"/>
      <c r="H377" s="81"/>
      <c r="I377" s="81"/>
      <c r="J377" s="81"/>
      <c r="K377" s="81"/>
      <c r="L377" s="81"/>
      <c r="M377" s="113"/>
      <c r="N377" s="81"/>
      <c r="O377" s="102"/>
      <c r="P377" s="81"/>
      <c r="Q377" s="90"/>
      <c r="S377" s="80"/>
      <c r="T377" s="80"/>
      <c r="AB377" s="75"/>
    </row>
    <row r="378" spans="1:28" x14ac:dyDescent="0.25">
      <c r="A378" s="110"/>
      <c r="B378" s="107"/>
      <c r="C378" s="81"/>
      <c r="D378" s="81"/>
      <c r="E378" s="81"/>
      <c r="F378" s="81"/>
      <c r="G378" s="81"/>
      <c r="H378" s="81"/>
      <c r="I378" s="81"/>
      <c r="J378" s="81"/>
      <c r="K378" s="81"/>
      <c r="L378" s="81"/>
      <c r="M378" s="113"/>
      <c r="N378" s="81"/>
      <c r="O378" s="102"/>
      <c r="P378" s="81"/>
      <c r="Q378" s="90"/>
      <c r="S378" s="80"/>
      <c r="T378" s="80"/>
      <c r="AB378" s="75"/>
    </row>
    <row r="379" spans="1:28" x14ac:dyDescent="0.25">
      <c r="A379" s="110"/>
      <c r="B379" s="107"/>
      <c r="C379" s="81"/>
      <c r="D379" s="81"/>
      <c r="E379" s="81"/>
      <c r="F379" s="81"/>
      <c r="G379" s="81"/>
      <c r="H379" s="81"/>
      <c r="I379" s="81"/>
      <c r="J379" s="81"/>
      <c r="K379" s="81"/>
      <c r="L379" s="81"/>
      <c r="M379" s="113"/>
      <c r="N379" s="81"/>
      <c r="O379" s="102"/>
      <c r="P379" s="81"/>
      <c r="Q379" s="90"/>
      <c r="S379" s="80"/>
      <c r="T379" s="80"/>
      <c r="AB379" s="75"/>
    </row>
    <row r="380" spans="1:28" x14ac:dyDescent="0.25">
      <c r="A380" s="110"/>
      <c r="B380" s="107"/>
      <c r="C380" s="81"/>
      <c r="D380" s="81"/>
      <c r="E380" s="81"/>
      <c r="F380" s="81"/>
      <c r="G380" s="81"/>
      <c r="H380" s="81"/>
      <c r="I380" s="81"/>
      <c r="J380" s="81"/>
      <c r="K380" s="81"/>
      <c r="L380" s="81"/>
      <c r="M380" s="113"/>
      <c r="N380" s="81"/>
      <c r="O380" s="102"/>
      <c r="P380" s="81"/>
      <c r="Q380" s="90"/>
      <c r="S380" s="80"/>
      <c r="T380" s="80"/>
      <c r="AB380" s="75"/>
    </row>
    <row r="381" spans="1:28" x14ac:dyDescent="0.25">
      <c r="A381" s="110"/>
      <c r="B381" s="107"/>
      <c r="C381" s="81"/>
      <c r="D381" s="81"/>
      <c r="E381" s="81"/>
      <c r="F381" s="81"/>
      <c r="G381" s="81"/>
      <c r="H381" s="81"/>
      <c r="I381" s="81"/>
      <c r="J381" s="81"/>
      <c r="K381" s="81"/>
      <c r="L381" s="81"/>
      <c r="M381" s="113"/>
      <c r="N381" s="81"/>
      <c r="O381" s="102"/>
      <c r="P381" s="81"/>
      <c r="Q381" s="90"/>
      <c r="S381" s="80"/>
      <c r="T381" s="80"/>
      <c r="AB381" s="75"/>
    </row>
    <row r="382" spans="1:28" x14ac:dyDescent="0.25">
      <c r="A382" s="110"/>
      <c r="B382" s="107"/>
      <c r="C382" s="81"/>
      <c r="D382" s="81"/>
      <c r="E382" s="81"/>
      <c r="F382" s="81"/>
      <c r="G382" s="81"/>
      <c r="H382" s="81"/>
      <c r="I382" s="81"/>
      <c r="J382" s="81"/>
      <c r="K382" s="81"/>
      <c r="L382" s="81"/>
      <c r="M382" s="113"/>
      <c r="N382" s="81"/>
      <c r="O382" s="102"/>
      <c r="P382" s="81"/>
      <c r="Q382" s="90"/>
      <c r="S382" s="80"/>
      <c r="T382" s="80"/>
      <c r="AB382" s="75"/>
    </row>
    <row r="383" spans="1:28" x14ac:dyDescent="0.25">
      <c r="A383" s="110"/>
      <c r="B383" s="107"/>
      <c r="C383" s="81"/>
      <c r="D383" s="81"/>
      <c r="E383" s="81"/>
      <c r="F383" s="81"/>
      <c r="G383" s="81"/>
      <c r="H383" s="81"/>
      <c r="I383" s="81"/>
      <c r="J383" s="81"/>
      <c r="K383" s="81"/>
      <c r="L383" s="81"/>
      <c r="M383" s="113"/>
      <c r="N383" s="81"/>
      <c r="O383" s="102"/>
      <c r="P383" s="81"/>
      <c r="Q383" s="90"/>
      <c r="S383" s="80"/>
      <c r="T383" s="80"/>
      <c r="AB383" s="75"/>
    </row>
    <row r="384" spans="1:28" x14ac:dyDescent="0.25">
      <c r="A384" s="110"/>
      <c r="B384" s="107"/>
      <c r="C384" s="81"/>
      <c r="D384" s="81"/>
      <c r="E384" s="81"/>
      <c r="F384" s="81"/>
      <c r="G384" s="81"/>
      <c r="H384" s="81"/>
      <c r="I384" s="81"/>
      <c r="J384" s="81"/>
      <c r="K384" s="81"/>
      <c r="L384" s="81"/>
      <c r="M384" s="113"/>
      <c r="N384" s="81"/>
      <c r="O384" s="102"/>
      <c r="P384" s="81"/>
      <c r="Q384" s="90"/>
      <c r="S384" s="80"/>
      <c r="T384" s="80"/>
      <c r="AB384" s="75"/>
    </row>
    <row r="385" spans="1:28" x14ac:dyDescent="0.25">
      <c r="A385" s="110"/>
      <c r="B385" s="107"/>
      <c r="C385" s="81"/>
      <c r="D385" s="81"/>
      <c r="E385" s="81"/>
      <c r="F385" s="81"/>
      <c r="G385" s="81"/>
      <c r="H385" s="81"/>
      <c r="I385" s="81"/>
      <c r="J385" s="81"/>
      <c r="K385" s="81"/>
      <c r="L385" s="81"/>
      <c r="M385" s="113"/>
      <c r="N385" s="81"/>
      <c r="O385" s="102"/>
      <c r="P385" s="81"/>
      <c r="Q385" s="90"/>
      <c r="S385" s="80"/>
      <c r="T385" s="80"/>
      <c r="AB385" s="75"/>
    </row>
    <row r="386" spans="1:28" x14ac:dyDescent="0.25">
      <c r="A386" s="110"/>
      <c r="B386" s="107"/>
      <c r="C386" s="81"/>
      <c r="D386" s="81"/>
      <c r="E386" s="81"/>
      <c r="F386" s="81"/>
      <c r="G386" s="81"/>
      <c r="H386" s="81"/>
      <c r="I386" s="81"/>
      <c r="J386" s="81"/>
      <c r="K386" s="81"/>
      <c r="L386" s="81"/>
      <c r="M386" s="113"/>
      <c r="N386" s="81"/>
      <c r="O386" s="102"/>
      <c r="P386" s="81"/>
      <c r="Q386" s="90"/>
      <c r="S386" s="80"/>
      <c r="T386" s="80"/>
      <c r="AB386" s="75"/>
    </row>
    <row r="387" spans="1:28" x14ac:dyDescent="0.25">
      <c r="A387" s="110"/>
      <c r="B387" s="107"/>
      <c r="C387" s="81"/>
      <c r="D387" s="81"/>
      <c r="E387" s="81"/>
      <c r="F387" s="81"/>
      <c r="G387" s="81"/>
      <c r="H387" s="81"/>
      <c r="I387" s="81"/>
      <c r="J387" s="81"/>
      <c r="K387" s="81"/>
      <c r="L387" s="81"/>
      <c r="M387" s="113"/>
      <c r="N387" s="81"/>
      <c r="O387" s="102"/>
      <c r="P387" s="81"/>
      <c r="Q387" s="90"/>
      <c r="S387" s="80"/>
      <c r="T387" s="80"/>
      <c r="AB387" s="75"/>
    </row>
    <row r="388" spans="1:28" x14ac:dyDescent="0.25">
      <c r="A388" s="110"/>
      <c r="B388" s="107"/>
      <c r="C388" s="81"/>
      <c r="D388" s="81"/>
      <c r="E388" s="81"/>
      <c r="F388" s="81"/>
      <c r="G388" s="81"/>
      <c r="H388" s="81"/>
      <c r="I388" s="81"/>
      <c r="J388" s="81"/>
      <c r="K388" s="81"/>
      <c r="L388" s="81"/>
      <c r="M388" s="113"/>
      <c r="N388" s="81"/>
      <c r="O388" s="102"/>
      <c r="P388" s="81"/>
      <c r="Q388" s="90"/>
      <c r="S388" s="80"/>
      <c r="T388" s="80"/>
      <c r="AB388" s="75"/>
    </row>
    <row r="389" spans="1:28" x14ac:dyDescent="0.25">
      <c r="A389" s="110"/>
      <c r="B389" s="107"/>
      <c r="C389" s="81"/>
      <c r="D389" s="81"/>
      <c r="E389" s="81"/>
      <c r="F389" s="81"/>
      <c r="G389" s="81"/>
      <c r="H389" s="81"/>
      <c r="I389" s="81"/>
      <c r="J389" s="81"/>
      <c r="K389" s="81"/>
      <c r="L389" s="81"/>
      <c r="M389" s="113"/>
      <c r="N389" s="81"/>
      <c r="O389" s="102"/>
      <c r="P389" s="81"/>
      <c r="Q389" s="90"/>
      <c r="S389" s="80"/>
      <c r="T389" s="80"/>
      <c r="AB389" s="75"/>
    </row>
    <row r="390" spans="1:28" x14ac:dyDescent="0.25">
      <c r="A390" s="110"/>
      <c r="B390" s="107"/>
      <c r="C390" s="81"/>
      <c r="D390" s="81"/>
      <c r="E390" s="81"/>
      <c r="F390" s="81"/>
      <c r="G390" s="81"/>
      <c r="H390" s="81"/>
      <c r="I390" s="81"/>
      <c r="J390" s="81"/>
      <c r="K390" s="81"/>
      <c r="L390" s="81"/>
      <c r="M390" s="113"/>
      <c r="N390" s="81"/>
      <c r="O390" s="102"/>
      <c r="P390" s="81"/>
      <c r="Q390" s="90"/>
      <c r="S390" s="80"/>
      <c r="T390" s="80"/>
      <c r="AB390" s="75"/>
    </row>
    <row r="391" spans="1:28" x14ac:dyDescent="0.25">
      <c r="A391" s="110"/>
      <c r="B391" s="107"/>
      <c r="C391" s="81"/>
      <c r="D391" s="81"/>
      <c r="E391" s="81"/>
      <c r="F391" s="81"/>
      <c r="G391" s="81"/>
      <c r="H391" s="81"/>
      <c r="I391" s="81"/>
      <c r="J391" s="81"/>
      <c r="K391" s="81"/>
      <c r="L391" s="81"/>
      <c r="M391" s="113"/>
      <c r="N391" s="81"/>
      <c r="O391" s="102"/>
      <c r="P391" s="81"/>
      <c r="Q391" s="90"/>
      <c r="S391" s="80"/>
      <c r="T391" s="80"/>
      <c r="AB391" s="75"/>
    </row>
    <row r="392" spans="1:28" x14ac:dyDescent="0.25">
      <c r="A392" s="110"/>
      <c r="B392" s="107"/>
      <c r="C392" s="81"/>
      <c r="D392" s="81"/>
      <c r="E392" s="81"/>
      <c r="F392" s="81"/>
      <c r="G392" s="81"/>
      <c r="H392" s="81"/>
      <c r="I392" s="81"/>
      <c r="J392" s="81"/>
      <c r="K392" s="81"/>
      <c r="L392" s="81"/>
      <c r="M392" s="113"/>
      <c r="N392" s="81"/>
      <c r="O392" s="102"/>
      <c r="P392" s="81"/>
      <c r="Q392" s="90"/>
      <c r="S392" s="80"/>
      <c r="T392" s="80"/>
      <c r="AB392" s="75"/>
    </row>
    <row r="393" spans="1:28" x14ac:dyDescent="0.25">
      <c r="A393" s="110"/>
      <c r="B393" s="107"/>
      <c r="C393" s="81"/>
      <c r="D393" s="81"/>
      <c r="E393" s="81"/>
      <c r="F393" s="81"/>
      <c r="G393" s="81"/>
      <c r="H393" s="81"/>
      <c r="I393" s="81"/>
      <c r="J393" s="81"/>
      <c r="K393" s="81"/>
      <c r="L393" s="81"/>
      <c r="M393" s="113"/>
      <c r="N393" s="81"/>
      <c r="O393" s="102"/>
      <c r="P393" s="81"/>
      <c r="Q393" s="90"/>
      <c r="S393" s="80"/>
      <c r="T393" s="80"/>
      <c r="AB393" s="75"/>
    </row>
    <row r="394" spans="1:28" x14ac:dyDescent="0.25">
      <c r="A394" s="110"/>
      <c r="B394" s="107"/>
      <c r="C394" s="81"/>
      <c r="D394" s="81"/>
      <c r="E394" s="81"/>
      <c r="F394" s="81"/>
      <c r="G394" s="81"/>
      <c r="H394" s="81"/>
      <c r="I394" s="81"/>
      <c r="J394" s="81"/>
      <c r="K394" s="81"/>
      <c r="L394" s="81"/>
      <c r="M394" s="113"/>
      <c r="N394" s="81"/>
      <c r="O394" s="102"/>
      <c r="P394" s="81"/>
      <c r="Q394" s="90"/>
      <c r="S394" s="80"/>
      <c r="T394" s="80"/>
      <c r="AB394" s="75"/>
    </row>
    <row r="395" spans="1:28" x14ac:dyDescent="0.25">
      <c r="A395" s="110"/>
      <c r="B395" s="107"/>
      <c r="C395" s="81"/>
      <c r="D395" s="81"/>
      <c r="E395" s="81"/>
      <c r="F395" s="81"/>
      <c r="G395" s="81"/>
      <c r="H395" s="81"/>
      <c r="I395" s="81"/>
      <c r="J395" s="81"/>
      <c r="K395" s="81"/>
      <c r="L395" s="81"/>
      <c r="M395" s="113"/>
      <c r="N395" s="81"/>
      <c r="O395" s="102"/>
      <c r="P395" s="81"/>
      <c r="Q395" s="90"/>
      <c r="S395" s="80"/>
      <c r="T395" s="80"/>
      <c r="AB395" s="75"/>
    </row>
    <row r="396" spans="1:28" x14ac:dyDescent="0.25">
      <c r="A396" s="110"/>
      <c r="B396" s="107"/>
      <c r="C396" s="81"/>
      <c r="D396" s="81"/>
      <c r="E396" s="81"/>
      <c r="F396" s="81"/>
      <c r="G396" s="81"/>
      <c r="H396" s="81"/>
      <c r="I396" s="81"/>
      <c r="J396" s="81"/>
      <c r="K396" s="81"/>
      <c r="L396" s="81"/>
      <c r="M396" s="113"/>
      <c r="N396" s="81"/>
      <c r="O396" s="102"/>
      <c r="P396" s="81"/>
      <c r="Q396" s="90"/>
      <c r="S396" s="80"/>
      <c r="T396" s="80"/>
      <c r="AB396" s="75"/>
    </row>
    <row r="397" spans="1:28" x14ac:dyDescent="0.25">
      <c r="A397" s="110"/>
      <c r="B397" s="107"/>
      <c r="C397" s="81"/>
      <c r="D397" s="81"/>
      <c r="E397" s="81"/>
      <c r="F397" s="81"/>
      <c r="G397" s="81"/>
      <c r="H397" s="81"/>
      <c r="I397" s="81"/>
      <c r="J397" s="81"/>
      <c r="K397" s="81"/>
      <c r="L397" s="81"/>
      <c r="M397" s="113"/>
      <c r="N397" s="81"/>
      <c r="O397" s="102"/>
      <c r="P397" s="81"/>
      <c r="Q397" s="90"/>
      <c r="S397" s="80"/>
      <c r="T397" s="80"/>
      <c r="AB397" s="75"/>
    </row>
    <row r="398" spans="1:28" x14ac:dyDescent="0.25">
      <c r="A398" s="110"/>
      <c r="B398" s="107"/>
      <c r="C398" s="81"/>
      <c r="D398" s="81"/>
      <c r="E398" s="81"/>
      <c r="F398" s="81"/>
      <c r="G398" s="81"/>
      <c r="H398" s="81"/>
      <c r="I398" s="81"/>
      <c r="J398" s="81"/>
      <c r="K398" s="81"/>
      <c r="L398" s="81"/>
      <c r="M398" s="113"/>
      <c r="N398" s="81"/>
      <c r="O398" s="102"/>
      <c r="P398" s="81"/>
      <c r="Q398" s="90"/>
      <c r="S398" s="80"/>
      <c r="T398" s="80"/>
      <c r="AB398" s="75"/>
    </row>
    <row r="399" spans="1:28" x14ac:dyDescent="0.25">
      <c r="A399" s="110"/>
      <c r="B399" s="107"/>
      <c r="C399" s="81"/>
      <c r="D399" s="81"/>
      <c r="E399" s="81"/>
      <c r="F399" s="81"/>
      <c r="G399" s="81"/>
      <c r="H399" s="81"/>
      <c r="I399" s="81"/>
      <c r="J399" s="81"/>
      <c r="K399" s="81"/>
      <c r="L399" s="81"/>
      <c r="M399" s="113"/>
      <c r="N399" s="81"/>
      <c r="O399" s="102"/>
      <c r="P399" s="81"/>
      <c r="Q399" s="90"/>
      <c r="S399" s="80"/>
      <c r="T399" s="80"/>
      <c r="AB399" s="75"/>
    </row>
    <row r="400" spans="1:28" x14ac:dyDescent="0.25">
      <c r="A400" s="110"/>
      <c r="B400" s="107"/>
      <c r="C400" s="81"/>
      <c r="D400" s="81"/>
      <c r="E400" s="81"/>
      <c r="F400" s="81"/>
      <c r="G400" s="81"/>
      <c r="H400" s="81"/>
      <c r="I400" s="81"/>
      <c r="J400" s="81"/>
      <c r="K400" s="81"/>
      <c r="L400" s="81"/>
      <c r="M400" s="113"/>
      <c r="N400" s="81"/>
      <c r="O400" s="102"/>
      <c r="P400" s="81"/>
      <c r="Q400" s="90"/>
      <c r="S400" s="80"/>
      <c r="T400" s="80"/>
      <c r="AB400" s="75"/>
    </row>
    <row r="401" spans="1:28" x14ac:dyDescent="0.25">
      <c r="A401" s="110"/>
      <c r="B401" s="107"/>
      <c r="C401" s="81"/>
      <c r="D401" s="81"/>
      <c r="E401" s="81"/>
      <c r="F401" s="81"/>
      <c r="G401" s="81"/>
      <c r="H401" s="81"/>
      <c r="I401" s="81"/>
      <c r="J401" s="81"/>
      <c r="K401" s="81"/>
      <c r="L401" s="81"/>
      <c r="M401" s="113"/>
      <c r="N401" s="81"/>
      <c r="O401" s="102"/>
      <c r="P401" s="81"/>
      <c r="Q401" s="90"/>
      <c r="S401" s="80"/>
      <c r="T401" s="80"/>
      <c r="AB401" s="75"/>
    </row>
    <row r="402" spans="1:28" x14ac:dyDescent="0.25">
      <c r="A402" s="110"/>
      <c r="B402" s="107"/>
      <c r="C402" s="81"/>
      <c r="D402" s="81"/>
      <c r="E402" s="81"/>
      <c r="F402" s="81"/>
      <c r="G402" s="81"/>
      <c r="H402" s="81"/>
      <c r="I402" s="81"/>
      <c r="J402" s="81"/>
      <c r="K402" s="81"/>
      <c r="L402" s="81"/>
      <c r="M402" s="113"/>
      <c r="N402" s="81"/>
      <c r="O402" s="102"/>
      <c r="P402" s="81"/>
      <c r="Q402" s="90"/>
      <c r="S402" s="80"/>
      <c r="T402" s="80"/>
      <c r="AB402" s="75"/>
    </row>
    <row r="403" spans="1:28" x14ac:dyDescent="0.25">
      <c r="A403" s="110"/>
      <c r="B403" s="107"/>
      <c r="C403" s="81"/>
      <c r="D403" s="81"/>
      <c r="E403" s="81"/>
      <c r="F403" s="81"/>
      <c r="G403" s="81"/>
      <c r="H403" s="81"/>
      <c r="I403" s="81"/>
      <c r="J403" s="81"/>
      <c r="K403" s="81"/>
      <c r="L403" s="81"/>
      <c r="M403" s="113"/>
      <c r="N403" s="81"/>
      <c r="O403" s="102"/>
      <c r="P403" s="81"/>
      <c r="Q403" s="90"/>
      <c r="S403" s="80"/>
      <c r="T403" s="80"/>
      <c r="AB403" s="75"/>
    </row>
    <row r="404" spans="1:28" x14ac:dyDescent="0.25">
      <c r="A404" s="110"/>
      <c r="B404" s="107"/>
      <c r="C404" s="81"/>
      <c r="D404" s="81"/>
      <c r="E404" s="81"/>
      <c r="F404" s="81"/>
      <c r="G404" s="81"/>
      <c r="H404" s="81"/>
      <c r="I404" s="81"/>
      <c r="J404" s="81"/>
      <c r="K404" s="81"/>
      <c r="L404" s="81"/>
      <c r="M404" s="113"/>
      <c r="N404" s="81"/>
      <c r="O404" s="102"/>
      <c r="P404" s="81"/>
      <c r="Q404" s="90"/>
      <c r="S404" s="80"/>
      <c r="T404" s="80"/>
      <c r="AB404" s="75"/>
    </row>
    <row r="405" spans="1:28" x14ac:dyDescent="0.25">
      <c r="A405" s="110"/>
      <c r="B405" s="107"/>
      <c r="C405" s="81"/>
      <c r="D405" s="81"/>
      <c r="E405" s="81"/>
      <c r="F405" s="81"/>
      <c r="G405" s="81"/>
      <c r="H405" s="81"/>
      <c r="I405" s="81"/>
      <c r="J405" s="81"/>
      <c r="K405" s="81"/>
      <c r="L405" s="81"/>
      <c r="M405" s="113"/>
      <c r="N405" s="81"/>
      <c r="O405" s="102"/>
      <c r="P405" s="81"/>
      <c r="Q405" s="90"/>
      <c r="S405" s="80"/>
      <c r="T405" s="80"/>
      <c r="AB405" s="75"/>
    </row>
    <row r="406" spans="1:28" x14ac:dyDescent="0.25">
      <c r="A406" s="110"/>
      <c r="B406" s="107"/>
      <c r="C406" s="81"/>
      <c r="D406" s="81"/>
      <c r="E406" s="81"/>
      <c r="F406" s="81"/>
      <c r="G406" s="81"/>
      <c r="H406" s="81"/>
      <c r="I406" s="81"/>
      <c r="J406" s="81"/>
      <c r="K406" s="81"/>
      <c r="L406" s="81"/>
      <c r="M406" s="113"/>
      <c r="N406" s="81"/>
      <c r="O406" s="102"/>
      <c r="P406" s="81"/>
      <c r="Q406" s="90"/>
      <c r="S406" s="80"/>
      <c r="T406" s="80"/>
      <c r="AB406" s="75"/>
    </row>
    <row r="407" spans="1:28" x14ac:dyDescent="0.25">
      <c r="A407" s="110"/>
      <c r="B407" s="107"/>
      <c r="C407" s="81"/>
      <c r="D407" s="81"/>
      <c r="E407" s="81"/>
      <c r="F407" s="81"/>
      <c r="G407" s="81"/>
      <c r="H407" s="81"/>
      <c r="I407" s="81"/>
      <c r="J407" s="81"/>
      <c r="K407" s="81"/>
      <c r="L407" s="81"/>
      <c r="M407" s="113"/>
      <c r="N407" s="81"/>
      <c r="O407" s="102"/>
      <c r="P407" s="81"/>
      <c r="Q407" s="90"/>
      <c r="S407" s="80"/>
      <c r="T407" s="80"/>
      <c r="AB407" s="75"/>
    </row>
    <row r="408" spans="1:28" x14ac:dyDescent="0.25">
      <c r="A408" s="110"/>
      <c r="B408" s="107"/>
      <c r="C408" s="81"/>
      <c r="D408" s="81"/>
      <c r="E408" s="81"/>
      <c r="F408" s="81"/>
      <c r="G408" s="81"/>
      <c r="H408" s="81"/>
      <c r="I408" s="81"/>
      <c r="J408" s="81"/>
      <c r="K408" s="81"/>
      <c r="L408" s="81"/>
      <c r="M408" s="113"/>
      <c r="N408" s="81"/>
      <c r="O408" s="102"/>
      <c r="P408" s="81"/>
      <c r="Q408" s="90"/>
      <c r="S408" s="80"/>
      <c r="T408" s="80"/>
      <c r="AB408" s="75"/>
    </row>
    <row r="409" spans="1:28" x14ac:dyDescent="0.25">
      <c r="A409" s="110"/>
      <c r="B409" s="107"/>
      <c r="C409" s="81"/>
      <c r="D409" s="81"/>
      <c r="E409" s="81"/>
      <c r="F409" s="81"/>
      <c r="G409" s="81"/>
      <c r="H409" s="81"/>
      <c r="I409" s="81"/>
      <c r="J409" s="81"/>
      <c r="K409" s="81"/>
      <c r="L409" s="81"/>
      <c r="M409" s="113"/>
      <c r="N409" s="81"/>
      <c r="O409" s="102"/>
      <c r="P409" s="81"/>
      <c r="Q409" s="90"/>
      <c r="S409" s="80"/>
      <c r="T409" s="80"/>
      <c r="AB409" s="75"/>
    </row>
    <row r="410" spans="1:28" x14ac:dyDescent="0.25">
      <c r="A410" s="110"/>
      <c r="B410" s="107"/>
      <c r="C410" s="81"/>
      <c r="D410" s="81"/>
      <c r="E410" s="81"/>
      <c r="F410" s="81"/>
      <c r="G410" s="81"/>
      <c r="H410" s="81"/>
      <c r="I410" s="81"/>
      <c r="J410" s="81"/>
      <c r="K410" s="81"/>
      <c r="L410" s="81"/>
      <c r="M410" s="113"/>
      <c r="N410" s="81"/>
      <c r="O410" s="102"/>
      <c r="P410" s="81"/>
      <c r="Q410" s="90"/>
      <c r="S410" s="80"/>
      <c r="T410" s="80"/>
      <c r="AB410" s="75"/>
    </row>
    <row r="411" spans="1:28" x14ac:dyDescent="0.25">
      <c r="A411" s="110"/>
      <c r="B411" s="107"/>
      <c r="C411" s="81"/>
      <c r="D411" s="81"/>
      <c r="E411" s="81"/>
      <c r="F411" s="81"/>
      <c r="G411" s="81"/>
      <c r="H411" s="81"/>
      <c r="I411" s="81"/>
      <c r="J411" s="81"/>
      <c r="K411" s="81"/>
      <c r="L411" s="81"/>
      <c r="M411" s="113"/>
      <c r="N411" s="81"/>
      <c r="O411" s="102"/>
      <c r="P411" s="81"/>
      <c r="Q411" s="90"/>
      <c r="S411" s="80"/>
      <c r="T411" s="80"/>
      <c r="AB411" s="75"/>
    </row>
    <row r="412" spans="1:28" x14ac:dyDescent="0.25">
      <c r="A412" s="110"/>
      <c r="B412" s="107"/>
      <c r="C412" s="81"/>
      <c r="D412" s="81"/>
      <c r="E412" s="81"/>
      <c r="F412" s="81"/>
      <c r="G412" s="81"/>
      <c r="H412" s="81"/>
      <c r="I412" s="81"/>
      <c r="J412" s="81"/>
      <c r="K412" s="81"/>
      <c r="L412" s="81"/>
      <c r="M412" s="113"/>
      <c r="N412" s="81"/>
      <c r="O412" s="102"/>
      <c r="P412" s="81"/>
      <c r="Q412" s="90"/>
      <c r="S412" s="80"/>
      <c r="T412" s="80"/>
      <c r="AB412" s="75"/>
    </row>
    <row r="413" spans="1:28" x14ac:dyDescent="0.25">
      <c r="A413" s="110"/>
      <c r="B413" s="107"/>
      <c r="C413" s="81"/>
      <c r="D413" s="81"/>
      <c r="E413" s="81"/>
      <c r="F413" s="81"/>
      <c r="G413" s="81"/>
      <c r="H413" s="81"/>
      <c r="I413" s="81"/>
      <c r="J413" s="81"/>
      <c r="K413" s="81"/>
      <c r="L413" s="81"/>
      <c r="M413" s="113"/>
      <c r="N413" s="81"/>
      <c r="O413" s="102"/>
      <c r="P413" s="81"/>
      <c r="Q413" s="90"/>
      <c r="S413" s="80"/>
      <c r="T413" s="80"/>
      <c r="AB413" s="75"/>
    </row>
    <row r="414" spans="1:28" x14ac:dyDescent="0.25">
      <c r="A414" s="110"/>
      <c r="B414" s="107"/>
      <c r="C414" s="81"/>
      <c r="D414" s="81"/>
      <c r="E414" s="81"/>
      <c r="F414" s="81"/>
      <c r="G414" s="81"/>
      <c r="H414" s="81"/>
      <c r="I414" s="81"/>
      <c r="J414" s="81"/>
      <c r="K414" s="81"/>
      <c r="L414" s="81"/>
      <c r="M414" s="113"/>
      <c r="N414" s="81"/>
      <c r="O414" s="102"/>
      <c r="P414" s="81"/>
      <c r="Q414" s="90"/>
      <c r="S414" s="80"/>
      <c r="T414" s="80"/>
      <c r="AB414" s="75"/>
    </row>
    <row r="415" spans="1:28" x14ac:dyDescent="0.25">
      <c r="A415" s="110"/>
      <c r="B415" s="107"/>
      <c r="C415" s="81"/>
      <c r="D415" s="81"/>
      <c r="E415" s="81"/>
      <c r="F415" s="81"/>
      <c r="G415" s="81"/>
      <c r="H415" s="81"/>
      <c r="I415" s="81"/>
      <c r="J415" s="81"/>
      <c r="K415" s="81"/>
      <c r="L415" s="81"/>
      <c r="M415" s="113"/>
      <c r="N415" s="81"/>
      <c r="O415" s="102"/>
      <c r="P415" s="81"/>
      <c r="Q415" s="90"/>
      <c r="S415" s="80"/>
      <c r="T415" s="80"/>
      <c r="AB415" s="75"/>
    </row>
    <row r="416" spans="1:28" x14ac:dyDescent="0.25">
      <c r="A416" s="110"/>
      <c r="B416" s="107"/>
      <c r="C416" s="81"/>
      <c r="D416" s="81"/>
      <c r="E416" s="81"/>
      <c r="F416" s="81"/>
      <c r="G416" s="81"/>
      <c r="H416" s="81"/>
      <c r="I416" s="81"/>
      <c r="J416" s="81"/>
      <c r="K416" s="81"/>
      <c r="L416" s="81"/>
      <c r="M416" s="113"/>
      <c r="N416" s="81"/>
      <c r="O416" s="102"/>
      <c r="P416" s="81"/>
      <c r="Q416" s="90"/>
      <c r="S416" s="80"/>
      <c r="T416" s="80"/>
      <c r="AB416" s="75"/>
    </row>
    <row r="417" spans="1:28" x14ac:dyDescent="0.25">
      <c r="A417" s="110"/>
      <c r="B417" s="107"/>
      <c r="C417" s="81"/>
      <c r="D417" s="81"/>
      <c r="E417" s="81"/>
      <c r="F417" s="81"/>
      <c r="G417" s="81"/>
      <c r="H417" s="81"/>
      <c r="I417" s="81"/>
      <c r="J417" s="81"/>
      <c r="K417" s="81"/>
      <c r="L417" s="81"/>
      <c r="M417" s="113"/>
      <c r="N417" s="81"/>
      <c r="O417" s="102"/>
      <c r="P417" s="81"/>
      <c r="Q417" s="90"/>
      <c r="S417" s="80"/>
      <c r="T417" s="80"/>
      <c r="AB417" s="75"/>
    </row>
    <row r="418" spans="1:28" x14ac:dyDescent="0.25">
      <c r="A418" s="110"/>
      <c r="B418" s="107"/>
      <c r="C418" s="81"/>
      <c r="D418" s="81"/>
      <c r="E418" s="81"/>
      <c r="F418" s="81"/>
      <c r="G418" s="81"/>
      <c r="H418" s="81"/>
      <c r="I418" s="81"/>
      <c r="J418" s="81"/>
      <c r="K418" s="81"/>
      <c r="L418" s="81"/>
      <c r="M418" s="113"/>
      <c r="N418" s="81"/>
      <c r="O418" s="102"/>
      <c r="P418" s="81"/>
      <c r="Q418" s="90"/>
      <c r="S418" s="80"/>
      <c r="T418" s="80"/>
      <c r="AB418" s="75"/>
    </row>
    <row r="419" spans="1:28" x14ac:dyDescent="0.25">
      <c r="A419" s="110"/>
      <c r="B419" s="107"/>
      <c r="C419" s="81"/>
      <c r="D419" s="81"/>
      <c r="E419" s="81"/>
      <c r="F419" s="81"/>
      <c r="G419" s="81"/>
      <c r="H419" s="81"/>
      <c r="I419" s="81"/>
      <c r="J419" s="81"/>
      <c r="K419" s="81"/>
      <c r="L419" s="81"/>
      <c r="M419" s="113"/>
      <c r="N419" s="81"/>
      <c r="O419" s="102"/>
      <c r="P419" s="81"/>
      <c r="Q419" s="90"/>
      <c r="S419" s="80"/>
      <c r="T419" s="80"/>
      <c r="AB419" s="75"/>
    </row>
    <row r="420" spans="1:28" x14ac:dyDescent="0.25">
      <c r="A420" s="110"/>
      <c r="B420" s="107"/>
      <c r="C420" s="81"/>
      <c r="D420" s="81"/>
      <c r="E420" s="81"/>
      <c r="F420" s="81"/>
      <c r="G420" s="81"/>
      <c r="H420" s="81"/>
      <c r="I420" s="81"/>
      <c r="J420" s="81"/>
      <c r="K420" s="81"/>
      <c r="L420" s="81"/>
      <c r="M420" s="113"/>
      <c r="N420" s="81"/>
      <c r="O420" s="102"/>
      <c r="P420" s="81"/>
      <c r="Q420" s="90"/>
      <c r="S420" s="80"/>
      <c r="T420" s="80"/>
      <c r="AB420" s="75"/>
    </row>
    <row r="421" spans="1:28" x14ac:dyDescent="0.25">
      <c r="A421" s="110"/>
      <c r="B421" s="107"/>
      <c r="C421" s="81"/>
      <c r="D421" s="81"/>
      <c r="E421" s="81"/>
      <c r="F421" s="81"/>
      <c r="G421" s="81"/>
      <c r="H421" s="81"/>
      <c r="I421" s="81"/>
      <c r="J421" s="81"/>
      <c r="K421" s="81"/>
      <c r="L421" s="81"/>
      <c r="M421" s="113"/>
      <c r="N421" s="81"/>
      <c r="O421" s="102"/>
      <c r="P421" s="81"/>
      <c r="Q421" s="90"/>
      <c r="S421" s="80"/>
      <c r="T421" s="80"/>
      <c r="AB421" s="75"/>
    </row>
    <row r="422" spans="1:28" x14ac:dyDescent="0.25">
      <c r="A422" s="110"/>
      <c r="B422" s="107"/>
      <c r="C422" s="81"/>
      <c r="D422" s="81"/>
      <c r="E422" s="81"/>
      <c r="F422" s="81"/>
      <c r="G422" s="81"/>
      <c r="H422" s="81"/>
      <c r="I422" s="81"/>
      <c r="J422" s="81"/>
      <c r="K422" s="81"/>
      <c r="L422" s="81"/>
      <c r="M422" s="113"/>
      <c r="N422" s="81"/>
      <c r="O422" s="102"/>
      <c r="P422" s="81"/>
      <c r="Q422" s="90"/>
      <c r="S422" s="80"/>
      <c r="T422" s="80"/>
      <c r="AB422" s="75"/>
    </row>
    <row r="423" spans="1:28" x14ac:dyDescent="0.25">
      <c r="A423" s="110"/>
      <c r="B423" s="107"/>
      <c r="C423" s="81"/>
      <c r="D423" s="81"/>
      <c r="E423" s="81"/>
      <c r="F423" s="81"/>
      <c r="G423" s="81"/>
      <c r="H423" s="81"/>
      <c r="I423" s="81"/>
      <c r="J423" s="81"/>
      <c r="K423" s="81"/>
      <c r="L423" s="81"/>
      <c r="M423" s="113"/>
      <c r="N423" s="81"/>
      <c r="O423" s="102"/>
      <c r="P423" s="81"/>
      <c r="Q423" s="90"/>
      <c r="S423" s="80"/>
      <c r="T423" s="80"/>
      <c r="AB423" s="75"/>
    </row>
    <row r="424" spans="1:28" x14ac:dyDescent="0.25">
      <c r="A424" s="110"/>
      <c r="B424" s="107"/>
      <c r="C424" s="81"/>
      <c r="D424" s="81"/>
      <c r="E424" s="81"/>
      <c r="F424" s="81"/>
      <c r="G424" s="81"/>
      <c r="H424" s="81"/>
      <c r="I424" s="81"/>
      <c r="J424" s="81"/>
      <c r="K424" s="81"/>
      <c r="L424" s="81"/>
      <c r="M424" s="113"/>
      <c r="N424" s="81"/>
      <c r="O424" s="102"/>
      <c r="P424" s="81"/>
      <c r="Q424" s="90"/>
      <c r="S424" s="80"/>
      <c r="T424" s="80"/>
      <c r="AB424" s="75"/>
    </row>
    <row r="425" spans="1:28" x14ac:dyDescent="0.25">
      <c r="A425" s="110"/>
      <c r="B425" s="107"/>
      <c r="C425" s="81"/>
      <c r="D425" s="81"/>
      <c r="E425" s="81"/>
      <c r="F425" s="81"/>
      <c r="G425" s="81"/>
      <c r="H425" s="81"/>
      <c r="I425" s="81"/>
      <c r="J425" s="81"/>
      <c r="K425" s="81"/>
      <c r="L425" s="81"/>
      <c r="M425" s="113"/>
      <c r="N425" s="81"/>
      <c r="O425" s="102"/>
      <c r="P425" s="81"/>
      <c r="Q425" s="90"/>
      <c r="S425" s="80"/>
      <c r="T425" s="80"/>
      <c r="AB425" s="75"/>
    </row>
    <row r="426" spans="1:28" x14ac:dyDescent="0.25">
      <c r="A426" s="110"/>
      <c r="B426" s="107"/>
      <c r="C426" s="81"/>
      <c r="D426" s="81"/>
      <c r="E426" s="81"/>
      <c r="F426" s="81"/>
      <c r="G426" s="81"/>
      <c r="H426" s="81"/>
      <c r="I426" s="81"/>
      <c r="J426" s="81"/>
      <c r="K426" s="81"/>
      <c r="L426" s="81"/>
      <c r="M426" s="113"/>
      <c r="N426" s="81"/>
      <c r="O426" s="102"/>
      <c r="P426" s="81"/>
      <c r="Q426" s="90"/>
      <c r="S426" s="80"/>
      <c r="T426" s="80"/>
      <c r="AB426" s="75"/>
    </row>
    <row r="427" spans="1:28" x14ac:dyDescent="0.25">
      <c r="A427" s="110"/>
      <c r="B427" s="107"/>
      <c r="C427" s="81"/>
      <c r="D427" s="81"/>
      <c r="E427" s="81"/>
      <c r="F427" s="81"/>
      <c r="G427" s="81"/>
      <c r="H427" s="81"/>
      <c r="I427" s="81"/>
      <c r="J427" s="81"/>
      <c r="K427" s="81"/>
      <c r="L427" s="81"/>
      <c r="M427" s="113"/>
      <c r="N427" s="81"/>
      <c r="O427" s="102"/>
      <c r="P427" s="81"/>
      <c r="Q427" s="90"/>
      <c r="S427" s="80"/>
      <c r="T427" s="80"/>
      <c r="AB427" s="75"/>
    </row>
    <row r="428" spans="1:28" x14ac:dyDescent="0.25">
      <c r="A428" s="110"/>
      <c r="B428" s="107"/>
      <c r="C428" s="81"/>
      <c r="D428" s="81"/>
      <c r="E428" s="81"/>
      <c r="F428" s="81"/>
      <c r="G428" s="81"/>
      <c r="H428" s="81"/>
      <c r="I428" s="81"/>
      <c r="J428" s="81"/>
      <c r="K428" s="81"/>
      <c r="L428" s="81"/>
      <c r="M428" s="113"/>
      <c r="N428" s="81"/>
      <c r="O428" s="102"/>
      <c r="P428" s="81"/>
      <c r="Q428" s="90"/>
      <c r="S428" s="80"/>
      <c r="T428" s="80"/>
      <c r="AB428" s="75"/>
    </row>
    <row r="429" spans="1:28" x14ac:dyDescent="0.25">
      <c r="A429" s="110"/>
      <c r="B429" s="107"/>
      <c r="C429" s="81"/>
      <c r="D429" s="81"/>
      <c r="E429" s="81"/>
      <c r="F429" s="81"/>
      <c r="G429" s="81"/>
      <c r="H429" s="81"/>
      <c r="I429" s="81"/>
      <c r="J429" s="81"/>
      <c r="K429" s="81"/>
      <c r="L429" s="81"/>
      <c r="M429" s="113"/>
      <c r="N429" s="81"/>
      <c r="O429" s="102"/>
      <c r="P429" s="81"/>
      <c r="Q429" s="90"/>
      <c r="S429" s="80"/>
      <c r="T429" s="80"/>
      <c r="AB429" s="75"/>
    </row>
    <row r="430" spans="1:28" x14ac:dyDescent="0.25">
      <c r="A430" s="110"/>
      <c r="B430" s="107"/>
      <c r="C430" s="81"/>
      <c r="D430" s="81"/>
      <c r="E430" s="81"/>
      <c r="F430" s="81"/>
      <c r="G430" s="81"/>
      <c r="H430" s="81"/>
      <c r="I430" s="81"/>
      <c r="J430" s="81"/>
      <c r="K430" s="81"/>
      <c r="L430" s="81"/>
      <c r="M430" s="113"/>
      <c r="N430" s="81"/>
      <c r="O430" s="102"/>
      <c r="P430" s="81"/>
      <c r="Q430" s="90"/>
      <c r="S430" s="80"/>
      <c r="T430" s="80"/>
      <c r="AB430" s="75"/>
    </row>
    <row r="431" spans="1:28" x14ac:dyDescent="0.25">
      <c r="A431" s="110"/>
      <c r="B431" s="107"/>
      <c r="C431" s="81"/>
      <c r="D431" s="81"/>
      <c r="E431" s="81"/>
      <c r="F431" s="81"/>
      <c r="G431" s="81"/>
      <c r="H431" s="81"/>
      <c r="I431" s="81"/>
      <c r="J431" s="81"/>
      <c r="K431" s="81"/>
      <c r="L431" s="81"/>
      <c r="M431" s="113"/>
      <c r="N431" s="81"/>
      <c r="O431" s="102"/>
      <c r="P431" s="81"/>
      <c r="Q431" s="90"/>
      <c r="S431" s="80"/>
      <c r="T431" s="80"/>
      <c r="AB431" s="75"/>
    </row>
    <row r="432" spans="1:28" x14ac:dyDescent="0.25">
      <c r="A432" s="110"/>
      <c r="B432" s="107"/>
      <c r="C432" s="81"/>
      <c r="D432" s="81"/>
      <c r="E432" s="81"/>
      <c r="F432" s="81"/>
      <c r="G432" s="81"/>
      <c r="H432" s="81"/>
      <c r="I432" s="81"/>
      <c r="J432" s="81"/>
      <c r="K432" s="81"/>
      <c r="L432" s="81"/>
      <c r="M432" s="113"/>
      <c r="N432" s="81"/>
      <c r="O432" s="102"/>
      <c r="P432" s="81"/>
      <c r="Q432" s="90"/>
      <c r="S432" s="80"/>
      <c r="T432" s="80"/>
      <c r="AB432" s="75"/>
    </row>
    <row r="433" spans="1:28" x14ac:dyDescent="0.25">
      <c r="A433" s="110"/>
      <c r="B433" s="107"/>
      <c r="C433" s="81"/>
      <c r="D433" s="81"/>
      <c r="E433" s="81"/>
      <c r="F433" s="81"/>
      <c r="G433" s="81"/>
      <c r="H433" s="81"/>
      <c r="I433" s="81"/>
      <c r="J433" s="81"/>
      <c r="K433" s="81"/>
      <c r="L433" s="81"/>
      <c r="M433" s="113"/>
      <c r="N433" s="81"/>
      <c r="O433" s="102"/>
      <c r="P433" s="81"/>
      <c r="Q433" s="90"/>
      <c r="S433" s="80"/>
      <c r="T433" s="80"/>
      <c r="AB433" s="75"/>
    </row>
    <row r="434" spans="1:28" x14ac:dyDescent="0.25">
      <c r="A434" s="110"/>
      <c r="B434" s="107"/>
      <c r="C434" s="81"/>
      <c r="D434" s="81"/>
      <c r="E434" s="81"/>
      <c r="F434" s="81"/>
      <c r="G434" s="81"/>
      <c r="H434" s="81"/>
      <c r="I434" s="81"/>
      <c r="J434" s="81"/>
      <c r="K434" s="81"/>
      <c r="L434" s="81"/>
      <c r="M434" s="113"/>
      <c r="N434" s="81"/>
      <c r="O434" s="102"/>
      <c r="P434" s="81"/>
      <c r="Q434" s="90"/>
      <c r="S434" s="80"/>
      <c r="T434" s="80"/>
      <c r="AB434" s="75"/>
    </row>
    <row r="435" spans="1:28" x14ac:dyDescent="0.25">
      <c r="A435" s="110"/>
      <c r="B435" s="107"/>
      <c r="C435" s="81"/>
      <c r="D435" s="81"/>
      <c r="E435" s="81"/>
      <c r="F435" s="81"/>
      <c r="G435" s="81"/>
      <c r="H435" s="81"/>
      <c r="I435" s="81"/>
      <c r="J435" s="81"/>
      <c r="K435" s="81"/>
      <c r="L435" s="81"/>
      <c r="M435" s="113"/>
      <c r="N435" s="81"/>
      <c r="O435" s="102"/>
      <c r="P435" s="81"/>
      <c r="Q435" s="90"/>
      <c r="S435" s="80"/>
      <c r="T435" s="80"/>
      <c r="AB435" s="75"/>
    </row>
    <row r="436" spans="1:28" x14ac:dyDescent="0.25">
      <c r="A436" s="110"/>
      <c r="B436" s="107"/>
      <c r="C436" s="81"/>
      <c r="D436" s="81"/>
      <c r="E436" s="81"/>
      <c r="F436" s="81"/>
      <c r="G436" s="81"/>
      <c r="H436" s="81"/>
      <c r="I436" s="81"/>
      <c r="J436" s="81"/>
      <c r="K436" s="81"/>
      <c r="L436" s="81"/>
      <c r="M436" s="113"/>
      <c r="N436" s="81"/>
      <c r="O436" s="102"/>
      <c r="P436" s="81"/>
      <c r="Q436" s="90"/>
      <c r="S436" s="80"/>
      <c r="T436" s="80"/>
      <c r="AB436" s="75"/>
    </row>
    <row r="437" spans="1:28" x14ac:dyDescent="0.25">
      <c r="A437" s="110"/>
      <c r="B437" s="107"/>
      <c r="C437" s="81"/>
      <c r="D437" s="81"/>
      <c r="E437" s="81"/>
      <c r="F437" s="81"/>
      <c r="G437" s="81"/>
      <c r="H437" s="81"/>
      <c r="I437" s="81"/>
      <c r="J437" s="81"/>
      <c r="K437" s="81"/>
      <c r="L437" s="81"/>
      <c r="M437" s="113"/>
      <c r="N437" s="81"/>
      <c r="O437" s="102"/>
      <c r="P437" s="81"/>
      <c r="Q437" s="90"/>
      <c r="S437" s="80"/>
      <c r="T437" s="80"/>
      <c r="AB437" s="75"/>
    </row>
    <row r="438" spans="1:28" x14ac:dyDescent="0.25">
      <c r="A438" s="110"/>
      <c r="B438" s="107"/>
      <c r="C438" s="81"/>
      <c r="D438" s="81"/>
      <c r="E438" s="81"/>
      <c r="F438" s="81"/>
      <c r="G438" s="81"/>
      <c r="H438" s="81"/>
      <c r="I438" s="81"/>
      <c r="J438" s="81"/>
      <c r="K438" s="81"/>
      <c r="L438" s="81"/>
      <c r="M438" s="113"/>
      <c r="N438" s="81"/>
      <c r="O438" s="102"/>
      <c r="P438" s="81"/>
      <c r="Q438" s="90"/>
      <c r="S438" s="80"/>
      <c r="T438" s="80"/>
      <c r="AB438" s="75"/>
    </row>
    <row r="439" spans="1:28" x14ac:dyDescent="0.25">
      <c r="A439" s="110"/>
      <c r="B439" s="107"/>
      <c r="C439" s="81"/>
      <c r="D439" s="81"/>
      <c r="E439" s="81"/>
      <c r="F439" s="81"/>
      <c r="G439" s="81"/>
      <c r="H439" s="81"/>
      <c r="I439" s="81"/>
      <c r="J439" s="81"/>
      <c r="K439" s="81"/>
      <c r="L439" s="81"/>
      <c r="M439" s="113"/>
      <c r="N439" s="81"/>
      <c r="O439" s="102"/>
      <c r="P439" s="81"/>
      <c r="Q439" s="90"/>
      <c r="S439" s="80"/>
      <c r="T439" s="80"/>
      <c r="AB439" s="75"/>
    </row>
    <row r="440" spans="1:28" x14ac:dyDescent="0.25">
      <c r="A440" s="110"/>
      <c r="B440" s="107"/>
      <c r="C440" s="81"/>
      <c r="D440" s="81"/>
      <c r="E440" s="81"/>
      <c r="F440" s="81"/>
      <c r="G440" s="81"/>
      <c r="H440" s="81"/>
      <c r="I440" s="81"/>
      <c r="J440" s="81"/>
      <c r="K440" s="81"/>
      <c r="L440" s="81"/>
      <c r="M440" s="113"/>
      <c r="N440" s="81"/>
      <c r="O440" s="102"/>
      <c r="P440" s="81"/>
      <c r="Q440" s="90"/>
      <c r="S440" s="80"/>
      <c r="T440" s="80"/>
      <c r="AB440" s="75"/>
    </row>
    <row r="441" spans="1:28" x14ac:dyDescent="0.25">
      <c r="A441" s="110"/>
      <c r="B441" s="107"/>
      <c r="C441" s="81"/>
      <c r="D441" s="81"/>
      <c r="E441" s="81"/>
      <c r="F441" s="81"/>
      <c r="G441" s="81"/>
      <c r="H441" s="81"/>
      <c r="I441" s="81"/>
      <c r="J441" s="81"/>
      <c r="K441" s="81"/>
      <c r="L441" s="81"/>
      <c r="M441" s="113"/>
      <c r="N441" s="81"/>
      <c r="O441" s="102"/>
      <c r="P441" s="81"/>
      <c r="Q441" s="90"/>
      <c r="S441" s="80"/>
      <c r="T441" s="80"/>
      <c r="AB441" s="75"/>
    </row>
    <row r="442" spans="1:28" x14ac:dyDescent="0.25">
      <c r="A442" s="110"/>
      <c r="B442" s="107"/>
      <c r="C442" s="81"/>
      <c r="D442" s="81"/>
      <c r="E442" s="81"/>
      <c r="F442" s="81"/>
      <c r="G442" s="81"/>
      <c r="H442" s="81"/>
      <c r="I442" s="81"/>
      <c r="J442" s="81"/>
      <c r="K442" s="81"/>
      <c r="L442" s="81"/>
      <c r="M442" s="113"/>
      <c r="N442" s="81"/>
      <c r="O442" s="102"/>
      <c r="P442" s="81"/>
      <c r="Q442" s="90"/>
      <c r="S442" s="80"/>
      <c r="T442" s="80"/>
      <c r="AB442" s="75"/>
    </row>
    <row r="443" spans="1:28" x14ac:dyDescent="0.25">
      <c r="A443" s="110"/>
      <c r="B443" s="107"/>
      <c r="C443" s="81"/>
      <c r="D443" s="81"/>
      <c r="E443" s="81"/>
      <c r="F443" s="81"/>
      <c r="G443" s="81"/>
      <c r="H443" s="81"/>
      <c r="I443" s="81"/>
      <c r="J443" s="81"/>
      <c r="K443" s="81"/>
      <c r="L443" s="81"/>
      <c r="M443" s="113"/>
      <c r="N443" s="81"/>
      <c r="O443" s="102"/>
      <c r="P443" s="81"/>
      <c r="Q443" s="90"/>
      <c r="S443" s="80"/>
      <c r="T443" s="80"/>
      <c r="AB443" s="75"/>
    </row>
    <row r="444" spans="1:28" x14ac:dyDescent="0.25">
      <c r="A444" s="110"/>
      <c r="B444" s="107"/>
      <c r="C444" s="81"/>
      <c r="D444" s="81"/>
      <c r="E444" s="81"/>
      <c r="F444" s="81"/>
      <c r="G444" s="81"/>
      <c r="H444" s="81"/>
      <c r="I444" s="81"/>
      <c r="J444" s="81"/>
      <c r="K444" s="81"/>
      <c r="L444" s="81"/>
      <c r="M444" s="113"/>
      <c r="N444" s="81"/>
      <c r="O444" s="102"/>
      <c r="P444" s="81"/>
      <c r="Q444" s="90"/>
      <c r="S444" s="80"/>
      <c r="T444" s="80"/>
      <c r="AB444" s="75"/>
    </row>
    <row r="445" spans="1:28" x14ac:dyDescent="0.25">
      <c r="A445" s="110"/>
      <c r="B445" s="107"/>
      <c r="C445" s="81"/>
      <c r="D445" s="81"/>
      <c r="E445" s="81"/>
      <c r="F445" s="81"/>
      <c r="G445" s="81"/>
      <c r="H445" s="81"/>
      <c r="I445" s="81"/>
      <c r="J445" s="81"/>
      <c r="K445" s="81"/>
      <c r="L445" s="81"/>
      <c r="M445" s="113"/>
      <c r="N445" s="81"/>
      <c r="O445" s="102"/>
      <c r="P445" s="81"/>
      <c r="Q445" s="90"/>
      <c r="S445" s="80"/>
      <c r="T445" s="80"/>
      <c r="AB445" s="75"/>
    </row>
    <row r="446" spans="1:28" x14ac:dyDescent="0.25">
      <c r="A446" s="110"/>
      <c r="B446" s="107"/>
      <c r="C446" s="81"/>
      <c r="D446" s="81"/>
      <c r="E446" s="81"/>
      <c r="F446" s="81"/>
      <c r="G446" s="81"/>
      <c r="H446" s="81"/>
      <c r="I446" s="81"/>
      <c r="J446" s="81"/>
      <c r="K446" s="81"/>
      <c r="L446" s="81"/>
      <c r="M446" s="113"/>
      <c r="N446" s="81"/>
      <c r="O446" s="102"/>
      <c r="P446" s="81"/>
      <c r="Q446" s="90"/>
      <c r="S446" s="80"/>
      <c r="T446" s="80"/>
      <c r="AB446" s="75"/>
    </row>
    <row r="447" spans="1:28" x14ac:dyDescent="0.25">
      <c r="A447" s="110"/>
      <c r="B447" s="107"/>
      <c r="C447" s="81"/>
      <c r="D447" s="81"/>
      <c r="E447" s="81"/>
      <c r="F447" s="81"/>
      <c r="G447" s="81"/>
      <c r="H447" s="81"/>
      <c r="I447" s="81"/>
      <c r="J447" s="81"/>
      <c r="K447" s="81"/>
      <c r="L447" s="81"/>
      <c r="M447" s="113"/>
      <c r="N447" s="81"/>
      <c r="O447" s="102"/>
      <c r="P447" s="81"/>
      <c r="Q447" s="90"/>
      <c r="S447" s="80"/>
      <c r="T447" s="80"/>
      <c r="AB447" s="75"/>
    </row>
    <row r="448" spans="1:28" x14ac:dyDescent="0.25">
      <c r="A448" s="110"/>
      <c r="B448" s="107"/>
      <c r="C448" s="81"/>
      <c r="D448" s="81"/>
      <c r="E448" s="81"/>
      <c r="F448" s="81"/>
      <c r="G448" s="81"/>
      <c r="H448" s="81"/>
      <c r="I448" s="81"/>
      <c r="J448" s="81"/>
      <c r="K448" s="81"/>
      <c r="L448" s="81"/>
      <c r="M448" s="113"/>
      <c r="N448" s="81"/>
      <c r="O448" s="102"/>
      <c r="P448" s="81"/>
      <c r="Q448" s="90"/>
      <c r="S448" s="80"/>
      <c r="T448" s="80"/>
      <c r="AB448" s="75"/>
    </row>
    <row r="449" spans="1:28" x14ac:dyDescent="0.25">
      <c r="A449" s="110"/>
      <c r="B449" s="107"/>
      <c r="C449" s="81"/>
      <c r="D449" s="81"/>
      <c r="E449" s="81"/>
      <c r="F449" s="81"/>
      <c r="G449" s="81"/>
      <c r="H449" s="81"/>
      <c r="I449" s="81"/>
      <c r="J449" s="81"/>
      <c r="K449" s="81"/>
      <c r="L449" s="81"/>
      <c r="M449" s="113"/>
      <c r="N449" s="81"/>
      <c r="O449" s="102"/>
      <c r="P449" s="81"/>
      <c r="Q449" s="90"/>
      <c r="S449" s="80"/>
      <c r="T449" s="80"/>
      <c r="AB449" s="75"/>
    </row>
    <row r="450" spans="1:28" x14ac:dyDescent="0.25">
      <c r="A450" s="110"/>
      <c r="B450" s="107"/>
      <c r="C450" s="81"/>
      <c r="D450" s="81"/>
      <c r="E450" s="81"/>
      <c r="F450" s="81"/>
      <c r="G450" s="81"/>
      <c r="H450" s="81"/>
      <c r="I450" s="81"/>
      <c r="J450" s="81"/>
      <c r="K450" s="81"/>
      <c r="L450" s="81"/>
      <c r="M450" s="113"/>
      <c r="N450" s="81"/>
      <c r="O450" s="102"/>
      <c r="P450" s="81"/>
      <c r="Q450" s="90"/>
      <c r="S450" s="80"/>
      <c r="T450" s="80"/>
      <c r="AB450" s="75"/>
    </row>
    <row r="451" spans="1:28" x14ac:dyDescent="0.25">
      <c r="A451" s="110"/>
      <c r="B451" s="107"/>
      <c r="C451" s="81"/>
      <c r="D451" s="81"/>
      <c r="E451" s="81"/>
      <c r="F451" s="81"/>
      <c r="G451" s="81"/>
      <c r="H451" s="81"/>
      <c r="I451" s="81"/>
      <c r="J451" s="81"/>
      <c r="K451" s="81"/>
      <c r="L451" s="81"/>
      <c r="M451" s="113"/>
      <c r="N451" s="81"/>
      <c r="O451" s="102"/>
      <c r="P451" s="81"/>
      <c r="Q451" s="90"/>
      <c r="S451" s="80"/>
      <c r="T451" s="80"/>
      <c r="AB451" s="75"/>
    </row>
    <row r="452" spans="1:28" x14ac:dyDescent="0.25">
      <c r="A452" s="110"/>
      <c r="B452" s="107"/>
      <c r="C452" s="81"/>
      <c r="D452" s="81"/>
      <c r="E452" s="81"/>
      <c r="F452" s="81"/>
      <c r="G452" s="81"/>
      <c r="H452" s="81"/>
      <c r="I452" s="81"/>
      <c r="J452" s="81"/>
      <c r="K452" s="81"/>
      <c r="L452" s="81"/>
      <c r="M452" s="113"/>
      <c r="N452" s="81"/>
      <c r="O452" s="102"/>
      <c r="P452" s="81"/>
      <c r="Q452" s="90"/>
      <c r="S452" s="80"/>
      <c r="T452" s="80"/>
      <c r="AB452" s="75"/>
    </row>
    <row r="453" spans="1:28" x14ac:dyDescent="0.25">
      <c r="A453" s="110"/>
      <c r="B453" s="107"/>
      <c r="C453" s="81"/>
      <c r="D453" s="81"/>
      <c r="E453" s="81"/>
      <c r="F453" s="81"/>
      <c r="G453" s="81"/>
      <c r="H453" s="81"/>
      <c r="I453" s="81"/>
      <c r="J453" s="81"/>
      <c r="K453" s="81"/>
      <c r="L453" s="81"/>
      <c r="M453" s="113"/>
      <c r="N453" s="81"/>
      <c r="O453" s="102"/>
      <c r="P453" s="81"/>
      <c r="Q453" s="90"/>
      <c r="S453" s="80"/>
      <c r="T453" s="80"/>
      <c r="AB453" s="75"/>
    </row>
    <row r="454" spans="1:28" x14ac:dyDescent="0.25">
      <c r="A454" s="110"/>
      <c r="B454" s="107"/>
      <c r="C454" s="81"/>
      <c r="D454" s="81"/>
      <c r="E454" s="81"/>
      <c r="F454" s="81"/>
      <c r="G454" s="81"/>
      <c r="H454" s="81"/>
      <c r="I454" s="81"/>
      <c r="J454" s="81"/>
      <c r="K454" s="81"/>
      <c r="L454" s="81"/>
      <c r="M454" s="113"/>
      <c r="N454" s="81"/>
      <c r="O454" s="102"/>
      <c r="P454" s="81"/>
      <c r="Q454" s="90"/>
      <c r="S454" s="80"/>
      <c r="T454" s="80"/>
      <c r="AB454" s="75"/>
    </row>
    <row r="455" spans="1:28" x14ac:dyDescent="0.25">
      <c r="A455" s="110"/>
      <c r="B455" s="107"/>
      <c r="C455" s="81"/>
      <c r="D455" s="81"/>
      <c r="E455" s="81"/>
      <c r="F455" s="81"/>
      <c r="G455" s="81"/>
      <c r="H455" s="81"/>
      <c r="I455" s="81"/>
      <c r="J455" s="81"/>
      <c r="K455" s="81"/>
      <c r="L455" s="81"/>
      <c r="M455" s="113"/>
      <c r="N455" s="81"/>
      <c r="O455" s="102"/>
      <c r="P455" s="81"/>
      <c r="Q455" s="90"/>
      <c r="S455" s="80"/>
      <c r="T455" s="80"/>
      <c r="AB455" s="75"/>
    </row>
    <row r="456" spans="1:28" x14ac:dyDescent="0.25">
      <c r="A456" s="110"/>
      <c r="B456" s="107"/>
      <c r="C456" s="81"/>
      <c r="D456" s="81"/>
      <c r="E456" s="81"/>
      <c r="F456" s="81"/>
      <c r="G456" s="81"/>
      <c r="H456" s="81"/>
      <c r="I456" s="81"/>
      <c r="J456" s="81"/>
      <c r="K456" s="81"/>
      <c r="L456" s="81"/>
      <c r="M456" s="113"/>
      <c r="N456" s="81"/>
      <c r="O456" s="102"/>
      <c r="P456" s="81"/>
      <c r="Q456" s="90"/>
      <c r="S456" s="80"/>
      <c r="T456" s="80"/>
      <c r="AB456" s="75"/>
    </row>
  </sheetData>
  <autoFilter ref="G1:AW456" xr:uid="{00000000-0009-0000-0000-000000000000}"/>
  <conditionalFormatting sqref="AT2">
    <cfRule type="expression" dxfId="51" priority="36">
      <formula>IFERROR(AT2,TRUE)</formula>
    </cfRule>
  </conditionalFormatting>
  <conditionalFormatting sqref="AT3:AT456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456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456 AQ3:AQ456">
    <cfRule type="cellIs" dxfId="46" priority="31" operator="lessThan">
      <formula>1</formula>
    </cfRule>
  </conditionalFormatting>
  <conditionalFormatting sqref="AC3:AN456 AP3:AP456 AR3:AS456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456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456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456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456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28415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28416</v>
      </c>
      <c r="C26" s="119" t="s">
        <v>28416</v>
      </c>
      <c r="D26" s="119" t="s">
        <v>28416</v>
      </c>
      <c r="E26" s="119">
        <v>1</v>
      </c>
    </row>
    <row r="27" spans="1:5" x14ac:dyDescent="0.2">
      <c r="A27" s="119" t="s">
        <v>28417</v>
      </c>
      <c r="C27" s="119" t="s">
        <v>28417</v>
      </c>
      <c r="D27" s="119" t="s">
        <v>28229</v>
      </c>
      <c r="E27" s="119">
        <v>1</v>
      </c>
    </row>
    <row r="28" spans="1:5" x14ac:dyDescent="0.2">
      <c r="A28" s="119" t="s">
        <v>28418</v>
      </c>
      <c r="C28" s="119" t="s">
        <v>28418</v>
      </c>
      <c r="D28" s="119" t="s">
        <v>25331</v>
      </c>
      <c r="E28" s="119">
        <v>1</v>
      </c>
    </row>
    <row r="29" spans="1:5" x14ac:dyDescent="0.2">
      <c r="A29" s="119" t="s">
        <v>28419</v>
      </c>
      <c r="C29" s="119" t="s">
        <v>28419</v>
      </c>
      <c r="D29" s="119" t="s">
        <v>28252</v>
      </c>
      <c r="E29" s="119">
        <v>1</v>
      </c>
    </row>
    <row r="30" spans="1:5" x14ac:dyDescent="0.2">
      <c r="A30" s="119" t="s">
        <v>28420</v>
      </c>
      <c r="C30" s="119" t="s">
        <v>28420</v>
      </c>
      <c r="D30" s="119" t="s">
        <v>25332</v>
      </c>
      <c r="E30" s="119">
        <v>1</v>
      </c>
    </row>
    <row r="31" spans="1:5" x14ac:dyDescent="0.2">
      <c r="A31" s="119" t="s">
        <v>28421</v>
      </c>
      <c r="C31" s="119" t="s">
        <v>28421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28424</v>
      </c>
      <c r="D32" s="119" t="s">
        <v>25333</v>
      </c>
      <c r="E32" s="119">
        <v>1</v>
      </c>
    </row>
    <row r="33" spans="1:5" ht="12.6" customHeight="1" x14ac:dyDescent="0.2">
      <c r="A33" s="119" t="s">
        <v>28422</v>
      </c>
      <c r="C33" s="119" t="s">
        <v>28422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28423</v>
      </c>
      <c r="C35" s="119" t="s">
        <v>28423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46"/>
  <sheetViews>
    <sheetView topLeftCell="A811" workbookViewId="0">
      <selection activeCell="E839" sqref="E839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28415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28518</v>
      </c>
      <c r="B136" s="125" t="s">
        <v>28243</v>
      </c>
      <c r="C136" s="125">
        <v>1</v>
      </c>
    </row>
    <row r="137" spans="1:3" x14ac:dyDescent="0.25">
      <c r="A137" s="125" t="s">
        <v>99</v>
      </c>
      <c r="B137" s="125" t="s">
        <v>28225</v>
      </c>
      <c r="C137" s="125">
        <v>1</v>
      </c>
    </row>
    <row r="138" spans="1:3" x14ac:dyDescent="0.25">
      <c r="A138" s="125" t="s">
        <v>28301</v>
      </c>
      <c r="B138" s="125" t="s">
        <v>28223</v>
      </c>
      <c r="C138" s="125">
        <v>1</v>
      </c>
    </row>
    <row r="139" spans="1:3" x14ac:dyDescent="0.25">
      <c r="A139" s="125" t="s">
        <v>25364</v>
      </c>
      <c r="B139" s="125" t="s">
        <v>28243</v>
      </c>
      <c r="C139" s="125">
        <v>1</v>
      </c>
    </row>
    <row r="140" spans="1:3" x14ac:dyDescent="0.25">
      <c r="A140" s="125" t="s">
        <v>28</v>
      </c>
      <c r="B140" s="125" t="s">
        <v>28285</v>
      </c>
      <c r="C140" s="125">
        <v>1</v>
      </c>
    </row>
    <row r="141" spans="1:3" x14ac:dyDescent="0.25">
      <c r="A141" s="125" t="s">
        <v>25391</v>
      </c>
      <c r="B141" s="125" t="s">
        <v>25333</v>
      </c>
      <c r="C141" s="125">
        <v>1</v>
      </c>
    </row>
    <row r="142" spans="1:3" x14ac:dyDescent="0.25">
      <c r="A142" s="125" t="s">
        <v>25430</v>
      </c>
      <c r="B142" s="125" t="s">
        <v>25307</v>
      </c>
      <c r="C142" s="125">
        <v>1</v>
      </c>
    </row>
    <row r="143" spans="1:3" x14ac:dyDescent="0.25">
      <c r="A143" s="125" t="s">
        <v>25432</v>
      </c>
      <c r="B143" s="125" t="s">
        <v>25307</v>
      </c>
      <c r="C143" s="125">
        <v>1</v>
      </c>
    </row>
    <row r="144" spans="1:3" x14ac:dyDescent="0.25">
      <c r="A144" s="125" t="s">
        <v>100</v>
      </c>
      <c r="B144" s="125" t="s">
        <v>28227</v>
      </c>
      <c r="C144" s="125">
        <v>1</v>
      </c>
    </row>
    <row r="145" spans="1:3" x14ac:dyDescent="0.25">
      <c r="A145" s="125" t="s">
        <v>22</v>
      </c>
      <c r="B145" s="125" t="s">
        <v>28245</v>
      </c>
      <c r="C145" s="125">
        <v>1</v>
      </c>
    </row>
    <row r="146" spans="1:3" x14ac:dyDescent="0.25">
      <c r="A146" s="125" t="s">
        <v>97</v>
      </c>
      <c r="B146" s="125" t="s">
        <v>25333</v>
      </c>
      <c r="C146" s="125">
        <v>1</v>
      </c>
    </row>
    <row r="147" spans="1:3" x14ac:dyDescent="0.25">
      <c r="A147" s="125" t="s">
        <v>28302</v>
      </c>
      <c r="B147" s="125" t="s">
        <v>28245</v>
      </c>
      <c r="C147" s="125">
        <v>1</v>
      </c>
    </row>
    <row r="148" spans="1:3" x14ac:dyDescent="0.25">
      <c r="A148" s="125" t="s">
        <v>99</v>
      </c>
      <c r="B148" s="125" t="s">
        <v>28273</v>
      </c>
      <c r="C148" s="125">
        <v>1</v>
      </c>
    </row>
    <row r="149" spans="1:3" x14ac:dyDescent="0.25">
      <c r="A149" s="125" t="s">
        <v>25423</v>
      </c>
      <c r="B149" s="125" t="s">
        <v>28285</v>
      </c>
      <c r="C149" s="125">
        <v>1</v>
      </c>
    </row>
    <row r="150" spans="1:3" x14ac:dyDescent="0.25">
      <c r="A150" s="125" t="s">
        <v>104</v>
      </c>
      <c r="B150" s="125" t="s">
        <v>25307</v>
      </c>
      <c r="C150" s="125">
        <v>1</v>
      </c>
    </row>
    <row r="151" spans="1:3" x14ac:dyDescent="0.25">
      <c r="A151" s="125" t="s">
        <v>22</v>
      </c>
      <c r="B151" s="125" t="s">
        <v>28297</v>
      </c>
      <c r="C151" s="125">
        <v>1</v>
      </c>
    </row>
    <row r="152" spans="1:3" x14ac:dyDescent="0.25">
      <c r="A152" s="125" t="s">
        <v>220</v>
      </c>
      <c r="B152" s="125" t="s">
        <v>28245</v>
      </c>
      <c r="C152" s="125">
        <v>1</v>
      </c>
    </row>
    <row r="153" spans="1:3" x14ac:dyDescent="0.25">
      <c r="A153" s="125" t="s">
        <v>194</v>
      </c>
      <c r="B153" s="125" t="s">
        <v>28224</v>
      </c>
      <c r="C153" s="125">
        <v>1</v>
      </c>
    </row>
    <row r="154" spans="1:3" x14ac:dyDescent="0.25">
      <c r="A154" s="125" t="s">
        <v>25436</v>
      </c>
      <c r="B154" s="125" t="s">
        <v>28296</v>
      </c>
      <c r="C154" s="125">
        <v>1</v>
      </c>
    </row>
    <row r="155" spans="1:3" x14ac:dyDescent="0.25">
      <c r="A155" s="125" t="s">
        <v>25395</v>
      </c>
      <c r="B155" s="125" t="s">
        <v>28303</v>
      </c>
      <c r="C155" s="125">
        <v>1</v>
      </c>
    </row>
    <row r="156" spans="1:3" x14ac:dyDescent="0.25">
      <c r="A156" s="125" t="s">
        <v>27</v>
      </c>
      <c r="B156" s="125" t="s">
        <v>28227</v>
      </c>
      <c r="C156" s="125">
        <v>1</v>
      </c>
    </row>
    <row r="157" spans="1:3" x14ac:dyDescent="0.25">
      <c r="A157" s="125" t="s">
        <v>167</v>
      </c>
      <c r="B157" s="125" t="s">
        <v>28285</v>
      </c>
      <c r="C157" s="125">
        <v>1</v>
      </c>
    </row>
    <row r="158" spans="1:3" x14ac:dyDescent="0.25">
      <c r="A158" s="125" t="s">
        <v>25480</v>
      </c>
      <c r="B158" s="125" t="s">
        <v>28218</v>
      </c>
      <c r="C158" s="125">
        <v>1</v>
      </c>
    </row>
    <row r="159" spans="1:3" x14ac:dyDescent="0.25">
      <c r="A159" s="125" t="s">
        <v>25439</v>
      </c>
      <c r="B159" s="125" t="s">
        <v>28224</v>
      </c>
      <c r="C159" s="125">
        <v>1</v>
      </c>
    </row>
    <row r="160" spans="1:3" x14ac:dyDescent="0.25">
      <c r="A160" s="125" t="s">
        <v>28304</v>
      </c>
      <c r="B160" s="125" t="s">
        <v>25332</v>
      </c>
      <c r="C160" s="125">
        <v>1</v>
      </c>
    </row>
    <row r="161" spans="1:3" x14ac:dyDescent="0.25">
      <c r="A161" s="125" t="s">
        <v>25475</v>
      </c>
      <c r="B161" s="125" t="s">
        <v>25307</v>
      </c>
      <c r="C161" s="125">
        <v>1</v>
      </c>
    </row>
    <row r="162" spans="1:3" x14ac:dyDescent="0.25">
      <c r="A162" s="125" t="s">
        <v>26</v>
      </c>
      <c r="B162" s="125" t="s">
        <v>28233</v>
      </c>
      <c r="C162" s="125">
        <v>1</v>
      </c>
    </row>
    <row r="163" spans="1:3" x14ac:dyDescent="0.25">
      <c r="A163" s="125" t="s">
        <v>107</v>
      </c>
      <c r="B163" s="125" t="s">
        <v>25333</v>
      </c>
      <c r="C163" s="125">
        <v>1</v>
      </c>
    </row>
    <row r="164" spans="1:3" x14ac:dyDescent="0.25">
      <c r="A164" s="125" t="s">
        <v>215</v>
      </c>
      <c r="B164" s="125" t="s">
        <v>28277</v>
      </c>
      <c r="C164" s="125">
        <v>1</v>
      </c>
    </row>
    <row r="165" spans="1:3" x14ac:dyDescent="0.25">
      <c r="A165" s="125" t="s">
        <v>27779</v>
      </c>
      <c r="B165" s="125" t="s">
        <v>28227</v>
      </c>
      <c r="C165" s="125">
        <v>1</v>
      </c>
    </row>
    <row r="166" spans="1:3" x14ac:dyDescent="0.25">
      <c r="A166" s="125" t="s">
        <v>25460</v>
      </c>
      <c r="B166" s="125" t="s">
        <v>28220</v>
      </c>
      <c r="C166" s="125">
        <v>1</v>
      </c>
    </row>
    <row r="167" spans="1:3" x14ac:dyDescent="0.25">
      <c r="A167" s="125" t="s">
        <v>210</v>
      </c>
      <c r="B167" s="125" t="s">
        <v>28218</v>
      </c>
      <c r="C167" s="125">
        <v>1</v>
      </c>
    </row>
    <row r="168" spans="1:3" x14ac:dyDescent="0.25">
      <c r="A168" s="125" t="s">
        <v>25373</v>
      </c>
      <c r="B168" s="125" t="s">
        <v>28305</v>
      </c>
      <c r="C168" s="125">
        <v>1</v>
      </c>
    </row>
    <row r="169" spans="1:3" x14ac:dyDescent="0.25">
      <c r="A169" s="125" t="s">
        <v>25394</v>
      </c>
      <c r="B169" s="125" t="s">
        <v>25307</v>
      </c>
      <c r="C169" s="125">
        <v>1</v>
      </c>
    </row>
    <row r="170" spans="1:3" x14ac:dyDescent="0.25">
      <c r="A170" s="125" t="s">
        <v>25407</v>
      </c>
      <c r="B170" s="125" t="s">
        <v>25307</v>
      </c>
      <c r="C170" s="125">
        <v>1</v>
      </c>
    </row>
    <row r="171" spans="1:3" x14ac:dyDescent="0.25">
      <c r="A171" s="125" t="s">
        <v>25417</v>
      </c>
      <c r="B171" s="125" t="s">
        <v>28306</v>
      </c>
      <c r="C171" s="125">
        <v>1</v>
      </c>
    </row>
    <row r="172" spans="1:3" x14ac:dyDescent="0.25">
      <c r="A172" s="125" t="s">
        <v>25402</v>
      </c>
      <c r="B172" s="125" t="s">
        <v>28306</v>
      </c>
      <c r="C172" s="125">
        <v>1</v>
      </c>
    </row>
    <row r="173" spans="1:3" x14ac:dyDescent="0.25">
      <c r="A173" s="125" t="s">
        <v>41</v>
      </c>
      <c r="B173" s="125" t="s">
        <v>28260</v>
      </c>
      <c r="C173" s="125">
        <v>1</v>
      </c>
    </row>
    <row r="174" spans="1:3" x14ac:dyDescent="0.25">
      <c r="A174" s="125" t="s">
        <v>28307</v>
      </c>
      <c r="B174" s="125" t="s">
        <v>28224</v>
      </c>
      <c r="C174" s="125">
        <v>1</v>
      </c>
    </row>
    <row r="175" spans="1:3" x14ac:dyDescent="0.25">
      <c r="A175" s="125" t="s">
        <v>25512</v>
      </c>
      <c r="B175" s="125" t="s">
        <v>28253</v>
      </c>
      <c r="C175" s="125">
        <v>1</v>
      </c>
    </row>
    <row r="176" spans="1:3" x14ac:dyDescent="0.25">
      <c r="A176" s="125" t="s">
        <v>25513</v>
      </c>
      <c r="B176" s="125" t="s">
        <v>28261</v>
      </c>
      <c r="C176" s="125">
        <v>1</v>
      </c>
    </row>
    <row r="177" spans="1:3" x14ac:dyDescent="0.25">
      <c r="A177" s="125" t="s">
        <v>28425</v>
      </c>
      <c r="B177" s="125" t="s">
        <v>25307</v>
      </c>
      <c r="C177" s="125">
        <v>1</v>
      </c>
    </row>
    <row r="178" spans="1:3" x14ac:dyDescent="0.25">
      <c r="A178" s="125" t="s">
        <v>28427</v>
      </c>
      <c r="B178" s="125" t="s">
        <v>25307</v>
      </c>
      <c r="C178" s="125">
        <v>1</v>
      </c>
    </row>
    <row r="179" spans="1:3" x14ac:dyDescent="0.25">
      <c r="A179" s="125" t="s">
        <v>25418</v>
      </c>
      <c r="B179" s="125" t="s">
        <v>25307</v>
      </c>
      <c r="C179" s="125">
        <v>1</v>
      </c>
    </row>
    <row r="180" spans="1:3" x14ac:dyDescent="0.25">
      <c r="A180" s="125" t="s">
        <v>25416</v>
      </c>
      <c r="B180" s="125" t="s">
        <v>28285</v>
      </c>
      <c r="C180" s="125">
        <v>1</v>
      </c>
    </row>
    <row r="181" spans="1:3" x14ac:dyDescent="0.25">
      <c r="A181" s="125" t="s">
        <v>25374</v>
      </c>
      <c r="B181" s="125" t="s">
        <v>28308</v>
      </c>
      <c r="C181" s="125">
        <v>1</v>
      </c>
    </row>
    <row r="182" spans="1:3" x14ac:dyDescent="0.25">
      <c r="A182" s="125" t="s">
        <v>25413</v>
      </c>
      <c r="B182" s="125" t="s">
        <v>28285</v>
      </c>
      <c r="C182" s="125">
        <v>1</v>
      </c>
    </row>
    <row r="183" spans="1:3" x14ac:dyDescent="0.25">
      <c r="A183" s="125" t="s">
        <v>171</v>
      </c>
      <c r="B183" s="125" t="s">
        <v>25333</v>
      </c>
      <c r="C183" s="125">
        <v>1</v>
      </c>
    </row>
    <row r="184" spans="1:3" x14ac:dyDescent="0.25">
      <c r="A184" s="125" t="s">
        <v>25468</v>
      </c>
      <c r="B184" s="125" t="s">
        <v>28309</v>
      </c>
      <c r="C184" s="125">
        <v>1</v>
      </c>
    </row>
    <row r="185" spans="1:3" x14ac:dyDescent="0.25">
      <c r="A185" s="125" t="s">
        <v>25461</v>
      </c>
      <c r="B185" s="125" t="s">
        <v>28234</v>
      </c>
      <c r="C185" s="125">
        <v>1</v>
      </c>
    </row>
    <row r="186" spans="1:3" x14ac:dyDescent="0.25">
      <c r="A186" s="125" t="s">
        <v>28</v>
      </c>
      <c r="B186" s="125" t="s">
        <v>28224</v>
      </c>
      <c r="C186" s="125">
        <v>1</v>
      </c>
    </row>
    <row r="187" spans="1:3" x14ac:dyDescent="0.25">
      <c r="A187" s="125" t="s">
        <v>25364</v>
      </c>
      <c r="B187" s="125" t="s">
        <v>28247</v>
      </c>
      <c r="C187" s="125">
        <v>1</v>
      </c>
    </row>
    <row r="188" spans="1:3" x14ac:dyDescent="0.25">
      <c r="A188" s="125" t="s">
        <v>97</v>
      </c>
      <c r="B188" s="125" t="s">
        <v>28220</v>
      </c>
      <c r="C188" s="125">
        <v>1</v>
      </c>
    </row>
    <row r="189" spans="1:3" x14ac:dyDescent="0.25">
      <c r="A189" s="125" t="s">
        <v>104</v>
      </c>
      <c r="B189" s="125" t="s">
        <v>28220</v>
      </c>
      <c r="C189" s="125">
        <v>1</v>
      </c>
    </row>
    <row r="190" spans="1:3" x14ac:dyDescent="0.25">
      <c r="A190" s="125" t="s">
        <v>25437</v>
      </c>
      <c r="B190" s="125" t="s">
        <v>28251</v>
      </c>
      <c r="C190" s="125">
        <v>1</v>
      </c>
    </row>
    <row r="191" spans="1:3" x14ac:dyDescent="0.25">
      <c r="A191" s="125" t="s">
        <v>28310</v>
      </c>
      <c r="B191" s="125" t="s">
        <v>28251</v>
      </c>
      <c r="C191" s="125">
        <v>1</v>
      </c>
    </row>
    <row r="192" spans="1:3" x14ac:dyDescent="0.25">
      <c r="A192" s="125" t="s">
        <v>25406</v>
      </c>
      <c r="B192" s="125" t="s">
        <v>28254</v>
      </c>
      <c r="C192" s="125">
        <v>1</v>
      </c>
    </row>
    <row r="193" spans="1:3" x14ac:dyDescent="0.25">
      <c r="A193" s="125" t="s">
        <v>25344</v>
      </c>
      <c r="B193" s="125" t="s">
        <v>28311</v>
      </c>
      <c r="C193" s="125">
        <v>1</v>
      </c>
    </row>
    <row r="194" spans="1:3" x14ac:dyDescent="0.25">
      <c r="A194" s="125" t="s">
        <v>27</v>
      </c>
      <c r="B194" s="125" t="s">
        <v>28225</v>
      </c>
      <c r="C194" s="125">
        <v>1</v>
      </c>
    </row>
    <row r="195" spans="1:3" x14ac:dyDescent="0.25">
      <c r="A195" s="125" t="s">
        <v>25484</v>
      </c>
      <c r="B195" s="125" t="s">
        <v>28309</v>
      </c>
      <c r="C195" s="125">
        <v>1</v>
      </c>
    </row>
    <row r="196" spans="1:3" x14ac:dyDescent="0.25">
      <c r="A196" s="125" t="s">
        <v>27</v>
      </c>
      <c r="B196" s="125" t="s">
        <v>28224</v>
      </c>
      <c r="C196" s="125">
        <v>1</v>
      </c>
    </row>
    <row r="197" spans="1:3" x14ac:dyDescent="0.25">
      <c r="A197" s="125" t="s">
        <v>23</v>
      </c>
      <c r="B197" s="125" t="s">
        <v>28219</v>
      </c>
      <c r="C197" s="125">
        <v>1</v>
      </c>
    </row>
    <row r="198" spans="1:3" x14ac:dyDescent="0.25">
      <c r="A198" s="125" t="s">
        <v>25541</v>
      </c>
      <c r="B198" s="125" t="s">
        <v>28225</v>
      </c>
      <c r="C198" s="125">
        <v>1</v>
      </c>
    </row>
    <row r="199" spans="1:3" x14ac:dyDescent="0.25">
      <c r="A199" s="125" t="s">
        <v>25531</v>
      </c>
      <c r="B199" s="125" t="s">
        <v>28254</v>
      </c>
      <c r="C199" s="125">
        <v>1</v>
      </c>
    </row>
    <row r="200" spans="1:3" x14ac:dyDescent="0.25">
      <c r="A200" s="125" t="s">
        <v>54</v>
      </c>
      <c r="B200" s="125" t="s">
        <v>28225</v>
      </c>
      <c r="C200" s="125">
        <v>1</v>
      </c>
    </row>
    <row r="201" spans="1:3" x14ac:dyDescent="0.25">
      <c r="A201" s="125" t="s">
        <v>25458</v>
      </c>
      <c r="B201" s="125" t="s">
        <v>28312</v>
      </c>
      <c r="C201" s="125">
        <v>1</v>
      </c>
    </row>
    <row r="202" spans="1:3" x14ac:dyDescent="0.25">
      <c r="A202" s="125" t="s">
        <v>52</v>
      </c>
      <c r="B202" s="125" t="s">
        <v>28285</v>
      </c>
      <c r="C202" s="125">
        <v>1</v>
      </c>
    </row>
    <row r="203" spans="1:3" x14ac:dyDescent="0.25">
      <c r="A203" s="125" t="s">
        <v>25498</v>
      </c>
      <c r="B203" s="125" t="s">
        <v>28313</v>
      </c>
      <c r="C203" s="125">
        <v>1</v>
      </c>
    </row>
    <row r="204" spans="1:3" x14ac:dyDescent="0.25">
      <c r="A204" s="125" t="s">
        <v>25347</v>
      </c>
      <c r="B204" s="125" t="s">
        <v>28308</v>
      </c>
      <c r="C204" s="125">
        <v>1</v>
      </c>
    </row>
    <row r="205" spans="1:3" x14ac:dyDescent="0.25">
      <c r="A205" s="125" t="s">
        <v>25365</v>
      </c>
      <c r="B205" s="125" t="s">
        <v>28254</v>
      </c>
      <c r="C205" s="125">
        <v>1</v>
      </c>
    </row>
    <row r="206" spans="1:3" x14ac:dyDescent="0.25">
      <c r="A206" s="125" t="s">
        <v>25489</v>
      </c>
      <c r="B206" s="125" t="s">
        <v>28219</v>
      </c>
      <c r="C206" s="125">
        <v>1</v>
      </c>
    </row>
    <row r="207" spans="1:3" x14ac:dyDescent="0.25">
      <c r="A207" s="125" t="s">
        <v>25399</v>
      </c>
      <c r="B207" s="125" t="s">
        <v>28243</v>
      </c>
      <c r="C207" s="125">
        <v>1</v>
      </c>
    </row>
    <row r="208" spans="1:3" x14ac:dyDescent="0.25">
      <c r="A208" s="125" t="s">
        <v>130</v>
      </c>
      <c r="B208" s="125" t="s">
        <v>28219</v>
      </c>
      <c r="C208" s="125">
        <v>1</v>
      </c>
    </row>
    <row r="209" spans="1:3" x14ac:dyDescent="0.25">
      <c r="A209" s="125" t="s">
        <v>25392</v>
      </c>
      <c r="B209" s="125" t="s">
        <v>28254</v>
      </c>
      <c r="C209" s="125">
        <v>1</v>
      </c>
    </row>
    <row r="210" spans="1:3" x14ac:dyDescent="0.25">
      <c r="A210" s="125" t="s">
        <v>25345</v>
      </c>
      <c r="B210" s="125" t="s">
        <v>28311</v>
      </c>
      <c r="C210" s="125">
        <v>1</v>
      </c>
    </row>
    <row r="211" spans="1:3" x14ac:dyDescent="0.25">
      <c r="A211" s="125" t="s">
        <v>25391</v>
      </c>
      <c r="B211" s="125" t="s">
        <v>28232</v>
      </c>
      <c r="C211" s="125">
        <v>1</v>
      </c>
    </row>
    <row r="212" spans="1:3" x14ac:dyDescent="0.25">
      <c r="A212" s="125" t="s">
        <v>25477</v>
      </c>
      <c r="B212" s="125" t="s">
        <v>28260</v>
      </c>
      <c r="C212" s="125">
        <v>1</v>
      </c>
    </row>
    <row r="213" spans="1:3" x14ac:dyDescent="0.25">
      <c r="A213" s="125" t="s">
        <v>25346</v>
      </c>
      <c r="B213" s="125" t="s">
        <v>28308</v>
      </c>
      <c r="C213" s="125">
        <v>1</v>
      </c>
    </row>
    <row r="214" spans="1:3" x14ac:dyDescent="0.25">
      <c r="A214" s="125" t="s">
        <v>25420</v>
      </c>
      <c r="B214" s="125" t="s">
        <v>28311</v>
      </c>
      <c r="C214" s="125">
        <v>1</v>
      </c>
    </row>
    <row r="215" spans="1:3" x14ac:dyDescent="0.25">
      <c r="A215" s="125" t="s">
        <v>25539</v>
      </c>
      <c r="B215" s="125" t="s">
        <v>28225</v>
      </c>
      <c r="C215" s="125">
        <v>1</v>
      </c>
    </row>
    <row r="216" spans="1:3" x14ac:dyDescent="0.25">
      <c r="A216" s="125" t="s">
        <v>25429</v>
      </c>
      <c r="B216" s="125" t="s">
        <v>28314</v>
      </c>
      <c r="C216" s="125">
        <v>1</v>
      </c>
    </row>
    <row r="217" spans="1:3" x14ac:dyDescent="0.25">
      <c r="A217" s="125" t="s">
        <v>215</v>
      </c>
      <c r="B217" s="125" t="s">
        <v>28297</v>
      </c>
      <c r="C217" s="125">
        <v>1</v>
      </c>
    </row>
    <row r="218" spans="1:3" x14ac:dyDescent="0.25">
      <c r="A218" s="125" t="s">
        <v>54</v>
      </c>
      <c r="B218" s="125" t="s">
        <v>25331</v>
      </c>
      <c r="C218" s="125">
        <v>1</v>
      </c>
    </row>
    <row r="219" spans="1:3" x14ac:dyDescent="0.25">
      <c r="A219" s="125" t="s">
        <v>25524</v>
      </c>
      <c r="B219" s="125" t="s">
        <v>25307</v>
      </c>
      <c r="C219" s="125">
        <v>1</v>
      </c>
    </row>
    <row r="220" spans="1:3" x14ac:dyDescent="0.25">
      <c r="A220" s="125" t="s">
        <v>25462</v>
      </c>
      <c r="B220" s="125" t="s">
        <v>28299</v>
      </c>
      <c r="C220" s="125">
        <v>1</v>
      </c>
    </row>
    <row r="221" spans="1:3" x14ac:dyDescent="0.25">
      <c r="A221" s="125" t="s">
        <v>28409</v>
      </c>
      <c r="B221" s="125" t="s">
        <v>28299</v>
      </c>
      <c r="C221" s="125">
        <v>1</v>
      </c>
    </row>
    <row r="222" spans="1:3" x14ac:dyDescent="0.25">
      <c r="A222" s="125" t="s">
        <v>25530</v>
      </c>
      <c r="B222" s="125" t="s">
        <v>25333</v>
      </c>
      <c r="C222" s="125">
        <v>1</v>
      </c>
    </row>
    <row r="223" spans="1:3" x14ac:dyDescent="0.25">
      <c r="A223" s="125" t="s">
        <v>29</v>
      </c>
      <c r="B223" s="125" t="s">
        <v>28315</v>
      </c>
      <c r="C223" s="125">
        <v>1</v>
      </c>
    </row>
    <row r="224" spans="1:3" x14ac:dyDescent="0.25">
      <c r="A224" s="125" t="s">
        <v>22</v>
      </c>
      <c r="B224" s="125" t="s">
        <v>28220</v>
      </c>
      <c r="C224" s="125">
        <v>1</v>
      </c>
    </row>
    <row r="225" spans="1:3" x14ac:dyDescent="0.25">
      <c r="A225" s="125" t="s">
        <v>25486</v>
      </c>
      <c r="B225" s="125" t="s">
        <v>25334</v>
      </c>
      <c r="C225" s="125">
        <v>1</v>
      </c>
    </row>
    <row r="226" spans="1:3" x14ac:dyDescent="0.25">
      <c r="A226" s="125" t="s">
        <v>25422</v>
      </c>
      <c r="B226" s="125" t="s">
        <v>28272</v>
      </c>
      <c r="C226" s="125">
        <v>1</v>
      </c>
    </row>
    <row r="227" spans="1:3" x14ac:dyDescent="0.25">
      <c r="A227" s="125" t="s">
        <v>27</v>
      </c>
      <c r="B227" s="125" t="s">
        <v>28273</v>
      </c>
      <c r="C227" s="125">
        <v>1</v>
      </c>
    </row>
    <row r="228" spans="1:3" x14ac:dyDescent="0.25">
      <c r="A228" s="125" t="s">
        <v>25493</v>
      </c>
      <c r="B228" s="125" t="s">
        <v>28308</v>
      </c>
      <c r="C228" s="125">
        <v>1</v>
      </c>
    </row>
    <row r="229" spans="1:3" x14ac:dyDescent="0.25">
      <c r="A229" s="125" t="s">
        <v>25541</v>
      </c>
      <c r="B229" s="125" t="s">
        <v>25307</v>
      </c>
      <c r="C229" s="125">
        <v>1</v>
      </c>
    </row>
    <row r="230" spans="1:3" x14ac:dyDescent="0.25">
      <c r="A230" s="125" t="s">
        <v>25430</v>
      </c>
      <c r="B230" s="125" t="s">
        <v>28218</v>
      </c>
      <c r="C230" s="125">
        <v>1</v>
      </c>
    </row>
    <row r="231" spans="1:3" x14ac:dyDescent="0.25">
      <c r="A231" s="125" t="s">
        <v>25490</v>
      </c>
      <c r="B231" s="125" t="s">
        <v>28219</v>
      </c>
      <c r="C231" s="125">
        <v>1</v>
      </c>
    </row>
    <row r="232" spans="1:3" x14ac:dyDescent="0.25">
      <c r="A232" s="125" t="s">
        <v>27777</v>
      </c>
      <c r="B232" s="125" t="s">
        <v>28235</v>
      </c>
      <c r="C232" s="125">
        <v>1</v>
      </c>
    </row>
    <row r="233" spans="1:3" x14ac:dyDescent="0.25">
      <c r="A233" s="125" t="s">
        <v>28316</v>
      </c>
      <c r="B233" s="125" t="s">
        <v>28224</v>
      </c>
      <c r="C233" s="125">
        <v>1</v>
      </c>
    </row>
    <row r="234" spans="1:3" x14ac:dyDescent="0.25">
      <c r="A234" s="125" t="s">
        <v>25366</v>
      </c>
      <c r="B234" s="125" t="s">
        <v>25307</v>
      </c>
      <c r="C234" s="125">
        <v>1</v>
      </c>
    </row>
    <row r="235" spans="1:3" x14ac:dyDescent="0.25">
      <c r="A235" s="125" t="s">
        <v>25363</v>
      </c>
      <c r="B235" s="125" t="s">
        <v>25307</v>
      </c>
      <c r="C235" s="125">
        <v>1</v>
      </c>
    </row>
    <row r="236" spans="1:3" x14ac:dyDescent="0.25">
      <c r="A236" s="125" t="s">
        <v>25415</v>
      </c>
      <c r="B236" s="125" t="s">
        <v>28317</v>
      </c>
      <c r="C236" s="125">
        <v>1</v>
      </c>
    </row>
    <row r="237" spans="1:3" x14ac:dyDescent="0.25">
      <c r="A237" s="125" t="s">
        <v>27778</v>
      </c>
      <c r="B237" s="125" t="s">
        <v>28227</v>
      </c>
      <c r="C237" s="125">
        <v>1</v>
      </c>
    </row>
    <row r="238" spans="1:3" x14ac:dyDescent="0.25">
      <c r="A238" s="125" t="s">
        <v>28318</v>
      </c>
      <c r="B238" s="125" t="s">
        <v>28218</v>
      </c>
      <c r="C238" s="125">
        <v>1</v>
      </c>
    </row>
    <row r="239" spans="1:3" x14ac:dyDescent="0.25">
      <c r="A239" s="125" t="s">
        <v>25493</v>
      </c>
      <c r="B239" s="125" t="s">
        <v>25307</v>
      </c>
      <c r="C239" s="125">
        <v>1</v>
      </c>
    </row>
    <row r="240" spans="1:3" x14ac:dyDescent="0.25">
      <c r="A240" s="125" t="s">
        <v>25520</v>
      </c>
      <c r="B240" s="125" t="s">
        <v>28245</v>
      </c>
      <c r="C240" s="125">
        <v>1</v>
      </c>
    </row>
    <row r="241" spans="1:3" x14ac:dyDescent="0.25">
      <c r="A241" s="125" t="s">
        <v>27780</v>
      </c>
      <c r="B241" s="125" t="s">
        <v>28285</v>
      </c>
      <c r="C241" s="125">
        <v>1</v>
      </c>
    </row>
    <row r="242" spans="1:3" x14ac:dyDescent="0.25">
      <c r="A242" s="125" t="s">
        <v>27781</v>
      </c>
      <c r="B242" s="125" t="s">
        <v>28220</v>
      </c>
      <c r="C242" s="125">
        <v>1</v>
      </c>
    </row>
    <row r="243" spans="1:3" x14ac:dyDescent="0.25">
      <c r="A243" s="125" t="s">
        <v>25480</v>
      </c>
      <c r="B243" s="125" t="s">
        <v>28224</v>
      </c>
      <c r="C243" s="125">
        <v>1</v>
      </c>
    </row>
    <row r="244" spans="1:3" x14ac:dyDescent="0.25">
      <c r="A244" s="125" t="s">
        <v>28300</v>
      </c>
      <c r="B244" s="125" t="s">
        <v>28254</v>
      </c>
      <c r="C244" s="125">
        <v>1</v>
      </c>
    </row>
    <row r="245" spans="1:3" x14ac:dyDescent="0.25">
      <c r="A245" s="125" t="s">
        <v>25414</v>
      </c>
      <c r="B245" s="125" t="s">
        <v>28285</v>
      </c>
      <c r="C245" s="125">
        <v>1</v>
      </c>
    </row>
    <row r="246" spans="1:3" x14ac:dyDescent="0.25">
      <c r="A246" s="125" t="s">
        <v>25352</v>
      </c>
      <c r="B246" s="125" t="s">
        <v>28308</v>
      </c>
      <c r="C246" s="125">
        <v>1</v>
      </c>
    </row>
    <row r="247" spans="1:3" x14ac:dyDescent="0.25">
      <c r="A247" s="125" t="s">
        <v>137</v>
      </c>
      <c r="B247" s="125" t="s">
        <v>28218</v>
      </c>
      <c r="C247" s="125">
        <v>1</v>
      </c>
    </row>
    <row r="248" spans="1:3" x14ac:dyDescent="0.25">
      <c r="A248" s="125" t="s">
        <v>25536</v>
      </c>
      <c r="B248" s="125" t="s">
        <v>28224</v>
      </c>
      <c r="C248" s="125">
        <v>1</v>
      </c>
    </row>
    <row r="249" spans="1:3" x14ac:dyDescent="0.25">
      <c r="A249" s="125" t="s">
        <v>28319</v>
      </c>
      <c r="B249" s="125" t="s">
        <v>28245</v>
      </c>
      <c r="C249" s="125">
        <v>1</v>
      </c>
    </row>
    <row r="250" spans="1:3" x14ac:dyDescent="0.25">
      <c r="A250" s="125" t="s">
        <v>25423</v>
      </c>
      <c r="B250" s="125" t="s">
        <v>28295</v>
      </c>
      <c r="C250" s="125">
        <v>1</v>
      </c>
    </row>
    <row r="251" spans="1:3" x14ac:dyDescent="0.25">
      <c r="A251" s="141" t="s">
        <v>25409</v>
      </c>
      <c r="B251" s="125" t="s">
        <v>28285</v>
      </c>
      <c r="C251" s="125">
        <v>1</v>
      </c>
    </row>
    <row r="252" spans="1:3" x14ac:dyDescent="0.25">
      <c r="A252" s="141" t="s">
        <v>28320</v>
      </c>
      <c r="B252" s="125" t="s">
        <v>28250</v>
      </c>
      <c r="C252" s="125">
        <v>1</v>
      </c>
    </row>
    <row r="253" spans="1:3" x14ac:dyDescent="0.25">
      <c r="A253" s="141" t="s">
        <v>42</v>
      </c>
      <c r="B253" s="125" t="s">
        <v>28281</v>
      </c>
      <c r="C253" s="125">
        <v>1</v>
      </c>
    </row>
    <row r="254" spans="1:3" x14ac:dyDescent="0.25">
      <c r="A254" s="141" t="s">
        <v>1</v>
      </c>
      <c r="B254" s="125" t="s">
        <v>28321</v>
      </c>
      <c r="C254" s="125">
        <v>1</v>
      </c>
    </row>
    <row r="255" spans="1:3" x14ac:dyDescent="0.25">
      <c r="A255" s="125" t="s">
        <v>25498</v>
      </c>
      <c r="B255" s="125" t="s">
        <v>28296</v>
      </c>
      <c r="C255" s="125">
        <v>1</v>
      </c>
    </row>
    <row r="256" spans="1:3" x14ac:dyDescent="0.25">
      <c r="A256" s="125" t="s">
        <v>28322</v>
      </c>
      <c r="B256" s="125" t="s">
        <v>28309</v>
      </c>
      <c r="C256" s="125">
        <v>1</v>
      </c>
    </row>
    <row r="257" spans="1:3" x14ac:dyDescent="0.25">
      <c r="A257" s="125" t="s">
        <v>25392</v>
      </c>
      <c r="B257" s="125" t="s">
        <v>28323</v>
      </c>
      <c r="C257" s="125">
        <v>1</v>
      </c>
    </row>
    <row r="258" spans="1:3" x14ac:dyDescent="0.25">
      <c r="A258" s="125" t="s">
        <v>25439</v>
      </c>
      <c r="B258" s="125" t="s">
        <v>28324</v>
      </c>
      <c r="C258" s="125">
        <v>1</v>
      </c>
    </row>
    <row r="259" spans="1:3" x14ac:dyDescent="0.25">
      <c r="A259" s="125" t="s">
        <v>34</v>
      </c>
      <c r="B259" s="125" t="s">
        <v>28225</v>
      </c>
      <c r="C259" s="125">
        <v>1</v>
      </c>
    </row>
    <row r="260" spans="1:3" x14ac:dyDescent="0.25">
      <c r="A260" s="125" t="s">
        <v>25511</v>
      </c>
      <c r="B260" s="125" t="s">
        <v>28223</v>
      </c>
      <c r="C260" s="125">
        <v>1</v>
      </c>
    </row>
    <row r="261" spans="1:3" x14ac:dyDescent="0.25">
      <c r="A261" s="125" t="s">
        <v>28325</v>
      </c>
      <c r="B261" s="125" t="s">
        <v>28270</v>
      </c>
      <c r="C261" s="125">
        <v>1</v>
      </c>
    </row>
    <row r="262" spans="1:3" x14ac:dyDescent="0.25">
      <c r="A262" s="125" t="s">
        <v>28326</v>
      </c>
      <c r="B262" s="125" t="s">
        <v>28308</v>
      </c>
      <c r="C262" s="125">
        <v>1</v>
      </c>
    </row>
    <row r="263" spans="1:3" x14ac:dyDescent="0.25">
      <c r="A263" s="125" t="s">
        <v>28327</v>
      </c>
      <c r="B263" s="125" t="s">
        <v>28277</v>
      </c>
      <c r="C263" s="125">
        <v>1</v>
      </c>
    </row>
    <row r="264" spans="1:3" x14ac:dyDescent="0.25">
      <c r="A264" s="125" t="s">
        <v>28328</v>
      </c>
      <c r="B264" s="125" t="s">
        <v>28297</v>
      </c>
      <c r="C264" s="125">
        <v>1</v>
      </c>
    </row>
    <row r="265" spans="1:3" x14ac:dyDescent="0.25">
      <c r="A265" s="125" t="s">
        <v>25447</v>
      </c>
      <c r="B265" s="125" t="s">
        <v>28263</v>
      </c>
      <c r="C265" s="125">
        <v>1</v>
      </c>
    </row>
    <row r="266" spans="1:3" x14ac:dyDescent="0.25">
      <c r="A266" s="125" t="s">
        <v>25447</v>
      </c>
      <c r="B266" s="125" t="s">
        <v>25307</v>
      </c>
      <c r="C266" s="125">
        <v>1</v>
      </c>
    </row>
    <row r="267" spans="1:3" x14ac:dyDescent="0.25">
      <c r="A267" s="125" t="s">
        <v>43</v>
      </c>
      <c r="B267" s="125" t="s">
        <v>28299</v>
      </c>
      <c r="C267" s="125">
        <v>1</v>
      </c>
    </row>
    <row r="268" spans="1:3" x14ac:dyDescent="0.25">
      <c r="A268" s="125" t="s">
        <v>28410</v>
      </c>
      <c r="B268" s="125" t="s">
        <v>28299</v>
      </c>
      <c r="C268" s="125">
        <v>1</v>
      </c>
    </row>
    <row r="269" spans="1:3" x14ac:dyDescent="0.25">
      <c r="A269" s="125" t="s">
        <v>28329</v>
      </c>
      <c r="B269" s="125" t="s">
        <v>28330</v>
      </c>
      <c r="C269" s="125">
        <v>1</v>
      </c>
    </row>
    <row r="270" spans="1:3" x14ac:dyDescent="0.25">
      <c r="A270" s="125" t="s">
        <v>28331</v>
      </c>
      <c r="B270" s="125" t="s">
        <v>28311</v>
      </c>
      <c r="C270" s="125">
        <v>1</v>
      </c>
    </row>
    <row r="271" spans="1:3" x14ac:dyDescent="0.25">
      <c r="A271" s="125" t="s">
        <v>25503</v>
      </c>
      <c r="B271" s="125" t="s">
        <v>28251</v>
      </c>
      <c r="C271" s="125">
        <v>1</v>
      </c>
    </row>
    <row r="272" spans="1:3" x14ac:dyDescent="0.25">
      <c r="A272" s="125" t="s">
        <v>28332</v>
      </c>
      <c r="B272" s="125" t="s">
        <v>28315</v>
      </c>
      <c r="C272" s="125">
        <v>1</v>
      </c>
    </row>
    <row r="273" spans="1:3" x14ac:dyDescent="0.25">
      <c r="A273" s="125" t="s">
        <v>25541</v>
      </c>
      <c r="B273" s="125" t="s">
        <v>28317</v>
      </c>
      <c r="C273" s="125">
        <v>1</v>
      </c>
    </row>
    <row r="274" spans="1:3" x14ac:dyDescent="0.25">
      <c r="A274" s="125" t="s">
        <v>25447</v>
      </c>
      <c r="B274" s="125" t="s">
        <v>28223</v>
      </c>
      <c r="C274" s="125">
        <v>1</v>
      </c>
    </row>
    <row r="275" spans="1:3" x14ac:dyDescent="0.25">
      <c r="A275" s="125" t="s">
        <v>25345</v>
      </c>
      <c r="B275" s="125" t="s">
        <v>28281</v>
      </c>
      <c r="C275" s="125">
        <v>1</v>
      </c>
    </row>
    <row r="276" spans="1:3" x14ac:dyDescent="0.25">
      <c r="A276" s="125" t="s">
        <v>28333</v>
      </c>
      <c r="B276" s="125" t="s">
        <v>28243</v>
      </c>
      <c r="C276" s="125">
        <v>1</v>
      </c>
    </row>
    <row r="277" spans="1:3" x14ac:dyDescent="0.25">
      <c r="A277" s="125" t="s">
        <v>25536</v>
      </c>
      <c r="B277" s="125" t="s">
        <v>25333</v>
      </c>
      <c r="C277" s="125">
        <v>1</v>
      </c>
    </row>
    <row r="278" spans="1:3" x14ac:dyDescent="0.25">
      <c r="A278" s="125" t="s">
        <v>25439</v>
      </c>
      <c r="B278" s="125" t="s">
        <v>28276</v>
      </c>
      <c r="C278" s="125">
        <v>1</v>
      </c>
    </row>
    <row r="279" spans="1:3" x14ac:dyDescent="0.25">
      <c r="A279" s="125" t="s">
        <v>34</v>
      </c>
      <c r="B279" s="125" t="s">
        <v>28334</v>
      </c>
      <c r="C279" s="125">
        <v>1</v>
      </c>
    </row>
    <row r="280" spans="1:3" x14ac:dyDescent="0.25">
      <c r="A280" s="125" t="s">
        <v>25511</v>
      </c>
      <c r="B280" s="125" t="s">
        <v>28263</v>
      </c>
      <c r="C280" s="125">
        <v>1</v>
      </c>
    </row>
    <row r="281" spans="1:3" x14ac:dyDescent="0.25">
      <c r="A281" s="125" t="s">
        <v>28335</v>
      </c>
      <c r="B281" s="125" t="s">
        <v>28218</v>
      </c>
      <c r="C281" s="125">
        <v>1</v>
      </c>
    </row>
    <row r="282" spans="1:3" x14ac:dyDescent="0.25">
      <c r="A282" s="125" t="s">
        <v>28336</v>
      </c>
      <c r="B282" s="125" t="s">
        <v>28223</v>
      </c>
      <c r="C282" s="125">
        <v>1</v>
      </c>
    </row>
    <row r="283" spans="1:3" x14ac:dyDescent="0.25">
      <c r="A283" s="125" t="s">
        <v>28249</v>
      </c>
      <c r="B283" s="125" t="s">
        <v>28227</v>
      </c>
      <c r="C283" s="125">
        <v>1</v>
      </c>
    </row>
    <row r="284" spans="1:3" x14ac:dyDescent="0.25">
      <c r="A284" s="125" t="s">
        <v>137</v>
      </c>
      <c r="B284" s="125" t="s">
        <v>25333</v>
      </c>
      <c r="C284" s="125">
        <v>1</v>
      </c>
    </row>
    <row r="285" spans="1:3" x14ac:dyDescent="0.25">
      <c r="A285" s="125" t="s">
        <v>25410</v>
      </c>
      <c r="B285" s="125" t="s">
        <v>28337</v>
      </c>
      <c r="C285" s="125">
        <v>1</v>
      </c>
    </row>
    <row r="286" spans="1:3" x14ac:dyDescent="0.25">
      <c r="A286" s="125" t="s">
        <v>29</v>
      </c>
      <c r="B286" s="125" t="s">
        <v>28309</v>
      </c>
      <c r="C286" s="125">
        <v>1</v>
      </c>
    </row>
    <row r="287" spans="1:3" x14ac:dyDescent="0.25">
      <c r="A287" s="125" t="s">
        <v>220</v>
      </c>
      <c r="B287" s="125" t="s">
        <v>28281</v>
      </c>
      <c r="C287" s="125">
        <v>1</v>
      </c>
    </row>
    <row r="288" spans="1:3" x14ac:dyDescent="0.25">
      <c r="A288" s="125" t="s">
        <v>25493</v>
      </c>
      <c r="B288" s="125" t="s">
        <v>28240</v>
      </c>
      <c r="C288" s="125">
        <v>1</v>
      </c>
    </row>
    <row r="289" spans="1:3" x14ac:dyDescent="0.25">
      <c r="A289" s="125" t="s">
        <v>25498</v>
      </c>
      <c r="B289" s="125" t="s">
        <v>28251</v>
      </c>
      <c r="C289" s="125">
        <v>1</v>
      </c>
    </row>
    <row r="290" spans="1:3" x14ac:dyDescent="0.25">
      <c r="A290" s="125" t="s">
        <v>25510</v>
      </c>
      <c r="B290" s="125" t="s">
        <v>28338</v>
      </c>
      <c r="C290" s="125">
        <v>1</v>
      </c>
    </row>
    <row r="291" spans="1:3" x14ac:dyDescent="0.25">
      <c r="A291" s="125" t="s">
        <v>25387</v>
      </c>
      <c r="B291" s="125" t="s">
        <v>28261</v>
      </c>
      <c r="C291" s="125">
        <v>1</v>
      </c>
    </row>
    <row r="292" spans="1:3" x14ac:dyDescent="0.25">
      <c r="A292" s="125" t="s">
        <v>25424</v>
      </c>
      <c r="B292" s="125" t="s">
        <v>28295</v>
      </c>
      <c r="C292" s="125">
        <v>1</v>
      </c>
    </row>
    <row r="293" spans="1:3" x14ac:dyDescent="0.25">
      <c r="A293" s="125" t="s">
        <v>25518</v>
      </c>
      <c r="B293" s="125" t="s">
        <v>28251</v>
      </c>
      <c r="C293" s="125">
        <v>1</v>
      </c>
    </row>
    <row r="294" spans="1:3" x14ac:dyDescent="0.25">
      <c r="A294" s="125" t="s">
        <v>28339</v>
      </c>
      <c r="B294" s="125" t="s">
        <v>28308</v>
      </c>
      <c r="C294" s="125">
        <v>1</v>
      </c>
    </row>
    <row r="295" spans="1:3" x14ac:dyDescent="0.25">
      <c r="A295" s="125" t="s">
        <v>28340</v>
      </c>
      <c r="B295" s="125" t="s">
        <v>28280</v>
      </c>
      <c r="C295" s="125">
        <v>1</v>
      </c>
    </row>
    <row r="296" spans="1:3" x14ac:dyDescent="0.25">
      <c r="A296" s="125" t="s">
        <v>28341</v>
      </c>
      <c r="B296" s="125" t="s">
        <v>28234</v>
      </c>
      <c r="C296" s="125">
        <v>1</v>
      </c>
    </row>
    <row r="297" spans="1:3" x14ac:dyDescent="0.25">
      <c r="A297" s="125" t="s">
        <v>25475</v>
      </c>
      <c r="B297" s="125" t="s">
        <v>28276</v>
      </c>
      <c r="C297" s="125">
        <v>1</v>
      </c>
    </row>
    <row r="298" spans="1:3" x14ac:dyDescent="0.25">
      <c r="A298" s="125" t="s">
        <v>25342</v>
      </c>
      <c r="B298" s="125" t="s">
        <v>28261</v>
      </c>
      <c r="C298" s="125">
        <v>1</v>
      </c>
    </row>
    <row r="299" spans="1:3" x14ac:dyDescent="0.25">
      <c r="A299" s="125" t="s">
        <v>25352</v>
      </c>
      <c r="B299" s="125" t="s">
        <v>28276</v>
      </c>
      <c r="C299" s="125">
        <v>1</v>
      </c>
    </row>
    <row r="300" spans="1:3" x14ac:dyDescent="0.25">
      <c r="A300" s="125" t="s">
        <v>25354</v>
      </c>
      <c r="B300" s="125" t="s">
        <v>28342</v>
      </c>
      <c r="C300" s="125">
        <v>1</v>
      </c>
    </row>
    <row r="301" spans="1:3" x14ac:dyDescent="0.25">
      <c r="A301" s="125" t="s">
        <v>28238</v>
      </c>
      <c r="B301" s="125" t="s">
        <v>28225</v>
      </c>
      <c r="C301" s="125">
        <v>1</v>
      </c>
    </row>
    <row r="302" spans="1:3" x14ac:dyDescent="0.25">
      <c r="A302" s="125" t="s">
        <v>210</v>
      </c>
      <c r="B302" s="125" t="s">
        <v>28343</v>
      </c>
      <c r="C302" s="125">
        <v>1</v>
      </c>
    </row>
    <row r="303" spans="1:3" x14ac:dyDescent="0.25">
      <c r="A303" s="125" t="s">
        <v>25435</v>
      </c>
      <c r="B303" s="125" t="s">
        <v>28223</v>
      </c>
      <c r="C303" s="125">
        <v>1</v>
      </c>
    </row>
    <row r="304" spans="1:3" x14ac:dyDescent="0.25">
      <c r="A304" s="125" t="s">
        <v>28344</v>
      </c>
      <c r="B304" s="125" t="s">
        <v>28309</v>
      </c>
      <c r="C304" s="125">
        <v>1</v>
      </c>
    </row>
    <row r="305" spans="1:3" x14ac:dyDescent="0.25">
      <c r="A305" s="125" t="s">
        <v>25513</v>
      </c>
      <c r="B305" s="125" t="s">
        <v>28264</v>
      </c>
      <c r="C305" s="125">
        <v>1</v>
      </c>
    </row>
    <row r="306" spans="1:3" x14ac:dyDescent="0.25">
      <c r="A306" s="125" t="s">
        <v>25469</v>
      </c>
      <c r="B306" s="125" t="s">
        <v>28337</v>
      </c>
      <c r="C306" s="125">
        <v>1</v>
      </c>
    </row>
    <row r="307" spans="1:3" x14ac:dyDescent="0.25">
      <c r="A307" s="125" t="s">
        <v>28</v>
      </c>
      <c r="B307" s="125" t="s">
        <v>28226</v>
      </c>
      <c r="C307" s="125">
        <v>1</v>
      </c>
    </row>
    <row r="308" spans="1:3" x14ac:dyDescent="0.25">
      <c r="A308" s="125" t="s">
        <v>26</v>
      </c>
      <c r="B308" s="125" t="s">
        <v>25332</v>
      </c>
      <c r="C308" s="125">
        <v>1</v>
      </c>
    </row>
    <row r="309" spans="1:3" x14ac:dyDescent="0.25">
      <c r="A309" s="125" t="s">
        <v>28345</v>
      </c>
      <c r="B309" s="125" t="s">
        <v>28337</v>
      </c>
      <c r="C309" s="125">
        <v>1</v>
      </c>
    </row>
    <row r="310" spans="1:3" x14ac:dyDescent="0.25">
      <c r="A310" s="125" t="s">
        <v>25351</v>
      </c>
      <c r="B310" s="125" t="s">
        <v>28223</v>
      </c>
      <c r="C310" s="125">
        <v>1</v>
      </c>
    </row>
    <row r="311" spans="1:3" x14ac:dyDescent="0.25">
      <c r="A311" s="125" t="s">
        <v>28279</v>
      </c>
      <c r="B311" s="125" t="s">
        <v>28309</v>
      </c>
      <c r="C311" s="125">
        <v>1</v>
      </c>
    </row>
    <row r="312" spans="1:3" x14ac:dyDescent="0.25">
      <c r="A312" s="125" t="s">
        <v>25448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28346</v>
      </c>
      <c r="C313" s="125">
        <v>1</v>
      </c>
    </row>
    <row r="314" spans="1:3" x14ac:dyDescent="0.25">
      <c r="A314" s="125" t="s">
        <v>25453</v>
      </c>
      <c r="B314" s="125" t="s">
        <v>28308</v>
      </c>
      <c r="C314" s="125">
        <v>1</v>
      </c>
    </row>
    <row r="315" spans="1:3" x14ac:dyDescent="0.25">
      <c r="A315" s="125" t="s">
        <v>25494</v>
      </c>
      <c r="B315" s="125" t="s">
        <v>28347</v>
      </c>
      <c r="C315" s="125">
        <v>1</v>
      </c>
    </row>
    <row r="316" spans="1:3" x14ac:dyDescent="0.25">
      <c r="A316" s="125" t="s">
        <v>25499</v>
      </c>
      <c r="B316" s="125" t="s">
        <v>28348</v>
      </c>
      <c r="C316" s="125">
        <v>1</v>
      </c>
    </row>
    <row r="317" spans="1:3" x14ac:dyDescent="0.25">
      <c r="A317" s="125" t="s">
        <v>25500</v>
      </c>
      <c r="B317" s="125" t="s">
        <v>28258</v>
      </c>
      <c r="C317" s="125">
        <v>1</v>
      </c>
    </row>
    <row r="318" spans="1:3" x14ac:dyDescent="0.25">
      <c r="A318" s="125" t="s">
        <v>25501</v>
      </c>
      <c r="B318" s="125" t="s">
        <v>28283</v>
      </c>
      <c r="C318" s="125">
        <v>1</v>
      </c>
    </row>
    <row r="319" spans="1:3" x14ac:dyDescent="0.25">
      <c r="A319" s="125" t="s">
        <v>25533</v>
      </c>
      <c r="B319" s="125" t="s">
        <v>28312</v>
      </c>
      <c r="C319" s="125">
        <v>1</v>
      </c>
    </row>
    <row r="320" spans="1:3" x14ac:dyDescent="0.25">
      <c r="A320" s="125" t="s">
        <v>25538</v>
      </c>
      <c r="B320" s="125" t="s">
        <v>28284</v>
      </c>
      <c r="C320" s="125">
        <v>1</v>
      </c>
    </row>
    <row r="321" spans="1:3" x14ac:dyDescent="0.25">
      <c r="A321" s="125" t="s">
        <v>25369</v>
      </c>
      <c r="B321" s="125" t="s">
        <v>28349</v>
      </c>
      <c r="C321" s="125">
        <v>1</v>
      </c>
    </row>
    <row r="322" spans="1:3" x14ac:dyDescent="0.25">
      <c r="A322" s="125" t="s">
        <v>25465</v>
      </c>
      <c r="B322" s="125" t="s">
        <v>28220</v>
      </c>
      <c r="C322" s="125">
        <v>1</v>
      </c>
    </row>
    <row r="323" spans="1:3" x14ac:dyDescent="0.25">
      <c r="A323" s="125" t="s">
        <v>1</v>
      </c>
      <c r="B323" s="125" t="s">
        <v>28239</v>
      </c>
      <c r="C323" s="125">
        <v>1</v>
      </c>
    </row>
    <row r="324" spans="1:3" x14ac:dyDescent="0.25">
      <c r="A324" s="125" t="s">
        <v>25462</v>
      </c>
      <c r="B324" s="125" t="s">
        <v>28323</v>
      </c>
      <c r="C324" s="125">
        <v>1</v>
      </c>
    </row>
    <row r="325" spans="1:3" x14ac:dyDescent="0.25">
      <c r="A325" s="125" t="s">
        <v>28411</v>
      </c>
      <c r="B325" s="125" t="s">
        <v>28323</v>
      </c>
      <c r="C325" s="125">
        <v>1</v>
      </c>
    </row>
    <row r="326" spans="1:3" x14ac:dyDescent="0.25">
      <c r="A326" s="125" t="s">
        <v>35</v>
      </c>
      <c r="B326" s="125" t="s">
        <v>28219</v>
      </c>
      <c r="C326" s="125">
        <v>1</v>
      </c>
    </row>
    <row r="327" spans="1:3" x14ac:dyDescent="0.25">
      <c r="A327" s="125" t="s">
        <v>25419</v>
      </c>
      <c r="B327" s="125" t="s">
        <v>28317</v>
      </c>
      <c r="C327" s="125">
        <v>1</v>
      </c>
    </row>
    <row r="328" spans="1:3" x14ac:dyDescent="0.25">
      <c r="A328" s="125">
        <v>0</v>
      </c>
      <c r="B328" s="125" t="s">
        <v>28323</v>
      </c>
      <c r="C328" s="125">
        <v>1</v>
      </c>
    </row>
    <row r="329" spans="1:3" x14ac:dyDescent="0.25">
      <c r="A329" s="125">
        <v>0</v>
      </c>
      <c r="B329" s="125" t="s">
        <v>28219</v>
      </c>
      <c r="C329" s="125">
        <v>1</v>
      </c>
    </row>
    <row r="330" spans="1:3" x14ac:dyDescent="0.25">
      <c r="A330" s="125">
        <v>0</v>
      </c>
      <c r="B330" s="125" t="s">
        <v>28309</v>
      </c>
      <c r="C330" s="125">
        <v>1</v>
      </c>
    </row>
    <row r="331" spans="1:3" x14ac:dyDescent="0.25">
      <c r="A331" s="125">
        <v>0</v>
      </c>
      <c r="B331" s="125" t="s">
        <v>28220</v>
      </c>
      <c r="C331" s="125">
        <v>1</v>
      </c>
    </row>
    <row r="332" spans="1:3" x14ac:dyDescent="0.25">
      <c r="A332" s="125">
        <v>0</v>
      </c>
      <c r="B332" s="125" t="s">
        <v>25331</v>
      </c>
      <c r="C332" s="125">
        <v>1</v>
      </c>
    </row>
    <row r="333" spans="1:3" x14ac:dyDescent="0.25">
      <c r="A333" s="125">
        <v>0</v>
      </c>
      <c r="B333" s="125" t="s">
        <v>28281</v>
      </c>
      <c r="C333" s="125">
        <v>1</v>
      </c>
    </row>
    <row r="334" spans="1:3" x14ac:dyDescent="0.25">
      <c r="A334" s="125">
        <v>0</v>
      </c>
      <c r="B334" s="125" t="s">
        <v>28234</v>
      </c>
      <c r="C334" s="125">
        <v>1</v>
      </c>
    </row>
    <row r="335" spans="1:3" x14ac:dyDescent="0.25">
      <c r="A335" s="125">
        <v>0</v>
      </c>
      <c r="B335" s="125" t="s">
        <v>28226</v>
      </c>
      <c r="C335" s="125">
        <v>1</v>
      </c>
    </row>
    <row r="336" spans="1:3" x14ac:dyDescent="0.25">
      <c r="A336" s="125">
        <v>0</v>
      </c>
      <c r="B336" s="125" t="s">
        <v>25307</v>
      </c>
      <c r="C336" s="125">
        <v>1</v>
      </c>
    </row>
    <row r="337" spans="1:3" x14ac:dyDescent="0.25">
      <c r="A337" s="125" t="s">
        <v>25378</v>
      </c>
      <c r="B337" s="125" t="s">
        <v>28285</v>
      </c>
      <c r="C337" s="125">
        <v>1</v>
      </c>
    </row>
    <row r="338" spans="1:3" x14ac:dyDescent="0.25">
      <c r="A338" s="125" t="s">
        <v>25473</v>
      </c>
      <c r="B338" s="125" t="s">
        <v>28285</v>
      </c>
      <c r="C338" s="125">
        <v>1</v>
      </c>
    </row>
    <row r="339" spans="1:3" x14ac:dyDescent="0.25">
      <c r="A339" s="125" t="s">
        <v>25379</v>
      </c>
      <c r="B339" s="125" t="s">
        <v>28285</v>
      </c>
      <c r="C339" s="125">
        <v>1</v>
      </c>
    </row>
    <row r="340" spans="1:3" x14ac:dyDescent="0.25">
      <c r="A340" s="125" t="s">
        <v>22</v>
      </c>
      <c r="B340" s="125" t="s">
        <v>25333</v>
      </c>
      <c r="C340" s="125">
        <v>1</v>
      </c>
    </row>
    <row r="341" spans="1:3" x14ac:dyDescent="0.25">
      <c r="A341" s="125" t="s">
        <v>197</v>
      </c>
      <c r="B341" s="125" t="s">
        <v>28285</v>
      </c>
      <c r="C341" s="125">
        <v>1</v>
      </c>
    </row>
    <row r="342" spans="1:3" x14ac:dyDescent="0.25">
      <c r="A342" s="125" t="s">
        <v>28350</v>
      </c>
      <c r="B342" s="125" t="s">
        <v>28315</v>
      </c>
      <c r="C342" s="125">
        <v>1</v>
      </c>
    </row>
    <row r="343" spans="1:3" x14ac:dyDescent="0.25">
      <c r="A343" s="125" t="s">
        <v>26</v>
      </c>
      <c r="B343" s="125" t="s">
        <v>28243</v>
      </c>
      <c r="C343" s="125">
        <v>1</v>
      </c>
    </row>
    <row r="344" spans="1:3" x14ac:dyDescent="0.25">
      <c r="A344" s="125" t="s">
        <v>25422</v>
      </c>
      <c r="B344" s="125" t="s">
        <v>28285</v>
      </c>
      <c r="C344" s="125">
        <v>1</v>
      </c>
    </row>
    <row r="345" spans="1:3" x14ac:dyDescent="0.25">
      <c r="A345" s="125" t="s">
        <v>25479</v>
      </c>
      <c r="B345" s="125" t="s">
        <v>25332</v>
      </c>
      <c r="C345" s="125">
        <v>1</v>
      </c>
    </row>
    <row r="346" spans="1:3" x14ac:dyDescent="0.25">
      <c r="A346" s="125" t="s">
        <v>25532</v>
      </c>
      <c r="B346" s="125" t="s">
        <v>25333</v>
      </c>
      <c r="C346" s="125">
        <v>1</v>
      </c>
    </row>
    <row r="347" spans="1:3" x14ac:dyDescent="0.25">
      <c r="A347" s="125" t="s">
        <v>43</v>
      </c>
      <c r="B347" s="125" t="s">
        <v>28221</v>
      </c>
      <c r="C347" s="125">
        <v>1</v>
      </c>
    </row>
    <row r="348" spans="1:3" x14ac:dyDescent="0.25">
      <c r="A348" s="125" t="s">
        <v>25471</v>
      </c>
      <c r="B348" s="125" t="s">
        <v>28221</v>
      </c>
      <c r="C348" s="125">
        <v>1</v>
      </c>
    </row>
    <row r="349" spans="1:3" x14ac:dyDescent="0.25">
      <c r="A349" s="125" t="s">
        <v>25487</v>
      </c>
      <c r="B349" s="125" t="s">
        <v>28282</v>
      </c>
      <c r="C349" s="125">
        <v>1</v>
      </c>
    </row>
    <row r="350" spans="1:3" x14ac:dyDescent="0.25">
      <c r="A350" s="125" t="s">
        <v>26</v>
      </c>
      <c r="B350" s="125" t="s">
        <v>28234</v>
      </c>
      <c r="C350" s="125">
        <v>1</v>
      </c>
    </row>
    <row r="351" spans="1:3" x14ac:dyDescent="0.25">
      <c r="A351" s="125" t="s">
        <v>25489</v>
      </c>
      <c r="B351" s="125" t="s">
        <v>25307</v>
      </c>
      <c r="C351" s="125">
        <v>1</v>
      </c>
    </row>
    <row r="352" spans="1:3" x14ac:dyDescent="0.25">
      <c r="A352" s="125" t="s">
        <v>25405</v>
      </c>
      <c r="B352" s="125" t="s">
        <v>25307</v>
      </c>
      <c r="C352" s="125">
        <v>1</v>
      </c>
    </row>
    <row r="353" spans="1:3" x14ac:dyDescent="0.25">
      <c r="A353" s="125" t="s">
        <v>194</v>
      </c>
      <c r="B353" s="125" t="s">
        <v>28281</v>
      </c>
      <c r="C353" s="125">
        <v>1</v>
      </c>
    </row>
    <row r="354" spans="1:3" x14ac:dyDescent="0.25">
      <c r="A354" s="125" t="s">
        <v>35</v>
      </c>
      <c r="B354" s="125" t="s">
        <v>25333</v>
      </c>
      <c r="C354" s="125">
        <v>1</v>
      </c>
    </row>
    <row r="355" spans="1:3" x14ac:dyDescent="0.25">
      <c r="A355" s="125" t="s">
        <v>25437</v>
      </c>
      <c r="B355" s="125" t="s">
        <v>28338</v>
      </c>
      <c r="C355" s="125">
        <v>1</v>
      </c>
    </row>
    <row r="356" spans="1:3" x14ac:dyDescent="0.25">
      <c r="A356" s="125" t="s">
        <v>107</v>
      </c>
      <c r="B356" s="125" t="s">
        <v>28239</v>
      </c>
      <c r="C356" s="125">
        <v>1</v>
      </c>
    </row>
    <row r="357" spans="1:3" x14ac:dyDescent="0.25">
      <c r="A357" s="125" t="s">
        <v>28351</v>
      </c>
      <c r="B357" s="125" t="s">
        <v>28233</v>
      </c>
      <c r="C357" s="125">
        <v>1</v>
      </c>
    </row>
    <row r="358" spans="1:3" x14ac:dyDescent="0.25">
      <c r="A358" s="125" t="s">
        <v>1</v>
      </c>
      <c r="B358" s="125" t="s">
        <v>28309</v>
      </c>
      <c r="C358" s="125">
        <v>1</v>
      </c>
    </row>
    <row r="359" spans="1:3" x14ac:dyDescent="0.25">
      <c r="A359" s="125" t="s">
        <v>25359</v>
      </c>
      <c r="B359" s="125" t="s">
        <v>25307</v>
      </c>
      <c r="C359" s="125">
        <v>1</v>
      </c>
    </row>
    <row r="360" spans="1:3" x14ac:dyDescent="0.25">
      <c r="A360" s="125" t="s">
        <v>22</v>
      </c>
      <c r="B360" s="125" t="s">
        <v>28281</v>
      </c>
      <c r="C360" s="125">
        <v>1</v>
      </c>
    </row>
    <row r="361" spans="1:3" x14ac:dyDescent="0.25">
      <c r="A361" s="125" t="s">
        <v>25367</v>
      </c>
      <c r="B361" s="125" t="s">
        <v>28220</v>
      </c>
      <c r="C361" s="125">
        <v>1</v>
      </c>
    </row>
    <row r="362" spans="1:3" x14ac:dyDescent="0.25">
      <c r="A362" s="125" t="s">
        <v>25382</v>
      </c>
      <c r="B362" s="125" t="s">
        <v>28225</v>
      </c>
      <c r="C362" s="125">
        <v>1</v>
      </c>
    </row>
    <row r="363" spans="1:3" x14ac:dyDescent="0.25">
      <c r="A363" s="125" t="s">
        <v>201</v>
      </c>
      <c r="B363" s="125" t="s">
        <v>28253</v>
      </c>
      <c r="C363" s="125">
        <v>1</v>
      </c>
    </row>
    <row r="364" spans="1:3" x14ac:dyDescent="0.25">
      <c r="A364" s="125" t="s">
        <v>27</v>
      </c>
      <c r="B364" s="125" t="s">
        <v>25332</v>
      </c>
      <c r="C364" s="125">
        <v>1</v>
      </c>
    </row>
    <row r="365" spans="1:3" x14ac:dyDescent="0.25">
      <c r="A365" s="125" t="s">
        <v>123</v>
      </c>
      <c r="B365" s="125" t="s">
        <v>28277</v>
      </c>
      <c r="C365" s="125">
        <v>1</v>
      </c>
    </row>
    <row r="366" spans="1:3" x14ac:dyDescent="0.25">
      <c r="A366" s="125" t="s">
        <v>25425</v>
      </c>
      <c r="B366" s="125" t="s">
        <v>28293</v>
      </c>
      <c r="C366" s="125">
        <v>1</v>
      </c>
    </row>
    <row r="367" spans="1:3" x14ac:dyDescent="0.25">
      <c r="A367" s="125" t="s">
        <v>25436</v>
      </c>
      <c r="B367" s="125" t="s">
        <v>28230</v>
      </c>
      <c r="C367" s="125">
        <v>1</v>
      </c>
    </row>
    <row r="368" spans="1:3" x14ac:dyDescent="0.25">
      <c r="A368" s="125" t="s">
        <v>52</v>
      </c>
      <c r="B368" s="125" t="s">
        <v>28254</v>
      </c>
      <c r="C368" s="125">
        <v>1</v>
      </c>
    </row>
    <row r="369" spans="1:3" x14ac:dyDescent="0.25">
      <c r="A369" s="125" t="s">
        <v>25520</v>
      </c>
      <c r="B369" s="125" t="s">
        <v>28235</v>
      </c>
      <c r="C369" s="125">
        <v>1</v>
      </c>
    </row>
    <row r="370" spans="1:3" x14ac:dyDescent="0.25">
      <c r="A370" s="125" t="s">
        <v>201</v>
      </c>
      <c r="B370" s="125" t="s">
        <v>28282</v>
      </c>
      <c r="C370" s="125">
        <v>1</v>
      </c>
    </row>
    <row r="371" spans="1:3" x14ac:dyDescent="0.25">
      <c r="A371" s="125" t="s">
        <v>25413</v>
      </c>
      <c r="B371" s="125" t="s">
        <v>28311</v>
      </c>
      <c r="C371" s="125">
        <v>1</v>
      </c>
    </row>
    <row r="372" spans="1:3" x14ac:dyDescent="0.25">
      <c r="A372" s="125" t="s">
        <v>25423</v>
      </c>
      <c r="B372" s="125" t="s">
        <v>28346</v>
      </c>
      <c r="C372" s="125">
        <v>1</v>
      </c>
    </row>
    <row r="373" spans="1:3" x14ac:dyDescent="0.25">
      <c r="A373" s="125" t="s">
        <v>43</v>
      </c>
      <c r="B373" s="125" t="s">
        <v>28229</v>
      </c>
      <c r="C373" s="125">
        <v>1</v>
      </c>
    </row>
    <row r="374" spans="1:3" x14ac:dyDescent="0.25">
      <c r="A374" s="125" t="s">
        <v>25480</v>
      </c>
      <c r="B374" s="125" t="s">
        <v>28308</v>
      </c>
      <c r="C374" s="125">
        <v>1</v>
      </c>
    </row>
    <row r="375" spans="1:3" x14ac:dyDescent="0.25">
      <c r="A375" s="125" t="s">
        <v>25485</v>
      </c>
      <c r="B375" s="125" t="s">
        <v>28324</v>
      </c>
      <c r="C375" s="125">
        <v>1</v>
      </c>
    </row>
    <row r="376" spans="1:3" x14ac:dyDescent="0.25">
      <c r="A376" s="125" t="s">
        <v>58</v>
      </c>
      <c r="B376" s="125" t="s">
        <v>28243</v>
      </c>
      <c r="C376" s="125">
        <v>1</v>
      </c>
    </row>
    <row r="377" spans="1:3" x14ac:dyDescent="0.25">
      <c r="A377" s="125" t="s">
        <v>28412</v>
      </c>
      <c r="B377" s="125" t="s">
        <v>28243</v>
      </c>
      <c r="C377" s="125">
        <v>1</v>
      </c>
    </row>
    <row r="378" spans="1:3" x14ac:dyDescent="0.25">
      <c r="A378" s="125" t="s">
        <v>25480</v>
      </c>
      <c r="B378" s="125" t="s">
        <v>25307</v>
      </c>
      <c r="C378" s="125">
        <v>1</v>
      </c>
    </row>
    <row r="379" spans="1:3" x14ac:dyDescent="0.25">
      <c r="A379" s="125" t="s">
        <v>25413</v>
      </c>
      <c r="B379" s="125" t="s">
        <v>28352</v>
      </c>
      <c r="C379" s="125">
        <v>1</v>
      </c>
    </row>
    <row r="380" spans="1:3" x14ac:dyDescent="0.25">
      <c r="A380" s="125" t="s">
        <v>56</v>
      </c>
      <c r="B380" s="125" t="s">
        <v>28311</v>
      </c>
      <c r="C380" s="125">
        <v>1</v>
      </c>
    </row>
    <row r="381" spans="1:3" x14ac:dyDescent="0.25">
      <c r="A381" s="125" t="s">
        <v>25480</v>
      </c>
      <c r="B381" s="125" t="s">
        <v>28338</v>
      </c>
      <c r="C381" s="125">
        <v>1</v>
      </c>
    </row>
    <row r="382" spans="1:3" x14ac:dyDescent="0.25">
      <c r="A382" s="125" t="s">
        <v>25496</v>
      </c>
      <c r="B382" s="125" t="s">
        <v>28247</v>
      </c>
      <c r="C382" s="125">
        <v>1</v>
      </c>
    </row>
    <row r="383" spans="1:3" x14ac:dyDescent="0.25">
      <c r="A383" s="125" t="s">
        <v>25405</v>
      </c>
      <c r="B383" s="125" t="s">
        <v>28262</v>
      </c>
      <c r="C383" s="125">
        <v>1</v>
      </c>
    </row>
    <row r="384" spans="1:3" x14ac:dyDescent="0.25">
      <c r="A384" s="125" t="s">
        <v>25410</v>
      </c>
      <c r="B384" s="125" t="s">
        <v>28245</v>
      </c>
      <c r="C384" s="125">
        <v>1</v>
      </c>
    </row>
    <row r="385" spans="1:3" x14ac:dyDescent="0.25">
      <c r="A385" s="125" t="s">
        <v>36</v>
      </c>
      <c r="B385" s="125" t="s">
        <v>25307</v>
      </c>
      <c r="C385" s="125">
        <v>1</v>
      </c>
    </row>
    <row r="386" spans="1:3" x14ac:dyDescent="0.25">
      <c r="A386" s="125" t="s">
        <v>25408</v>
      </c>
      <c r="B386" s="125" t="s">
        <v>28285</v>
      </c>
      <c r="C386" s="125">
        <v>1</v>
      </c>
    </row>
    <row r="387" spans="1:3" x14ac:dyDescent="0.25">
      <c r="A387" s="125" t="s">
        <v>28428</v>
      </c>
      <c r="B387" s="125" t="s">
        <v>28221</v>
      </c>
      <c r="C387" s="125">
        <v>1</v>
      </c>
    </row>
    <row r="388" spans="1:3" x14ac:dyDescent="0.25">
      <c r="A388" s="125" t="s">
        <v>28426</v>
      </c>
      <c r="B388" s="125" t="s">
        <v>28284</v>
      </c>
      <c r="C388" s="125">
        <v>1</v>
      </c>
    </row>
    <row r="389" spans="1:3" x14ac:dyDescent="0.25">
      <c r="A389" s="125" t="s">
        <v>25411</v>
      </c>
      <c r="B389" s="125" t="s">
        <v>28223</v>
      </c>
      <c r="C389" s="125">
        <v>1</v>
      </c>
    </row>
    <row r="390" spans="1:3" x14ac:dyDescent="0.25">
      <c r="A390" s="125" t="s">
        <v>28</v>
      </c>
      <c r="B390" s="125" t="s">
        <v>28219</v>
      </c>
      <c r="C390" s="125">
        <v>1</v>
      </c>
    </row>
    <row r="391" spans="1:3" x14ac:dyDescent="0.25">
      <c r="A391" s="125" t="s">
        <v>25385</v>
      </c>
      <c r="B391" s="125" t="s">
        <v>28317</v>
      </c>
      <c r="C391" s="125">
        <v>1</v>
      </c>
    </row>
    <row r="392" spans="1:3" x14ac:dyDescent="0.25">
      <c r="A392" s="125" t="s">
        <v>25506</v>
      </c>
      <c r="B392" s="125" t="s">
        <v>28315</v>
      </c>
      <c r="C392" s="125">
        <v>1</v>
      </c>
    </row>
    <row r="393" spans="1:3" x14ac:dyDescent="0.25">
      <c r="A393" s="125" t="s">
        <v>25398</v>
      </c>
      <c r="B393" s="125" t="s">
        <v>28289</v>
      </c>
      <c r="C393" s="125">
        <v>1</v>
      </c>
    </row>
    <row r="394" spans="1:3" x14ac:dyDescent="0.25">
      <c r="A394" s="125" t="s">
        <v>25338</v>
      </c>
      <c r="B394" s="125" t="s">
        <v>28261</v>
      </c>
      <c r="C394" s="125">
        <v>1</v>
      </c>
    </row>
    <row r="395" spans="1:3" x14ac:dyDescent="0.25">
      <c r="A395" s="125" t="s">
        <v>96</v>
      </c>
      <c r="B395" s="125" t="s">
        <v>28218</v>
      </c>
      <c r="C395" s="125">
        <v>1</v>
      </c>
    </row>
    <row r="396" spans="1:3" x14ac:dyDescent="0.25">
      <c r="A396" s="125" t="s">
        <v>25380</v>
      </c>
      <c r="B396" s="125" t="s">
        <v>28251</v>
      </c>
      <c r="C396" s="125">
        <v>1</v>
      </c>
    </row>
    <row r="397" spans="1:3" x14ac:dyDescent="0.25">
      <c r="A397" s="125" t="s">
        <v>25436</v>
      </c>
      <c r="B397" s="125" t="s">
        <v>28338</v>
      </c>
      <c r="C397" s="125">
        <v>1</v>
      </c>
    </row>
    <row r="398" spans="1:3" x14ac:dyDescent="0.25">
      <c r="A398" s="125" t="s">
        <v>22</v>
      </c>
      <c r="B398" s="125" t="s">
        <v>28225</v>
      </c>
      <c r="C398" s="125">
        <v>1</v>
      </c>
    </row>
    <row r="399" spans="1:3" x14ac:dyDescent="0.25">
      <c r="A399" s="125" t="s">
        <v>25508</v>
      </c>
      <c r="B399" s="125" t="s">
        <v>28317</v>
      </c>
      <c r="C399" s="125">
        <v>1</v>
      </c>
    </row>
    <row r="400" spans="1:3" x14ac:dyDescent="0.25">
      <c r="A400" s="125" t="s">
        <v>25450</v>
      </c>
      <c r="B400" s="125" t="s">
        <v>28235</v>
      </c>
      <c r="C400" s="125">
        <v>1</v>
      </c>
    </row>
    <row r="401" spans="1:3" x14ac:dyDescent="0.25">
      <c r="A401" s="125" t="s">
        <v>25464</v>
      </c>
      <c r="B401" s="125" t="s">
        <v>28299</v>
      </c>
      <c r="C401" s="125">
        <v>1</v>
      </c>
    </row>
    <row r="402" spans="1:3" x14ac:dyDescent="0.25">
      <c r="A402" s="125" t="s">
        <v>25463</v>
      </c>
      <c r="B402" s="125" t="s">
        <v>28225</v>
      </c>
      <c r="C402" s="125">
        <v>1</v>
      </c>
    </row>
    <row r="403" spans="1:3" x14ac:dyDescent="0.25">
      <c r="A403" s="125" t="s">
        <v>52</v>
      </c>
      <c r="B403" s="125" t="s">
        <v>28269</v>
      </c>
      <c r="C403" s="125">
        <v>1</v>
      </c>
    </row>
    <row r="404" spans="1:3" x14ac:dyDescent="0.25">
      <c r="A404" s="125" t="s">
        <v>25381</v>
      </c>
      <c r="B404" s="125" t="s">
        <v>28353</v>
      </c>
      <c r="C404" s="125">
        <v>1</v>
      </c>
    </row>
    <row r="405" spans="1:3" x14ac:dyDescent="0.25">
      <c r="A405" s="125" t="s">
        <v>147</v>
      </c>
      <c r="B405" s="125" t="s">
        <v>28305</v>
      </c>
      <c r="C405" s="125">
        <v>1</v>
      </c>
    </row>
    <row r="406" spans="1:3" x14ac:dyDescent="0.25">
      <c r="A406" s="125" t="s">
        <v>25370</v>
      </c>
      <c r="B406" s="125" t="s">
        <v>28330</v>
      </c>
      <c r="C406" s="125">
        <v>1</v>
      </c>
    </row>
    <row r="407" spans="1:3" x14ac:dyDescent="0.25">
      <c r="A407" s="125" t="s">
        <v>52</v>
      </c>
      <c r="B407" s="125" t="s">
        <v>28323</v>
      </c>
      <c r="C407" s="125">
        <v>1</v>
      </c>
    </row>
    <row r="408" spans="1:3" x14ac:dyDescent="0.25">
      <c r="A408" s="125" t="s">
        <v>123</v>
      </c>
      <c r="B408" s="125" t="s">
        <v>28241</v>
      </c>
      <c r="C408" s="125">
        <v>1</v>
      </c>
    </row>
    <row r="409" spans="1:3" x14ac:dyDescent="0.25">
      <c r="A409" s="125" t="s">
        <v>25479</v>
      </c>
      <c r="B409" s="125" t="s">
        <v>28299</v>
      </c>
      <c r="C409" s="125">
        <v>1</v>
      </c>
    </row>
    <row r="410" spans="1:3" x14ac:dyDescent="0.25">
      <c r="A410" s="125" t="s">
        <v>25545</v>
      </c>
      <c r="B410" s="125" t="s">
        <v>28317</v>
      </c>
      <c r="C410" s="125">
        <v>1</v>
      </c>
    </row>
    <row r="411" spans="1:3" x14ac:dyDescent="0.25">
      <c r="A411" s="125" t="s">
        <v>25542</v>
      </c>
      <c r="B411" s="125" t="s">
        <v>28250</v>
      </c>
      <c r="C411" s="125">
        <v>1</v>
      </c>
    </row>
    <row r="412" spans="1:3" x14ac:dyDescent="0.25">
      <c r="A412" s="125" t="s">
        <v>25543</v>
      </c>
      <c r="B412" s="125" t="s">
        <v>28354</v>
      </c>
      <c r="C412" s="125">
        <v>1</v>
      </c>
    </row>
    <row r="413" spans="1:3" x14ac:dyDescent="0.25">
      <c r="A413" s="125" t="s">
        <v>25545</v>
      </c>
      <c r="B413" s="125" t="s">
        <v>28314</v>
      </c>
      <c r="C413" s="125">
        <v>1</v>
      </c>
    </row>
    <row r="414" spans="1:3" x14ac:dyDescent="0.25">
      <c r="A414" s="125" t="s">
        <v>25544</v>
      </c>
      <c r="B414" s="125" t="s">
        <v>28352</v>
      </c>
      <c r="C414" s="125">
        <v>1</v>
      </c>
    </row>
    <row r="415" spans="1:3" x14ac:dyDescent="0.25">
      <c r="A415" s="125" t="s">
        <v>25542</v>
      </c>
      <c r="B415" s="125" t="s">
        <v>28240</v>
      </c>
      <c r="C415" s="125">
        <v>1</v>
      </c>
    </row>
    <row r="416" spans="1:3" x14ac:dyDescent="0.25">
      <c r="A416" s="125" t="s">
        <v>25404</v>
      </c>
      <c r="B416" s="125" t="s">
        <v>25307</v>
      </c>
      <c r="C416" s="125">
        <v>1</v>
      </c>
    </row>
    <row r="417" spans="1:3" x14ac:dyDescent="0.25">
      <c r="A417" s="125" t="s">
        <v>23</v>
      </c>
      <c r="B417" s="125" t="s">
        <v>28297</v>
      </c>
      <c r="C417" s="125">
        <v>1</v>
      </c>
    </row>
    <row r="418" spans="1:3" x14ac:dyDescent="0.25">
      <c r="A418" s="125" t="s">
        <v>25537</v>
      </c>
      <c r="B418" s="125" t="s">
        <v>28263</v>
      </c>
      <c r="C418" s="125">
        <v>1</v>
      </c>
    </row>
    <row r="419" spans="1:3" x14ac:dyDescent="0.25">
      <c r="A419" s="125" t="s">
        <v>25404</v>
      </c>
      <c r="B419" s="125" t="s">
        <v>28299</v>
      </c>
      <c r="C419" s="125">
        <v>1</v>
      </c>
    </row>
    <row r="420" spans="1:3" x14ac:dyDescent="0.25">
      <c r="A420" s="125" t="s">
        <v>42</v>
      </c>
      <c r="B420" s="125" t="s">
        <v>28273</v>
      </c>
      <c r="C420" s="125">
        <v>1</v>
      </c>
    </row>
    <row r="421" spans="1:3" x14ac:dyDescent="0.25">
      <c r="A421" s="125" t="s">
        <v>22</v>
      </c>
      <c r="B421" s="125" t="s">
        <v>28293</v>
      </c>
      <c r="C421" s="125">
        <v>1</v>
      </c>
    </row>
    <row r="422" spans="1:3" x14ac:dyDescent="0.25">
      <c r="A422" s="125" t="s">
        <v>25467</v>
      </c>
      <c r="B422" s="125" t="s">
        <v>28317</v>
      </c>
      <c r="C422" s="125">
        <v>1</v>
      </c>
    </row>
    <row r="423" spans="1:3" x14ac:dyDescent="0.25">
      <c r="A423" s="125" t="s">
        <v>25417</v>
      </c>
      <c r="B423" s="125" t="s">
        <v>28285</v>
      </c>
      <c r="C423" s="125">
        <v>1</v>
      </c>
    </row>
    <row r="424" spans="1:3" x14ac:dyDescent="0.25">
      <c r="A424" s="125" t="s">
        <v>25376</v>
      </c>
      <c r="B424" s="125" t="s">
        <v>28235</v>
      </c>
      <c r="C424" s="125">
        <v>1</v>
      </c>
    </row>
    <row r="425" spans="1:3" x14ac:dyDescent="0.25">
      <c r="A425" s="125" t="s">
        <v>25493</v>
      </c>
      <c r="B425" s="125" t="s">
        <v>28219</v>
      </c>
      <c r="C425" s="125">
        <v>1</v>
      </c>
    </row>
    <row r="426" spans="1:3" x14ac:dyDescent="0.25">
      <c r="A426" s="125" t="s">
        <v>25417</v>
      </c>
      <c r="B426" s="125" t="s">
        <v>28243</v>
      </c>
      <c r="C426" s="125">
        <v>1</v>
      </c>
    </row>
    <row r="427" spans="1:3" x14ac:dyDescent="0.25">
      <c r="A427" s="125" t="s">
        <v>25423</v>
      </c>
      <c r="B427" s="125" t="s">
        <v>28219</v>
      </c>
      <c r="C427" s="125">
        <v>1</v>
      </c>
    </row>
    <row r="428" spans="1:3" x14ac:dyDescent="0.25">
      <c r="A428" s="125" t="s">
        <v>130</v>
      </c>
      <c r="B428" s="125" t="s">
        <v>28218</v>
      </c>
      <c r="C428" s="125">
        <v>1</v>
      </c>
    </row>
    <row r="429" spans="1:3" x14ac:dyDescent="0.25">
      <c r="A429" s="125" t="s">
        <v>25341</v>
      </c>
      <c r="B429" s="125" t="s">
        <v>28234</v>
      </c>
      <c r="C429" s="125">
        <v>1</v>
      </c>
    </row>
    <row r="430" spans="1:3" x14ac:dyDescent="0.25">
      <c r="A430" s="125" t="s">
        <v>25343</v>
      </c>
      <c r="B430" s="125" t="s">
        <v>28281</v>
      </c>
      <c r="C430" s="125">
        <v>1</v>
      </c>
    </row>
    <row r="431" spans="1:3" x14ac:dyDescent="0.25">
      <c r="A431" s="125" t="s">
        <v>25356</v>
      </c>
      <c r="B431" s="125" t="s">
        <v>28220</v>
      </c>
      <c r="C431" s="125">
        <v>1</v>
      </c>
    </row>
    <row r="432" spans="1:3" x14ac:dyDescent="0.25">
      <c r="A432" s="125" t="s">
        <v>25353</v>
      </c>
      <c r="B432" s="125" t="s">
        <v>28281</v>
      </c>
      <c r="C432" s="125">
        <v>1</v>
      </c>
    </row>
    <row r="433" spans="1:3" x14ac:dyDescent="0.25">
      <c r="A433" s="125" t="s">
        <v>56</v>
      </c>
      <c r="B433" s="125" t="s">
        <v>28285</v>
      </c>
      <c r="C433" s="125">
        <v>1</v>
      </c>
    </row>
    <row r="434" spans="1:3" x14ac:dyDescent="0.25">
      <c r="A434" s="125" t="s">
        <v>215</v>
      </c>
      <c r="B434" s="125" t="s">
        <v>28285</v>
      </c>
      <c r="C434" s="125">
        <v>1</v>
      </c>
    </row>
    <row r="435" spans="1:3" x14ac:dyDescent="0.25">
      <c r="A435" s="125" t="s">
        <v>28</v>
      </c>
      <c r="B435" s="125" t="s">
        <v>25333</v>
      </c>
      <c r="C435" s="125">
        <v>1</v>
      </c>
    </row>
    <row r="436" spans="1:3" x14ac:dyDescent="0.25">
      <c r="A436" s="125" t="s">
        <v>25346</v>
      </c>
      <c r="B436" s="125" t="s">
        <v>28281</v>
      </c>
      <c r="C436" s="125">
        <v>1</v>
      </c>
    </row>
    <row r="437" spans="1:3" x14ac:dyDescent="0.25">
      <c r="A437" s="125" t="s">
        <v>36</v>
      </c>
      <c r="B437" s="125" t="s">
        <v>28295</v>
      </c>
      <c r="C437" s="125">
        <v>1</v>
      </c>
    </row>
    <row r="438" spans="1:3" x14ac:dyDescent="0.25">
      <c r="A438" s="125" t="s">
        <v>23</v>
      </c>
      <c r="B438" s="125" t="s">
        <v>25333</v>
      </c>
      <c r="C438" s="125">
        <v>1</v>
      </c>
    </row>
    <row r="439" spans="1:3" x14ac:dyDescent="0.25">
      <c r="A439" s="125" t="s">
        <v>25491</v>
      </c>
      <c r="B439" s="125" t="s">
        <v>28245</v>
      </c>
      <c r="C439" s="125">
        <v>1</v>
      </c>
    </row>
    <row r="440" spans="1:3" x14ac:dyDescent="0.25">
      <c r="A440" s="125" t="s">
        <v>25543</v>
      </c>
      <c r="B440" s="125" t="s">
        <v>28227</v>
      </c>
      <c r="C440" s="125">
        <v>1</v>
      </c>
    </row>
    <row r="441" spans="1:3" x14ac:dyDescent="0.25">
      <c r="A441" s="125" t="s">
        <v>43</v>
      </c>
      <c r="B441" s="125" t="s">
        <v>28243</v>
      </c>
      <c r="C441" s="125">
        <v>1</v>
      </c>
    </row>
    <row r="442" spans="1:3" x14ac:dyDescent="0.25">
      <c r="A442" s="125" t="s">
        <v>28355</v>
      </c>
      <c r="B442" s="125" t="s">
        <v>28338</v>
      </c>
      <c r="C442" s="125">
        <v>1</v>
      </c>
    </row>
    <row r="443" spans="1:3" x14ac:dyDescent="0.25">
      <c r="A443" s="125" t="s">
        <v>27</v>
      </c>
      <c r="B443" s="125" t="s">
        <v>28270</v>
      </c>
      <c r="C443" s="125">
        <v>1</v>
      </c>
    </row>
    <row r="444" spans="1:3" x14ac:dyDescent="0.25">
      <c r="A444" s="125" t="s">
        <v>25531</v>
      </c>
      <c r="B444" s="125" t="s">
        <v>25333</v>
      </c>
      <c r="C444" s="125">
        <v>1</v>
      </c>
    </row>
    <row r="445" spans="1:3" x14ac:dyDescent="0.25">
      <c r="A445" s="125" t="s">
        <v>1</v>
      </c>
      <c r="B445" s="125" t="s">
        <v>28356</v>
      </c>
      <c r="C445" s="125">
        <v>1</v>
      </c>
    </row>
    <row r="446" spans="1:3" x14ac:dyDescent="0.25">
      <c r="A446" s="125" t="s">
        <v>25364</v>
      </c>
      <c r="B446" s="125" t="s">
        <v>28224</v>
      </c>
      <c r="C446" s="125">
        <v>1</v>
      </c>
    </row>
    <row r="447" spans="1:3" x14ac:dyDescent="0.25">
      <c r="A447" s="125" t="s">
        <v>25336</v>
      </c>
      <c r="B447" s="125" t="s">
        <v>25307</v>
      </c>
      <c r="C447" s="125">
        <v>1</v>
      </c>
    </row>
    <row r="448" spans="1:3" x14ac:dyDescent="0.25">
      <c r="A448" s="125" t="s">
        <v>28357</v>
      </c>
      <c r="B448" s="125" t="s">
        <v>28295</v>
      </c>
      <c r="C448" s="125">
        <v>1</v>
      </c>
    </row>
    <row r="449" spans="1:3" x14ac:dyDescent="0.25">
      <c r="A449" s="125" t="s">
        <v>28358</v>
      </c>
      <c r="B449" s="125" t="s">
        <v>28353</v>
      </c>
      <c r="C449" s="125">
        <v>1</v>
      </c>
    </row>
    <row r="450" spans="1:3" x14ac:dyDescent="0.25">
      <c r="A450" s="125" t="s">
        <v>36</v>
      </c>
      <c r="B450" s="125" t="s">
        <v>28359</v>
      </c>
      <c r="C450" s="125">
        <v>1</v>
      </c>
    </row>
    <row r="451" spans="1:3" x14ac:dyDescent="0.25">
      <c r="A451" s="125" t="s">
        <v>25342</v>
      </c>
      <c r="B451" s="125" t="s">
        <v>28281</v>
      </c>
      <c r="C451" s="125">
        <v>1</v>
      </c>
    </row>
    <row r="452" spans="1:3" x14ac:dyDescent="0.25">
      <c r="A452" s="125" t="s">
        <v>25502</v>
      </c>
      <c r="B452" s="125" t="s">
        <v>25307</v>
      </c>
      <c r="C452" s="125">
        <v>1</v>
      </c>
    </row>
    <row r="453" spans="1:3" x14ac:dyDescent="0.25">
      <c r="A453" s="125" t="s">
        <v>28360</v>
      </c>
      <c r="B453" s="125" t="s">
        <v>28245</v>
      </c>
      <c r="C453" s="125">
        <v>1</v>
      </c>
    </row>
    <row r="454" spans="1:3" x14ac:dyDescent="0.25">
      <c r="A454" s="125" t="s">
        <v>25417</v>
      </c>
      <c r="B454" s="125" t="s">
        <v>28251</v>
      </c>
      <c r="C454" s="125">
        <v>1</v>
      </c>
    </row>
    <row r="455" spans="1:3" x14ac:dyDescent="0.25">
      <c r="A455" s="125" t="s">
        <v>130</v>
      </c>
      <c r="B455" s="125" t="s">
        <v>28227</v>
      </c>
      <c r="C455" s="125">
        <v>1</v>
      </c>
    </row>
    <row r="456" spans="1:3" x14ac:dyDescent="0.25">
      <c r="A456" s="125" t="s">
        <v>25479</v>
      </c>
      <c r="B456" s="125" t="s">
        <v>25307</v>
      </c>
      <c r="C456" s="125">
        <v>1</v>
      </c>
    </row>
    <row r="457" spans="1:3" x14ac:dyDescent="0.25">
      <c r="A457" s="125" t="s">
        <v>25434</v>
      </c>
      <c r="B457" s="125" t="s">
        <v>28311</v>
      </c>
      <c r="C457" s="125">
        <v>1</v>
      </c>
    </row>
    <row r="458" spans="1:3" x14ac:dyDescent="0.25">
      <c r="A458" s="125" t="s">
        <v>28361</v>
      </c>
      <c r="B458" s="125" t="s">
        <v>28285</v>
      </c>
      <c r="C458" s="125">
        <v>1</v>
      </c>
    </row>
    <row r="459" spans="1:3" x14ac:dyDescent="0.25">
      <c r="A459" s="125" t="s">
        <v>22</v>
      </c>
      <c r="B459" s="125" t="s">
        <v>28311</v>
      </c>
      <c r="C459" s="125">
        <v>1</v>
      </c>
    </row>
    <row r="460" spans="1:3" x14ac:dyDescent="0.25">
      <c r="A460" s="125" t="s">
        <v>28362</v>
      </c>
      <c r="B460" s="125" t="s">
        <v>28219</v>
      </c>
      <c r="C460" s="125">
        <v>1</v>
      </c>
    </row>
    <row r="461" spans="1:3" x14ac:dyDescent="0.25">
      <c r="A461" s="125" t="s">
        <v>43</v>
      </c>
      <c r="B461" s="125" t="s">
        <v>28277</v>
      </c>
      <c r="C461" s="125">
        <v>1</v>
      </c>
    </row>
    <row r="462" spans="1:3" x14ac:dyDescent="0.25">
      <c r="A462" s="125" t="s">
        <v>215</v>
      </c>
      <c r="B462" s="125" t="s">
        <v>28317</v>
      </c>
      <c r="C462" s="125">
        <v>1</v>
      </c>
    </row>
    <row r="463" spans="1:3" x14ac:dyDescent="0.25">
      <c r="A463" s="125" t="s">
        <v>22</v>
      </c>
      <c r="B463" s="125" t="s">
        <v>28277</v>
      </c>
      <c r="C463" s="125">
        <v>1</v>
      </c>
    </row>
    <row r="464" spans="1:3" x14ac:dyDescent="0.25">
      <c r="A464" s="125" t="s">
        <v>25491</v>
      </c>
      <c r="B464" s="125" t="s">
        <v>25307</v>
      </c>
      <c r="C464" s="125">
        <v>1</v>
      </c>
    </row>
    <row r="465" spans="1:3" x14ac:dyDescent="0.25">
      <c r="A465" s="125" t="s">
        <v>28360</v>
      </c>
      <c r="B465" s="125" t="s">
        <v>25332</v>
      </c>
      <c r="C465" s="125">
        <v>1</v>
      </c>
    </row>
    <row r="466" spans="1:3" x14ac:dyDescent="0.25">
      <c r="A466" s="125" t="s">
        <v>25353</v>
      </c>
      <c r="B466" s="125" t="s">
        <v>28261</v>
      </c>
      <c r="C466" s="125">
        <v>1</v>
      </c>
    </row>
    <row r="467" spans="1:3" x14ac:dyDescent="0.25">
      <c r="A467" s="125" t="s">
        <v>28292</v>
      </c>
      <c r="B467" s="125" t="s">
        <v>28220</v>
      </c>
      <c r="C467" s="125">
        <v>1</v>
      </c>
    </row>
    <row r="468" spans="1:3" x14ac:dyDescent="0.25">
      <c r="A468" s="125" t="s">
        <v>52</v>
      </c>
      <c r="B468" s="125" t="s">
        <v>25332</v>
      </c>
      <c r="C468" s="125">
        <v>1</v>
      </c>
    </row>
    <row r="469" spans="1:3" x14ac:dyDescent="0.25">
      <c r="A469" s="125" t="s">
        <v>123</v>
      </c>
      <c r="B469" s="125" t="s">
        <v>28219</v>
      </c>
      <c r="C469" s="125">
        <v>1</v>
      </c>
    </row>
    <row r="470" spans="1:3" x14ac:dyDescent="0.25">
      <c r="A470" s="125" t="s">
        <v>25526</v>
      </c>
      <c r="B470" s="125" t="s">
        <v>25307</v>
      </c>
      <c r="C470" s="125">
        <v>1</v>
      </c>
    </row>
    <row r="471" spans="1:3" x14ac:dyDescent="0.25">
      <c r="A471" s="125" t="s">
        <v>28</v>
      </c>
      <c r="B471" s="125" t="s">
        <v>28253</v>
      </c>
      <c r="C471" s="125">
        <v>1</v>
      </c>
    </row>
    <row r="472" spans="1:3" x14ac:dyDescent="0.25">
      <c r="A472" s="125" t="s">
        <v>25415</v>
      </c>
      <c r="B472" s="125" t="s">
        <v>28285</v>
      </c>
      <c r="C472" s="125">
        <v>1</v>
      </c>
    </row>
    <row r="473" spans="1:3" x14ac:dyDescent="0.25">
      <c r="A473" s="125" t="s">
        <v>22</v>
      </c>
      <c r="B473" s="125" t="s">
        <v>25307</v>
      </c>
      <c r="C473" s="125">
        <v>1</v>
      </c>
    </row>
    <row r="474" spans="1:3" x14ac:dyDescent="0.25">
      <c r="A474" s="125" t="s">
        <v>28363</v>
      </c>
      <c r="B474" s="125" t="s">
        <v>25332</v>
      </c>
      <c r="C474" s="125">
        <v>1</v>
      </c>
    </row>
    <row r="475" spans="1:3" x14ac:dyDescent="0.25">
      <c r="A475" s="125" t="s">
        <v>28364</v>
      </c>
      <c r="B475" s="125" t="s">
        <v>28219</v>
      </c>
      <c r="C475" s="125">
        <v>1</v>
      </c>
    </row>
    <row r="476" spans="1:3" x14ac:dyDescent="0.25">
      <c r="A476" s="125" t="s">
        <v>42</v>
      </c>
      <c r="B476" s="125" t="s">
        <v>28229</v>
      </c>
      <c r="C476" s="125">
        <v>1</v>
      </c>
    </row>
    <row r="477" spans="1:3" x14ac:dyDescent="0.25">
      <c r="A477" s="125" t="s">
        <v>25493</v>
      </c>
      <c r="B477" s="125" t="s">
        <v>28253</v>
      </c>
      <c r="C477" s="125">
        <v>1</v>
      </c>
    </row>
    <row r="478" spans="1:3" x14ac:dyDescent="0.25">
      <c r="A478" s="125" t="s">
        <v>28365</v>
      </c>
      <c r="B478" s="125" t="s">
        <v>28219</v>
      </c>
      <c r="C478" s="125">
        <v>1</v>
      </c>
    </row>
    <row r="479" spans="1:3" x14ac:dyDescent="0.25">
      <c r="A479" s="125" t="s">
        <v>25471</v>
      </c>
      <c r="B479" s="125" t="s">
        <v>28227</v>
      </c>
      <c r="C479" s="125">
        <v>1</v>
      </c>
    </row>
    <row r="480" spans="1:3" x14ac:dyDescent="0.25">
      <c r="A480" s="125" t="s">
        <v>25479</v>
      </c>
      <c r="B480" s="125" t="s">
        <v>25333</v>
      </c>
      <c r="C480" s="125">
        <v>1</v>
      </c>
    </row>
    <row r="481" spans="1:3" x14ac:dyDescent="0.25">
      <c r="A481" s="125" t="s">
        <v>100</v>
      </c>
      <c r="B481" s="125" t="s">
        <v>28221</v>
      </c>
      <c r="C481" s="125">
        <v>1</v>
      </c>
    </row>
    <row r="482" spans="1:3" x14ac:dyDescent="0.25">
      <c r="A482" s="125" t="s">
        <v>25451</v>
      </c>
      <c r="B482" s="125" t="s">
        <v>25307</v>
      </c>
      <c r="C482" s="125">
        <v>1</v>
      </c>
    </row>
    <row r="483" spans="1:3" x14ac:dyDescent="0.25">
      <c r="A483" s="125" t="s">
        <v>23</v>
      </c>
      <c r="B483" s="125" t="s">
        <v>28225</v>
      </c>
      <c r="C483" s="125">
        <v>1</v>
      </c>
    </row>
    <row r="484" spans="1:3" x14ac:dyDescent="0.25">
      <c r="A484" s="125" t="s">
        <v>25339</v>
      </c>
      <c r="B484" s="125" t="s">
        <v>28224</v>
      </c>
      <c r="C484" s="125">
        <v>1</v>
      </c>
    </row>
    <row r="485" spans="1:3" x14ac:dyDescent="0.25">
      <c r="A485" s="125" t="s">
        <v>25351</v>
      </c>
      <c r="B485" s="125" t="s">
        <v>28281</v>
      </c>
      <c r="C485" s="125">
        <v>1</v>
      </c>
    </row>
    <row r="486" spans="1:3" x14ac:dyDescent="0.25">
      <c r="A486" s="125" t="s">
        <v>52</v>
      </c>
      <c r="B486" s="125" t="s">
        <v>28309</v>
      </c>
      <c r="C486" s="125">
        <v>1</v>
      </c>
    </row>
    <row r="487" spans="1:3" x14ac:dyDescent="0.25">
      <c r="A487" s="125" t="s">
        <v>25339</v>
      </c>
      <c r="B487" s="125" t="s">
        <v>25307</v>
      </c>
      <c r="C487" s="125">
        <v>1</v>
      </c>
    </row>
    <row r="488" spans="1:3" x14ac:dyDescent="0.25">
      <c r="A488" s="125" t="s">
        <v>25407</v>
      </c>
      <c r="B488" s="125" t="s">
        <v>28254</v>
      </c>
      <c r="C488" s="125">
        <v>1</v>
      </c>
    </row>
    <row r="489" spans="1:3" x14ac:dyDescent="0.25">
      <c r="A489" s="125" t="s">
        <v>25384</v>
      </c>
      <c r="B489" s="125" t="s">
        <v>28225</v>
      </c>
      <c r="C489" s="125">
        <v>1</v>
      </c>
    </row>
    <row r="490" spans="1:3" x14ac:dyDescent="0.25">
      <c r="A490" s="125" t="s">
        <v>25457</v>
      </c>
      <c r="B490" s="125" t="s">
        <v>28283</v>
      </c>
      <c r="C490" s="125">
        <v>1</v>
      </c>
    </row>
    <row r="491" spans="1:3" x14ac:dyDescent="0.25">
      <c r="A491" s="125" t="s">
        <v>25366</v>
      </c>
      <c r="B491" s="125" t="s">
        <v>28240</v>
      </c>
      <c r="C491" s="125">
        <v>1</v>
      </c>
    </row>
    <row r="492" spans="1:3" x14ac:dyDescent="0.25">
      <c r="A492" s="125" t="s">
        <v>25366</v>
      </c>
      <c r="B492" s="125" t="s">
        <v>28218</v>
      </c>
      <c r="C492" s="125">
        <v>1</v>
      </c>
    </row>
    <row r="493" spans="1:3" x14ac:dyDescent="0.25">
      <c r="A493" s="125" t="s">
        <v>28268</v>
      </c>
      <c r="B493" s="125" t="s">
        <v>28359</v>
      </c>
      <c r="C493" s="125">
        <v>1</v>
      </c>
    </row>
    <row r="494" spans="1:3" x14ac:dyDescent="0.25">
      <c r="A494" s="125" t="s">
        <v>28366</v>
      </c>
      <c r="B494" s="125" t="s">
        <v>28254</v>
      </c>
      <c r="C494" s="125">
        <v>1</v>
      </c>
    </row>
    <row r="495" spans="1:3" x14ac:dyDescent="0.25">
      <c r="A495" s="125" t="s">
        <v>25451</v>
      </c>
      <c r="B495" s="125" t="s">
        <v>28219</v>
      </c>
      <c r="C495" s="125">
        <v>1</v>
      </c>
    </row>
    <row r="496" spans="1:3" x14ac:dyDescent="0.25">
      <c r="A496" s="125" t="s">
        <v>200</v>
      </c>
      <c r="B496" s="125" t="s">
        <v>25333</v>
      </c>
      <c r="C496" s="125">
        <v>1</v>
      </c>
    </row>
    <row r="497" spans="1:3" x14ac:dyDescent="0.25">
      <c r="A497" s="125" t="s">
        <v>28367</v>
      </c>
      <c r="B497" s="125" t="s">
        <v>28245</v>
      </c>
      <c r="C497" s="125">
        <v>1</v>
      </c>
    </row>
    <row r="498" spans="1:3" x14ac:dyDescent="0.25">
      <c r="A498" s="125" t="s">
        <v>201</v>
      </c>
      <c r="B498" s="125" t="s">
        <v>28224</v>
      </c>
      <c r="C498" s="125">
        <v>1</v>
      </c>
    </row>
    <row r="499" spans="1:3" x14ac:dyDescent="0.25">
      <c r="A499" s="125" t="s">
        <v>208</v>
      </c>
      <c r="B499" s="125" t="s">
        <v>28240</v>
      </c>
      <c r="C499" s="125">
        <v>1</v>
      </c>
    </row>
    <row r="500" spans="1:3" x14ac:dyDescent="0.25">
      <c r="A500" s="125" t="s">
        <v>25543</v>
      </c>
      <c r="B500" s="125" t="s">
        <v>28240</v>
      </c>
      <c r="C500" s="125">
        <v>1</v>
      </c>
    </row>
    <row r="501" spans="1:3" x14ac:dyDescent="0.25">
      <c r="A501" s="125" t="s">
        <v>23</v>
      </c>
      <c r="B501" s="125" t="s">
        <v>28354</v>
      </c>
      <c r="C501" s="125">
        <v>1</v>
      </c>
    </row>
    <row r="502" spans="1:3" x14ac:dyDescent="0.25">
      <c r="A502" s="125" t="s">
        <v>25455</v>
      </c>
      <c r="B502" s="125" t="s">
        <v>28223</v>
      </c>
      <c r="C502" s="125">
        <v>1</v>
      </c>
    </row>
    <row r="503" spans="1:3" x14ac:dyDescent="0.25">
      <c r="A503" s="125" t="s">
        <v>43</v>
      </c>
      <c r="B503" s="125" t="s">
        <v>28281</v>
      </c>
      <c r="C503" s="125">
        <v>1</v>
      </c>
    </row>
    <row r="504" spans="1:3" x14ac:dyDescent="0.25">
      <c r="A504" s="125" t="s">
        <v>25349</v>
      </c>
      <c r="B504" s="125" t="s">
        <v>28281</v>
      </c>
      <c r="C504" s="125">
        <v>1</v>
      </c>
    </row>
    <row r="505" spans="1:3" x14ac:dyDescent="0.25">
      <c r="A505" s="125" t="s">
        <v>25487</v>
      </c>
      <c r="B505" s="125" t="s">
        <v>28219</v>
      </c>
      <c r="C505" s="125">
        <v>1</v>
      </c>
    </row>
    <row r="506" spans="1:3" x14ac:dyDescent="0.25">
      <c r="A506" s="125" t="s">
        <v>130</v>
      </c>
      <c r="B506" s="125" t="s">
        <v>28240</v>
      </c>
      <c r="C506" s="125">
        <v>1</v>
      </c>
    </row>
    <row r="507" spans="1:3" x14ac:dyDescent="0.25">
      <c r="A507" s="125" t="s">
        <v>25401</v>
      </c>
      <c r="B507" s="125" t="s">
        <v>25307</v>
      </c>
      <c r="C507" s="125">
        <v>1</v>
      </c>
    </row>
    <row r="508" spans="1:3" x14ac:dyDescent="0.25">
      <c r="A508" s="125" t="s">
        <v>25487</v>
      </c>
      <c r="B508" s="125" t="s">
        <v>28231</v>
      </c>
      <c r="C508" s="125">
        <v>1</v>
      </c>
    </row>
    <row r="509" spans="1:3" x14ac:dyDescent="0.25">
      <c r="A509" s="125" t="s">
        <v>25394</v>
      </c>
      <c r="B509" s="125" t="s">
        <v>28254</v>
      </c>
      <c r="C509" s="125">
        <v>1</v>
      </c>
    </row>
    <row r="510" spans="1:3" x14ac:dyDescent="0.25">
      <c r="A510" s="125" t="s">
        <v>25390</v>
      </c>
      <c r="B510" s="125" t="s">
        <v>28225</v>
      </c>
      <c r="C510" s="125">
        <v>1</v>
      </c>
    </row>
    <row r="511" spans="1:3" x14ac:dyDescent="0.25">
      <c r="A511" s="125" t="s">
        <v>25456</v>
      </c>
      <c r="B511" s="125" t="s">
        <v>28223</v>
      </c>
      <c r="C511" s="125">
        <v>1</v>
      </c>
    </row>
    <row r="512" spans="1:3" x14ac:dyDescent="0.25">
      <c r="A512" s="125" t="s">
        <v>25479</v>
      </c>
      <c r="B512" s="125" t="s">
        <v>28226</v>
      </c>
      <c r="C512" s="125">
        <v>1</v>
      </c>
    </row>
    <row r="513" spans="1:3" x14ac:dyDescent="0.25">
      <c r="A513" s="125" t="s">
        <v>25405</v>
      </c>
      <c r="B513" s="125" t="s">
        <v>28243</v>
      </c>
      <c r="C513" s="125">
        <v>1</v>
      </c>
    </row>
    <row r="514" spans="1:3" x14ac:dyDescent="0.25">
      <c r="A514" s="125" t="s">
        <v>25540</v>
      </c>
      <c r="B514" s="125" t="s">
        <v>28220</v>
      </c>
      <c r="C514" s="125">
        <v>1</v>
      </c>
    </row>
    <row r="515" spans="1:3" x14ac:dyDescent="0.25">
      <c r="A515" s="125" t="s">
        <v>123</v>
      </c>
      <c r="B515" s="125" t="s">
        <v>28254</v>
      </c>
      <c r="C515" s="125">
        <v>1</v>
      </c>
    </row>
    <row r="516" spans="1:3" x14ac:dyDescent="0.25">
      <c r="A516" s="125" t="s">
        <v>58</v>
      </c>
      <c r="B516" s="125" t="s">
        <v>28226</v>
      </c>
      <c r="C516" s="125">
        <v>1</v>
      </c>
    </row>
    <row r="517" spans="1:3" x14ac:dyDescent="0.25">
      <c r="A517" s="125" t="s">
        <v>29</v>
      </c>
      <c r="B517" s="125" t="s">
        <v>28254</v>
      </c>
      <c r="C517" s="125">
        <v>1</v>
      </c>
    </row>
    <row r="518" spans="1:3" x14ac:dyDescent="0.25">
      <c r="A518" s="125" t="s">
        <v>25391</v>
      </c>
      <c r="B518" s="125" t="s">
        <v>28225</v>
      </c>
      <c r="C518" s="125">
        <v>1</v>
      </c>
    </row>
    <row r="519" spans="1:3" x14ac:dyDescent="0.25">
      <c r="A519" s="125" t="s">
        <v>1</v>
      </c>
      <c r="B519" s="125" t="s">
        <v>28296</v>
      </c>
      <c r="C519" s="125">
        <v>1</v>
      </c>
    </row>
    <row r="520" spans="1:3" x14ac:dyDescent="0.25">
      <c r="A520" s="125" t="s">
        <v>25383</v>
      </c>
      <c r="B520" s="125" t="s">
        <v>28225</v>
      </c>
      <c r="C520" s="125">
        <v>1</v>
      </c>
    </row>
    <row r="521" spans="1:3" x14ac:dyDescent="0.25">
      <c r="A521" s="125" t="s">
        <v>25528</v>
      </c>
      <c r="B521" s="125" t="s">
        <v>28285</v>
      </c>
      <c r="C521" s="125">
        <v>1</v>
      </c>
    </row>
    <row r="522" spans="1:3" x14ac:dyDescent="0.25">
      <c r="A522" s="125" t="s">
        <v>25380</v>
      </c>
      <c r="B522" s="125" t="s">
        <v>28277</v>
      </c>
      <c r="C522" s="125">
        <v>1</v>
      </c>
    </row>
    <row r="523" spans="1:3" x14ac:dyDescent="0.25">
      <c r="A523" s="125" t="s">
        <v>1</v>
      </c>
      <c r="B523" s="125" t="s">
        <v>28285</v>
      </c>
      <c r="C523" s="125">
        <v>1</v>
      </c>
    </row>
    <row r="524" spans="1:3" x14ac:dyDescent="0.25">
      <c r="A524" s="125" t="s">
        <v>197</v>
      </c>
      <c r="B524" s="125" t="s">
        <v>28220</v>
      </c>
      <c r="C524" s="125">
        <v>1</v>
      </c>
    </row>
    <row r="525" spans="1:3" x14ac:dyDescent="0.25">
      <c r="A525" s="125" t="s">
        <v>25480</v>
      </c>
      <c r="B525" s="125" t="s">
        <v>28353</v>
      </c>
      <c r="C525" s="125">
        <v>1</v>
      </c>
    </row>
    <row r="526" spans="1:3" x14ac:dyDescent="0.25">
      <c r="A526" s="125" t="s">
        <v>25488</v>
      </c>
      <c r="B526" s="125" t="s">
        <v>28225</v>
      </c>
      <c r="C526" s="125">
        <v>1</v>
      </c>
    </row>
    <row r="527" spans="1:3" x14ac:dyDescent="0.25">
      <c r="A527" s="125" t="s">
        <v>25496</v>
      </c>
      <c r="B527" s="125" t="s">
        <v>28299</v>
      </c>
      <c r="C527" s="125">
        <v>1</v>
      </c>
    </row>
    <row r="528" spans="1:3" x14ac:dyDescent="0.25">
      <c r="A528" s="125" t="s">
        <v>28368</v>
      </c>
      <c r="B528" s="125" t="s">
        <v>28296</v>
      </c>
      <c r="C528" s="125">
        <v>1</v>
      </c>
    </row>
    <row r="529" spans="1:3" x14ac:dyDescent="0.25">
      <c r="A529" s="125" t="s">
        <v>127</v>
      </c>
      <c r="B529" s="125" t="s">
        <v>28254</v>
      </c>
      <c r="C529" s="125">
        <v>1</v>
      </c>
    </row>
    <row r="530" spans="1:3" x14ac:dyDescent="0.25">
      <c r="A530" s="125" t="s">
        <v>55</v>
      </c>
      <c r="B530" s="125" t="s">
        <v>28245</v>
      </c>
      <c r="C530" s="125">
        <v>1</v>
      </c>
    </row>
    <row r="531" spans="1:3" x14ac:dyDescent="0.25">
      <c r="A531" s="125" t="s">
        <v>22</v>
      </c>
      <c r="B531" s="125" t="s">
        <v>28224</v>
      </c>
      <c r="C531" s="125">
        <v>1</v>
      </c>
    </row>
    <row r="532" spans="1:3" x14ac:dyDescent="0.25">
      <c r="A532" s="125" t="s">
        <v>35</v>
      </c>
      <c r="B532" s="125" t="s">
        <v>28220</v>
      </c>
      <c r="C532" s="125">
        <v>1</v>
      </c>
    </row>
    <row r="533" spans="1:3" x14ac:dyDescent="0.25">
      <c r="A533" s="125" t="s">
        <v>25507</v>
      </c>
      <c r="B533" s="125" t="s">
        <v>28311</v>
      </c>
      <c r="C533" s="125">
        <v>1</v>
      </c>
    </row>
    <row r="534" spans="1:3" x14ac:dyDescent="0.25">
      <c r="A534" s="125" t="s">
        <v>25412</v>
      </c>
      <c r="B534" s="125" t="s">
        <v>28218</v>
      </c>
      <c r="C534" s="125">
        <v>1</v>
      </c>
    </row>
    <row r="535" spans="1:3" x14ac:dyDescent="0.25">
      <c r="A535" s="125" t="s">
        <v>28291</v>
      </c>
      <c r="B535" s="125" t="s">
        <v>28369</v>
      </c>
      <c r="C535" s="125">
        <v>1</v>
      </c>
    </row>
    <row r="536" spans="1:3" x14ac:dyDescent="0.25">
      <c r="A536" s="125" t="s">
        <v>28287</v>
      </c>
      <c r="B536" s="125" t="s">
        <v>28232</v>
      </c>
      <c r="C536" s="125">
        <v>1</v>
      </c>
    </row>
    <row r="537" spans="1:3" x14ac:dyDescent="0.25">
      <c r="A537" s="125" t="s">
        <v>25535</v>
      </c>
      <c r="B537" s="125" t="s">
        <v>25333</v>
      </c>
      <c r="C537" s="125">
        <v>1</v>
      </c>
    </row>
    <row r="538" spans="1:3" x14ac:dyDescent="0.25">
      <c r="A538" s="125" t="s">
        <v>25401</v>
      </c>
      <c r="B538" s="125" t="s">
        <v>28243</v>
      </c>
      <c r="C538" s="125">
        <v>1</v>
      </c>
    </row>
    <row r="539" spans="1:3" x14ac:dyDescent="0.25">
      <c r="A539" s="125" t="s">
        <v>25515</v>
      </c>
      <c r="B539" s="125" t="s">
        <v>28295</v>
      </c>
      <c r="C539" s="125">
        <v>1</v>
      </c>
    </row>
    <row r="540" spans="1:3" x14ac:dyDescent="0.25">
      <c r="A540" s="125" t="s">
        <v>25476</v>
      </c>
      <c r="B540" s="125" t="s">
        <v>28330</v>
      </c>
      <c r="C540" s="125">
        <v>1</v>
      </c>
    </row>
    <row r="541" spans="1:3" x14ac:dyDescent="0.25">
      <c r="A541" s="125" t="s">
        <v>25516</v>
      </c>
      <c r="B541" s="125" t="s">
        <v>28227</v>
      </c>
      <c r="C541" s="125">
        <v>1</v>
      </c>
    </row>
    <row r="542" spans="1:3" x14ac:dyDescent="0.25">
      <c r="A542" s="125" t="s">
        <v>25393</v>
      </c>
      <c r="B542" s="125" t="s">
        <v>28227</v>
      </c>
      <c r="C542" s="125">
        <v>1</v>
      </c>
    </row>
    <row r="543" spans="1:3" x14ac:dyDescent="0.25">
      <c r="A543" s="125" t="s">
        <v>25460</v>
      </c>
      <c r="B543" s="125" t="s">
        <v>25331</v>
      </c>
      <c r="C543" s="125">
        <v>1</v>
      </c>
    </row>
    <row r="544" spans="1:3" x14ac:dyDescent="0.25">
      <c r="A544" s="125" t="s">
        <v>29</v>
      </c>
      <c r="B544" s="125" t="s">
        <v>28245</v>
      </c>
      <c r="C544" s="125">
        <v>1</v>
      </c>
    </row>
    <row r="545" spans="1:3" x14ac:dyDescent="0.25">
      <c r="A545" s="125" t="s">
        <v>25482</v>
      </c>
      <c r="B545" s="125" t="s">
        <v>28264</v>
      </c>
      <c r="C545" s="125">
        <v>1</v>
      </c>
    </row>
    <row r="546" spans="1:3" x14ac:dyDescent="0.25">
      <c r="A546" s="125" t="s">
        <v>25503</v>
      </c>
      <c r="B546" s="125" t="s">
        <v>28218</v>
      </c>
      <c r="C546" s="125">
        <v>1</v>
      </c>
    </row>
    <row r="547" spans="1:3" x14ac:dyDescent="0.25">
      <c r="A547" s="125" t="s">
        <v>27</v>
      </c>
      <c r="B547" s="125" t="s">
        <v>28226</v>
      </c>
      <c r="C547" s="125">
        <v>1</v>
      </c>
    </row>
    <row r="548" spans="1:3" x14ac:dyDescent="0.25">
      <c r="A548" s="125" t="s">
        <v>52</v>
      </c>
      <c r="B548" s="125" t="s">
        <v>28221</v>
      </c>
      <c r="C548" s="125">
        <v>1</v>
      </c>
    </row>
    <row r="549" spans="1:3" x14ac:dyDescent="0.25">
      <c r="A549" s="125" t="s">
        <v>26</v>
      </c>
      <c r="B549" s="125" t="s">
        <v>25333</v>
      </c>
      <c r="C549" s="125">
        <v>1</v>
      </c>
    </row>
    <row r="550" spans="1:3" x14ac:dyDescent="0.25">
      <c r="A550" s="125" t="s">
        <v>25396</v>
      </c>
      <c r="B550" s="125" t="s">
        <v>28370</v>
      </c>
      <c r="C550" s="125">
        <v>1</v>
      </c>
    </row>
    <row r="551" spans="1:3" x14ac:dyDescent="0.25">
      <c r="A551" s="125" t="s">
        <v>52</v>
      </c>
      <c r="B551" s="125" t="s">
        <v>28303</v>
      </c>
      <c r="C551" s="125">
        <v>1</v>
      </c>
    </row>
    <row r="552" spans="1:3" x14ac:dyDescent="0.25">
      <c r="A552" s="125" t="s">
        <v>25505</v>
      </c>
      <c r="B552" s="125" t="s">
        <v>28299</v>
      </c>
      <c r="C552" s="125">
        <v>1</v>
      </c>
    </row>
    <row r="553" spans="1:3" x14ac:dyDescent="0.25">
      <c r="A553" s="125" t="s">
        <v>25337</v>
      </c>
      <c r="B553" s="125" t="s">
        <v>28240</v>
      </c>
      <c r="C553" s="125">
        <v>1</v>
      </c>
    </row>
    <row r="554" spans="1:3" x14ac:dyDescent="0.25">
      <c r="A554" s="125" t="s">
        <v>25418</v>
      </c>
      <c r="B554" s="125" t="s">
        <v>28303</v>
      </c>
      <c r="C554" s="125">
        <v>1</v>
      </c>
    </row>
    <row r="555" spans="1:3" x14ac:dyDescent="0.25">
      <c r="A555" s="125" t="s">
        <v>25525</v>
      </c>
      <c r="B555" s="125" t="s">
        <v>28321</v>
      </c>
      <c r="C555" s="125">
        <v>1</v>
      </c>
    </row>
    <row r="556" spans="1:3" x14ac:dyDescent="0.25">
      <c r="A556" s="125" t="s">
        <v>25440</v>
      </c>
      <c r="B556" s="125" t="s">
        <v>28311</v>
      </c>
      <c r="C556" s="125">
        <v>1</v>
      </c>
    </row>
    <row r="557" spans="1:3" x14ac:dyDescent="0.25">
      <c r="A557" s="125" t="s">
        <v>25467</v>
      </c>
      <c r="B557" s="125" t="s">
        <v>28356</v>
      </c>
      <c r="C557" s="125">
        <v>1</v>
      </c>
    </row>
    <row r="558" spans="1:3" x14ac:dyDescent="0.25">
      <c r="A558" s="125" t="s">
        <v>25529</v>
      </c>
      <c r="B558" s="125" t="s">
        <v>28267</v>
      </c>
      <c r="C558" s="125">
        <v>1</v>
      </c>
    </row>
    <row r="559" spans="1:3" x14ac:dyDescent="0.25">
      <c r="A559" s="125" t="s">
        <v>25392</v>
      </c>
      <c r="B559" s="125" t="s">
        <v>28243</v>
      </c>
      <c r="C559" s="125">
        <v>1</v>
      </c>
    </row>
    <row r="560" spans="1:3" x14ac:dyDescent="0.25">
      <c r="A560" s="125" t="s">
        <v>123</v>
      </c>
      <c r="B560" s="125" t="s">
        <v>28284</v>
      </c>
      <c r="C560" s="125">
        <v>1</v>
      </c>
    </row>
    <row r="561" spans="1:3" x14ac:dyDescent="0.25">
      <c r="A561" s="125" t="s">
        <v>25365</v>
      </c>
      <c r="B561" s="125" t="s">
        <v>28236</v>
      </c>
      <c r="C561" s="125">
        <v>1</v>
      </c>
    </row>
    <row r="562" spans="1:3" x14ac:dyDescent="0.25">
      <c r="A562" s="125" t="s">
        <v>25421</v>
      </c>
      <c r="B562" s="125" t="s">
        <v>28314</v>
      </c>
      <c r="C562" s="125">
        <v>1</v>
      </c>
    </row>
    <row r="563" spans="1:3" x14ac:dyDescent="0.25">
      <c r="A563" s="125" t="s">
        <v>25375</v>
      </c>
      <c r="B563" s="125" t="s">
        <v>28229</v>
      </c>
      <c r="C563" s="125">
        <v>1</v>
      </c>
    </row>
    <row r="564" spans="1:3" x14ac:dyDescent="0.25">
      <c r="A564" s="125" t="s">
        <v>25473</v>
      </c>
      <c r="B564" s="125" t="s">
        <v>25332</v>
      </c>
      <c r="C564" s="125">
        <v>1</v>
      </c>
    </row>
    <row r="565" spans="1:3" x14ac:dyDescent="0.25">
      <c r="A565" s="125" t="s">
        <v>25365</v>
      </c>
      <c r="B565" s="125" t="s">
        <v>28224</v>
      </c>
      <c r="C565" s="125">
        <v>1</v>
      </c>
    </row>
    <row r="566" spans="1:3" x14ac:dyDescent="0.25">
      <c r="A566" s="125" t="s">
        <v>25376</v>
      </c>
      <c r="B566" s="125" t="s">
        <v>28296</v>
      </c>
      <c r="C566" s="125">
        <v>1</v>
      </c>
    </row>
    <row r="567" spans="1:3" x14ac:dyDescent="0.25">
      <c r="A567" s="125" t="s">
        <v>25459</v>
      </c>
      <c r="B567" s="125" t="s">
        <v>28254</v>
      </c>
      <c r="C567" s="125">
        <v>1</v>
      </c>
    </row>
    <row r="568" spans="1:3" x14ac:dyDescent="0.25">
      <c r="A568" s="125" t="s">
        <v>25472</v>
      </c>
      <c r="B568" s="125" t="s">
        <v>28234</v>
      </c>
      <c r="C568" s="125">
        <v>1</v>
      </c>
    </row>
    <row r="569" spans="1:3" x14ac:dyDescent="0.25">
      <c r="A569" s="125" t="s">
        <v>25524</v>
      </c>
      <c r="B569" s="125" t="s">
        <v>28220</v>
      </c>
      <c r="C569" s="125">
        <v>1</v>
      </c>
    </row>
    <row r="570" spans="1:3" x14ac:dyDescent="0.25">
      <c r="A570" s="125" t="s">
        <v>25470</v>
      </c>
      <c r="B570" s="125" t="s">
        <v>28371</v>
      </c>
      <c r="C570" s="125">
        <v>1</v>
      </c>
    </row>
    <row r="571" spans="1:3" x14ac:dyDescent="0.25">
      <c r="A571" s="125" t="s">
        <v>25479</v>
      </c>
      <c r="B571" s="125" t="s">
        <v>28285</v>
      </c>
      <c r="C571" s="125">
        <v>1</v>
      </c>
    </row>
    <row r="572" spans="1:3" x14ac:dyDescent="0.25">
      <c r="A572" s="125" t="s">
        <v>25491</v>
      </c>
      <c r="B572" s="125" t="s">
        <v>28219</v>
      </c>
      <c r="C572" s="125">
        <v>1</v>
      </c>
    </row>
    <row r="573" spans="1:3" x14ac:dyDescent="0.25">
      <c r="A573" s="125" t="s">
        <v>25475</v>
      </c>
      <c r="B573" s="125" t="s">
        <v>25332</v>
      </c>
      <c r="C573" s="125">
        <v>1</v>
      </c>
    </row>
    <row r="574" spans="1:3" x14ac:dyDescent="0.25">
      <c r="A574" s="125" t="s">
        <v>25456</v>
      </c>
      <c r="B574" s="125" t="s">
        <v>25307</v>
      </c>
      <c r="C574" s="125">
        <v>1</v>
      </c>
    </row>
    <row r="575" spans="1:3" x14ac:dyDescent="0.25">
      <c r="A575" s="125" t="s">
        <v>25437</v>
      </c>
      <c r="B575" s="125" t="s">
        <v>28218</v>
      </c>
      <c r="C575" s="125">
        <v>1</v>
      </c>
    </row>
    <row r="576" spans="1:3" x14ac:dyDescent="0.25">
      <c r="A576" s="125" t="s">
        <v>25452</v>
      </c>
      <c r="B576" s="125" t="s">
        <v>28223</v>
      </c>
      <c r="C576" s="125">
        <v>1</v>
      </c>
    </row>
    <row r="577" spans="1:3" x14ac:dyDescent="0.25">
      <c r="A577" s="125" t="s">
        <v>25404</v>
      </c>
      <c r="B577" s="125" t="s">
        <v>28243</v>
      </c>
      <c r="C577" s="125">
        <v>1</v>
      </c>
    </row>
    <row r="578" spans="1:3" x14ac:dyDescent="0.25">
      <c r="A578" s="125" t="s">
        <v>25367</v>
      </c>
      <c r="B578" s="125" t="s">
        <v>28372</v>
      </c>
      <c r="C578" s="125">
        <v>1</v>
      </c>
    </row>
    <row r="579" spans="1:3" x14ac:dyDescent="0.25">
      <c r="A579" s="125" t="s">
        <v>25466</v>
      </c>
      <c r="B579" s="125" t="s">
        <v>28274</v>
      </c>
      <c r="C579" s="125">
        <v>1</v>
      </c>
    </row>
    <row r="580" spans="1:3" x14ac:dyDescent="0.25">
      <c r="A580" s="125" t="s">
        <v>25492</v>
      </c>
      <c r="B580" s="125" t="s">
        <v>28237</v>
      </c>
      <c r="C580" s="125">
        <v>1</v>
      </c>
    </row>
    <row r="581" spans="1:3" x14ac:dyDescent="0.25">
      <c r="A581" s="125" t="s">
        <v>25521</v>
      </c>
      <c r="B581" s="125" t="s">
        <v>28342</v>
      </c>
      <c r="C581" s="125">
        <v>1</v>
      </c>
    </row>
    <row r="582" spans="1:3" x14ac:dyDescent="0.25">
      <c r="A582" s="125" t="s">
        <v>25470</v>
      </c>
      <c r="B582" s="125" t="s">
        <v>28245</v>
      </c>
      <c r="C582" s="125">
        <v>1</v>
      </c>
    </row>
    <row r="583" spans="1:3" x14ac:dyDescent="0.25">
      <c r="A583" s="125" t="s">
        <v>41</v>
      </c>
      <c r="B583" s="125" t="s">
        <v>28258</v>
      </c>
      <c r="C583" s="125">
        <v>1</v>
      </c>
    </row>
    <row r="584" spans="1:3" x14ac:dyDescent="0.25">
      <c r="A584" s="125" t="s">
        <v>25443</v>
      </c>
      <c r="B584" s="125" t="s">
        <v>28264</v>
      </c>
      <c r="C584" s="125">
        <v>1</v>
      </c>
    </row>
    <row r="585" spans="1:3" x14ac:dyDescent="0.25">
      <c r="A585" s="125" t="s">
        <v>25357</v>
      </c>
      <c r="B585" s="125" t="s">
        <v>28281</v>
      </c>
      <c r="C585" s="125">
        <v>1</v>
      </c>
    </row>
    <row r="586" spans="1:3" x14ac:dyDescent="0.25">
      <c r="A586" s="125" t="s">
        <v>25458</v>
      </c>
      <c r="B586" s="125" t="s">
        <v>28296</v>
      </c>
      <c r="C586" s="125">
        <v>1</v>
      </c>
    </row>
    <row r="587" spans="1:3" x14ac:dyDescent="0.25">
      <c r="A587" s="125" t="s">
        <v>28</v>
      </c>
      <c r="B587" s="125" t="s">
        <v>28218</v>
      </c>
      <c r="C587" s="125">
        <v>1</v>
      </c>
    </row>
    <row r="588" spans="1:3" x14ac:dyDescent="0.25">
      <c r="A588" s="125" t="s">
        <v>25373</v>
      </c>
      <c r="B588" s="125" t="s">
        <v>28225</v>
      </c>
      <c r="C588" s="125">
        <v>1</v>
      </c>
    </row>
    <row r="589" spans="1:3" x14ac:dyDescent="0.25">
      <c r="A589" s="125" t="s">
        <v>28351</v>
      </c>
      <c r="B589" s="125" t="s">
        <v>28309</v>
      </c>
      <c r="C589" s="125">
        <v>1</v>
      </c>
    </row>
    <row r="590" spans="1:3" x14ac:dyDescent="0.25">
      <c r="A590" s="125" t="s">
        <v>25517</v>
      </c>
      <c r="B590" s="125" t="s">
        <v>28227</v>
      </c>
      <c r="C590" s="125">
        <v>1</v>
      </c>
    </row>
    <row r="591" spans="1:3" x14ac:dyDescent="0.25">
      <c r="A591" s="125" t="s">
        <v>25484</v>
      </c>
      <c r="B591" s="125" t="s">
        <v>25332</v>
      </c>
      <c r="C591" s="125">
        <v>1</v>
      </c>
    </row>
    <row r="592" spans="1:3" x14ac:dyDescent="0.25">
      <c r="A592" s="125" t="s">
        <v>25514</v>
      </c>
      <c r="B592" s="125" t="s">
        <v>28227</v>
      </c>
      <c r="C592" s="125">
        <v>1</v>
      </c>
    </row>
    <row r="593" spans="1:3" x14ac:dyDescent="0.25">
      <c r="A593" s="125" t="s">
        <v>25496</v>
      </c>
      <c r="B593" s="125" t="s">
        <v>28219</v>
      </c>
      <c r="C593" s="125">
        <v>1</v>
      </c>
    </row>
    <row r="594" spans="1:3" x14ac:dyDescent="0.25">
      <c r="A594" s="125" t="s">
        <v>28275</v>
      </c>
      <c r="B594" s="125" t="s">
        <v>28226</v>
      </c>
      <c r="C594" s="125">
        <v>1</v>
      </c>
    </row>
    <row r="595" spans="1:3" x14ac:dyDescent="0.25">
      <c r="A595" s="125" t="s">
        <v>34</v>
      </c>
      <c r="B595" s="125" t="s">
        <v>28227</v>
      </c>
      <c r="C595" s="125">
        <v>1</v>
      </c>
    </row>
    <row r="596" spans="1:3" x14ac:dyDescent="0.25">
      <c r="A596" s="125" t="s">
        <v>23</v>
      </c>
      <c r="B596" s="125" t="s">
        <v>28334</v>
      </c>
      <c r="C596" s="125">
        <v>1</v>
      </c>
    </row>
    <row r="597" spans="1:3" x14ac:dyDescent="0.25">
      <c r="A597" s="125" t="s">
        <v>54</v>
      </c>
      <c r="B597" s="125" t="s">
        <v>28359</v>
      </c>
      <c r="C597" s="125">
        <v>1</v>
      </c>
    </row>
    <row r="598" spans="1:3" x14ac:dyDescent="0.25">
      <c r="A598" s="125" t="s">
        <v>27778</v>
      </c>
      <c r="B598" s="125" t="s">
        <v>28219</v>
      </c>
      <c r="C598" s="125">
        <v>1</v>
      </c>
    </row>
    <row r="599" spans="1:3" x14ac:dyDescent="0.25">
      <c r="A599" s="125" t="s">
        <v>28248</v>
      </c>
      <c r="B599" s="125" t="s">
        <v>28221</v>
      </c>
      <c r="C599" s="125">
        <v>1</v>
      </c>
    </row>
    <row r="600" spans="1:3" x14ac:dyDescent="0.25">
      <c r="A600" s="125" t="s">
        <v>28373</v>
      </c>
      <c r="B600" s="125" t="s">
        <v>28359</v>
      </c>
      <c r="C600" s="125">
        <v>1</v>
      </c>
    </row>
    <row r="601" spans="1:3" x14ac:dyDescent="0.25">
      <c r="A601" s="125" t="s">
        <v>54</v>
      </c>
      <c r="B601" s="125" t="s">
        <v>28220</v>
      </c>
      <c r="C601" s="125">
        <v>1</v>
      </c>
    </row>
    <row r="602" spans="1:3" x14ac:dyDescent="0.25">
      <c r="A602" s="125" t="s">
        <v>147</v>
      </c>
      <c r="B602" s="125" t="s">
        <v>28219</v>
      </c>
      <c r="C602" s="125">
        <v>1</v>
      </c>
    </row>
    <row r="603" spans="1:3" x14ac:dyDescent="0.25">
      <c r="A603" s="125" t="s">
        <v>200</v>
      </c>
      <c r="B603" s="125" t="s">
        <v>28223</v>
      </c>
      <c r="C603" s="125">
        <v>1</v>
      </c>
    </row>
    <row r="604" spans="1:3" x14ac:dyDescent="0.25">
      <c r="A604" s="125" t="s">
        <v>25375</v>
      </c>
      <c r="B604" s="125" t="s">
        <v>28283</v>
      </c>
      <c r="C604" s="125">
        <v>1</v>
      </c>
    </row>
    <row r="605" spans="1:3" x14ac:dyDescent="0.25">
      <c r="A605" s="125" t="s">
        <v>25522</v>
      </c>
      <c r="B605" s="125" t="s">
        <v>28296</v>
      </c>
      <c r="C605" s="125">
        <v>1</v>
      </c>
    </row>
    <row r="606" spans="1:3" x14ac:dyDescent="0.25">
      <c r="A606" s="125" t="s">
        <v>25399</v>
      </c>
      <c r="B606" s="125" t="s">
        <v>28247</v>
      </c>
      <c r="C606" s="125">
        <v>1</v>
      </c>
    </row>
    <row r="607" spans="1:3" x14ac:dyDescent="0.25">
      <c r="A607" s="125" t="s">
        <v>25446</v>
      </c>
      <c r="B607" s="125" t="s">
        <v>28237</v>
      </c>
      <c r="C607" s="125">
        <v>1</v>
      </c>
    </row>
    <row r="608" spans="1:3" x14ac:dyDescent="0.25">
      <c r="A608" s="125" t="s">
        <v>25480</v>
      </c>
      <c r="B608" s="125" t="s">
        <v>28226</v>
      </c>
      <c r="C608" s="125">
        <v>1</v>
      </c>
    </row>
    <row r="609" spans="1:3" x14ac:dyDescent="0.25">
      <c r="A609" s="125" t="s">
        <v>25495</v>
      </c>
      <c r="B609" s="125" t="s">
        <v>28219</v>
      </c>
      <c r="C609" s="125">
        <v>1</v>
      </c>
    </row>
    <row r="610" spans="1:3" x14ac:dyDescent="0.25">
      <c r="A610" s="125" t="s">
        <v>25486</v>
      </c>
      <c r="B610" s="125" t="s">
        <v>28219</v>
      </c>
      <c r="C610" s="125">
        <v>1</v>
      </c>
    </row>
    <row r="611" spans="1:3" x14ac:dyDescent="0.25">
      <c r="A611" s="125" t="s">
        <v>25363</v>
      </c>
      <c r="B611" s="125" t="s">
        <v>28224</v>
      </c>
      <c r="C611" s="125">
        <v>1</v>
      </c>
    </row>
    <row r="612" spans="1:3" x14ac:dyDescent="0.25">
      <c r="A612" s="125" t="s">
        <v>25478</v>
      </c>
      <c r="B612" s="125" t="s">
        <v>25332</v>
      </c>
      <c r="C612" s="125">
        <v>1</v>
      </c>
    </row>
    <row r="613" spans="1:3" x14ac:dyDescent="0.25">
      <c r="A613" s="125" t="s">
        <v>25372</v>
      </c>
      <c r="B613" s="125" t="s">
        <v>28224</v>
      </c>
      <c r="C613" s="125">
        <v>1</v>
      </c>
    </row>
    <row r="614" spans="1:3" x14ac:dyDescent="0.25">
      <c r="A614" s="125" t="s">
        <v>25491</v>
      </c>
      <c r="B614" s="125" t="s">
        <v>28237</v>
      </c>
      <c r="C614" s="125">
        <v>1</v>
      </c>
    </row>
    <row r="615" spans="1:3" x14ac:dyDescent="0.25">
      <c r="A615" s="125" t="s">
        <v>25400</v>
      </c>
      <c r="B615" s="125" t="s">
        <v>28243</v>
      </c>
      <c r="C615" s="125">
        <v>1</v>
      </c>
    </row>
    <row r="616" spans="1:3" x14ac:dyDescent="0.25">
      <c r="A616" s="125" t="s">
        <v>25361</v>
      </c>
      <c r="B616" s="125" t="s">
        <v>28240</v>
      </c>
      <c r="C616" s="125">
        <v>1</v>
      </c>
    </row>
    <row r="617" spans="1:3" x14ac:dyDescent="0.25">
      <c r="A617" s="125" t="s">
        <v>25388</v>
      </c>
      <c r="B617" s="125" t="s">
        <v>28225</v>
      </c>
      <c r="C617" s="125">
        <v>1</v>
      </c>
    </row>
    <row r="618" spans="1:3" x14ac:dyDescent="0.25">
      <c r="A618" s="125" t="s">
        <v>25454</v>
      </c>
      <c r="B618" s="125" t="s">
        <v>28223</v>
      </c>
      <c r="C618" s="125">
        <v>1</v>
      </c>
    </row>
    <row r="619" spans="1:3" x14ac:dyDescent="0.25">
      <c r="A619" s="125" t="s">
        <v>42</v>
      </c>
      <c r="B619" s="125" t="s">
        <v>25333</v>
      </c>
      <c r="C619" s="125">
        <v>1</v>
      </c>
    </row>
    <row r="620" spans="1:3" x14ac:dyDescent="0.25">
      <c r="A620" s="125" t="s">
        <v>28325</v>
      </c>
      <c r="B620" s="125" t="s">
        <v>28223</v>
      </c>
      <c r="C620" s="125">
        <v>1</v>
      </c>
    </row>
    <row r="621" spans="1:3" x14ac:dyDescent="0.25">
      <c r="A621" s="125" t="s">
        <v>28374</v>
      </c>
      <c r="B621" s="125" t="s">
        <v>25307</v>
      </c>
      <c r="C621" s="125">
        <v>1</v>
      </c>
    </row>
    <row r="622" spans="1:3" x14ac:dyDescent="0.25">
      <c r="A622" s="125" t="s">
        <v>28374</v>
      </c>
      <c r="B622" s="125" t="s">
        <v>28313</v>
      </c>
      <c r="C622" s="125">
        <v>1</v>
      </c>
    </row>
    <row r="623" spans="1:3" x14ac:dyDescent="0.25">
      <c r="A623" s="125" t="s">
        <v>25351</v>
      </c>
      <c r="B623" s="125" t="s">
        <v>28224</v>
      </c>
      <c r="C623" s="125">
        <v>1</v>
      </c>
    </row>
    <row r="624" spans="1:3" x14ac:dyDescent="0.25">
      <c r="A624" s="125" t="s">
        <v>28375</v>
      </c>
      <c r="B624" s="125" t="s">
        <v>28224</v>
      </c>
      <c r="C624" s="125">
        <v>1</v>
      </c>
    </row>
    <row r="625" spans="1:3" x14ac:dyDescent="0.25">
      <c r="A625" s="125" t="s">
        <v>28376</v>
      </c>
      <c r="B625" s="125" t="s">
        <v>28235</v>
      </c>
      <c r="C625" s="125">
        <v>1</v>
      </c>
    </row>
    <row r="626" spans="1:3" x14ac:dyDescent="0.25">
      <c r="A626" s="125" t="s">
        <v>28377</v>
      </c>
      <c r="B626" s="125" t="s">
        <v>28219</v>
      </c>
      <c r="C626" s="125">
        <v>1</v>
      </c>
    </row>
    <row r="627" spans="1:3" x14ac:dyDescent="0.25">
      <c r="A627" s="125" t="s">
        <v>28320</v>
      </c>
      <c r="B627" s="125" t="s">
        <v>28243</v>
      </c>
      <c r="C627" s="125">
        <v>1</v>
      </c>
    </row>
    <row r="628" spans="1:3" x14ac:dyDescent="0.25">
      <c r="A628" s="125" t="s">
        <v>28378</v>
      </c>
      <c r="B628" s="125" t="s">
        <v>28243</v>
      </c>
      <c r="C628" s="125">
        <v>1</v>
      </c>
    </row>
    <row r="629" spans="1:3" x14ac:dyDescent="0.25">
      <c r="A629" s="125" t="s">
        <v>28379</v>
      </c>
      <c r="B629" s="125" t="s">
        <v>28281</v>
      </c>
      <c r="C629" s="125">
        <v>1</v>
      </c>
    </row>
    <row r="630" spans="1:3" x14ac:dyDescent="0.25">
      <c r="A630" s="125" t="s">
        <v>28380</v>
      </c>
      <c r="B630" s="125" t="s">
        <v>28235</v>
      </c>
      <c r="C630" s="125">
        <v>1</v>
      </c>
    </row>
    <row r="631" spans="1:3" x14ac:dyDescent="0.25">
      <c r="A631" s="125" t="s">
        <v>28381</v>
      </c>
      <c r="B631" s="125" t="s">
        <v>28235</v>
      </c>
      <c r="C631" s="125">
        <v>1</v>
      </c>
    </row>
    <row r="632" spans="1:3" x14ac:dyDescent="0.25">
      <c r="A632" s="125" t="s">
        <v>28</v>
      </c>
      <c r="B632" s="125" t="s">
        <v>28234</v>
      </c>
      <c r="C632" s="125">
        <v>1</v>
      </c>
    </row>
    <row r="633" spans="1:3" x14ac:dyDescent="0.25">
      <c r="A633" s="125" t="s">
        <v>25422</v>
      </c>
      <c r="B633" s="125" t="s">
        <v>28382</v>
      </c>
      <c r="C633" s="125">
        <v>1</v>
      </c>
    </row>
    <row r="634" spans="1:3" x14ac:dyDescent="0.25">
      <c r="A634" s="125" t="s">
        <v>28383</v>
      </c>
      <c r="B634" s="125" t="s">
        <v>28254</v>
      </c>
      <c r="C634" s="125">
        <v>1</v>
      </c>
    </row>
    <row r="635" spans="1:3" x14ac:dyDescent="0.25">
      <c r="A635" s="125" t="s">
        <v>25493</v>
      </c>
      <c r="B635" s="125" t="s">
        <v>25332</v>
      </c>
      <c r="C635" s="125">
        <v>1</v>
      </c>
    </row>
    <row r="636" spans="1:3" x14ac:dyDescent="0.25">
      <c r="A636" s="125" t="s">
        <v>23</v>
      </c>
      <c r="B636" s="125" t="s">
        <v>28260</v>
      </c>
      <c r="C636" s="125">
        <v>1</v>
      </c>
    </row>
    <row r="637" spans="1:3" x14ac:dyDescent="0.25">
      <c r="A637" s="125" t="s">
        <v>25484</v>
      </c>
      <c r="B637" s="125" t="s">
        <v>28244</v>
      </c>
      <c r="C637" s="125">
        <v>1</v>
      </c>
    </row>
    <row r="638" spans="1:3" x14ac:dyDescent="0.25">
      <c r="A638" s="125" t="s">
        <v>28384</v>
      </c>
      <c r="B638" s="125" t="s">
        <v>28225</v>
      </c>
      <c r="C638" s="125">
        <v>1</v>
      </c>
    </row>
    <row r="639" spans="1:3" x14ac:dyDescent="0.25">
      <c r="A639" s="125" t="s">
        <v>28385</v>
      </c>
      <c r="B639" s="125" t="s">
        <v>28243</v>
      </c>
      <c r="C639" s="125">
        <v>1</v>
      </c>
    </row>
    <row r="640" spans="1:3" x14ac:dyDescent="0.25">
      <c r="A640" s="125" t="s">
        <v>25482</v>
      </c>
      <c r="B640" s="125" t="s">
        <v>25307</v>
      </c>
      <c r="C640" s="125">
        <v>1</v>
      </c>
    </row>
    <row r="641" spans="1:3" x14ac:dyDescent="0.25">
      <c r="A641" s="125" t="s">
        <v>25493</v>
      </c>
      <c r="B641" s="125" t="s">
        <v>28309</v>
      </c>
      <c r="C641" s="125">
        <v>1</v>
      </c>
    </row>
    <row r="642" spans="1:3" x14ac:dyDescent="0.25">
      <c r="A642" s="125" t="s">
        <v>22</v>
      </c>
      <c r="B642" s="125" t="s">
        <v>28234</v>
      </c>
      <c r="C642" s="125">
        <v>1</v>
      </c>
    </row>
    <row r="643" spans="1:3" x14ac:dyDescent="0.25">
      <c r="A643" s="125" t="s">
        <v>58</v>
      </c>
      <c r="B643" s="125" t="s">
        <v>25307</v>
      </c>
      <c r="C643" s="125">
        <v>1</v>
      </c>
    </row>
    <row r="644" spans="1:3" x14ac:dyDescent="0.25">
      <c r="A644" s="125" t="s">
        <v>208</v>
      </c>
      <c r="B644" s="125" t="s">
        <v>28241</v>
      </c>
      <c r="C644" s="125">
        <v>1</v>
      </c>
    </row>
    <row r="645" spans="1:3" x14ac:dyDescent="0.25">
      <c r="A645" s="125" t="s">
        <v>25438</v>
      </c>
      <c r="B645" s="125" t="s">
        <v>28324</v>
      </c>
      <c r="C645" s="125">
        <v>1</v>
      </c>
    </row>
    <row r="646" spans="1:3" x14ac:dyDescent="0.25">
      <c r="A646" s="125" t="s">
        <v>25403</v>
      </c>
      <c r="B646" s="125" t="s">
        <v>28386</v>
      </c>
      <c r="C646" s="125">
        <v>1</v>
      </c>
    </row>
    <row r="647" spans="1:3" x14ac:dyDescent="0.25">
      <c r="A647" s="125" t="s">
        <v>28387</v>
      </c>
      <c r="B647" s="125" t="s">
        <v>28224</v>
      </c>
      <c r="C647" s="125">
        <v>1</v>
      </c>
    </row>
    <row r="648" spans="1:3" x14ac:dyDescent="0.25">
      <c r="A648" s="125" t="s">
        <v>28388</v>
      </c>
      <c r="B648" s="125" t="s">
        <v>28245</v>
      </c>
      <c r="C648" s="125">
        <v>1</v>
      </c>
    </row>
    <row r="649" spans="1:3" x14ac:dyDescent="0.25">
      <c r="A649" s="125" t="s">
        <v>28389</v>
      </c>
      <c r="B649" s="125" t="s">
        <v>28223</v>
      </c>
      <c r="C649" s="125">
        <v>1</v>
      </c>
    </row>
    <row r="650" spans="1:3" x14ac:dyDescent="0.25">
      <c r="A650" s="125" t="s">
        <v>28390</v>
      </c>
      <c r="B650" s="125" t="s">
        <v>28223</v>
      </c>
      <c r="C650" s="125">
        <v>1</v>
      </c>
    </row>
    <row r="651" spans="1:3" x14ac:dyDescent="0.25">
      <c r="A651" s="125" t="s">
        <v>25488</v>
      </c>
      <c r="B651" s="125" t="s">
        <v>25307</v>
      </c>
      <c r="C651" s="125">
        <v>1</v>
      </c>
    </row>
    <row r="652" spans="1:3" x14ac:dyDescent="0.25">
      <c r="A652" s="125" t="s">
        <v>25431</v>
      </c>
      <c r="B652" s="125" t="s">
        <v>28218</v>
      </c>
      <c r="C652" s="125">
        <v>1</v>
      </c>
    </row>
    <row r="653" spans="1:3" x14ac:dyDescent="0.25">
      <c r="A653" s="125" t="s">
        <v>25397</v>
      </c>
      <c r="B653" s="125" t="s">
        <v>28254</v>
      </c>
      <c r="C653" s="125">
        <v>1</v>
      </c>
    </row>
    <row r="654" spans="1:3" x14ac:dyDescent="0.25">
      <c r="A654" s="125" t="s">
        <v>147</v>
      </c>
      <c r="B654" s="125" t="s">
        <v>28218</v>
      </c>
      <c r="C654" s="125">
        <v>1</v>
      </c>
    </row>
    <row r="655" spans="1:3" x14ac:dyDescent="0.25">
      <c r="A655" s="125" t="s">
        <v>25485</v>
      </c>
      <c r="B655" s="125" t="s">
        <v>28221</v>
      </c>
      <c r="C655" s="125">
        <v>1</v>
      </c>
    </row>
    <row r="656" spans="1:3" x14ac:dyDescent="0.25">
      <c r="A656" s="125" t="s">
        <v>25465</v>
      </c>
      <c r="B656" s="125" t="s">
        <v>28243</v>
      </c>
      <c r="C656" s="125">
        <v>1</v>
      </c>
    </row>
    <row r="657" spans="1:3" x14ac:dyDescent="0.25">
      <c r="A657" s="125" t="s">
        <v>25511</v>
      </c>
      <c r="B657" s="125" t="s">
        <v>28251</v>
      </c>
      <c r="C657" s="125">
        <v>1</v>
      </c>
    </row>
    <row r="658" spans="1:3" x14ac:dyDescent="0.25">
      <c r="A658" s="125" t="s">
        <v>25478</v>
      </c>
      <c r="B658" s="125" t="s">
        <v>28226</v>
      </c>
      <c r="C658" s="125">
        <v>1</v>
      </c>
    </row>
    <row r="659" spans="1:3" x14ac:dyDescent="0.25">
      <c r="A659" s="125" t="s">
        <v>28391</v>
      </c>
      <c r="B659" s="125" t="s">
        <v>28243</v>
      </c>
      <c r="C659" s="125">
        <v>1</v>
      </c>
    </row>
    <row r="660" spans="1:3" x14ac:dyDescent="0.25">
      <c r="A660" s="125" t="s">
        <v>25471</v>
      </c>
      <c r="B660" s="125" t="s">
        <v>25332</v>
      </c>
      <c r="C660" s="125">
        <v>1</v>
      </c>
    </row>
    <row r="661" spans="1:3" x14ac:dyDescent="0.25">
      <c r="A661" s="125" t="s">
        <v>28328</v>
      </c>
      <c r="B661" s="125" t="s">
        <v>28232</v>
      </c>
      <c r="C661" s="125">
        <v>1</v>
      </c>
    </row>
    <row r="662" spans="1:3" x14ac:dyDescent="0.25">
      <c r="A662" s="125" t="s">
        <v>141</v>
      </c>
      <c r="B662" s="125" t="s">
        <v>28245</v>
      </c>
      <c r="C662" s="125">
        <v>1</v>
      </c>
    </row>
    <row r="663" spans="1:3" x14ac:dyDescent="0.25">
      <c r="A663" s="125" t="s">
        <v>123</v>
      </c>
      <c r="B663" s="125" t="s">
        <v>28218</v>
      </c>
      <c r="C663" s="125">
        <v>1</v>
      </c>
    </row>
    <row r="664" spans="1:3" x14ac:dyDescent="0.25">
      <c r="A664" s="125" t="s">
        <v>25426</v>
      </c>
      <c r="B664" s="125" t="s">
        <v>28277</v>
      </c>
      <c r="C664" s="125">
        <v>1</v>
      </c>
    </row>
    <row r="665" spans="1:3" x14ac:dyDescent="0.25">
      <c r="A665" s="125" t="s">
        <v>197</v>
      </c>
      <c r="B665" s="125" t="s">
        <v>28297</v>
      </c>
      <c r="C665" s="125">
        <v>1</v>
      </c>
    </row>
    <row r="666" spans="1:3" x14ac:dyDescent="0.25">
      <c r="A666" s="125" t="s">
        <v>43</v>
      </c>
      <c r="B666" s="125" t="s">
        <v>25334</v>
      </c>
      <c r="C666" s="125">
        <v>1</v>
      </c>
    </row>
    <row r="667" spans="1:3" x14ac:dyDescent="0.25">
      <c r="A667" s="125" t="s">
        <v>25502</v>
      </c>
      <c r="B667" s="125" t="s">
        <v>28299</v>
      </c>
      <c r="C667" s="125">
        <v>1</v>
      </c>
    </row>
    <row r="668" spans="1:3" x14ac:dyDescent="0.25">
      <c r="A668" s="125" t="s">
        <v>215</v>
      </c>
      <c r="B668" s="125" t="s">
        <v>28309</v>
      </c>
      <c r="C668" s="125">
        <v>1</v>
      </c>
    </row>
    <row r="669" spans="1:3" x14ac:dyDescent="0.25">
      <c r="A669" s="125" t="s">
        <v>25365</v>
      </c>
      <c r="B669" s="125" t="s">
        <v>28270</v>
      </c>
      <c r="C669" s="125">
        <v>1</v>
      </c>
    </row>
    <row r="670" spans="1:3" x14ac:dyDescent="0.25">
      <c r="A670" s="125" t="s">
        <v>25348</v>
      </c>
      <c r="B670" s="125" t="s">
        <v>28311</v>
      </c>
      <c r="C670" s="125">
        <v>1</v>
      </c>
    </row>
    <row r="671" spans="1:3" x14ac:dyDescent="0.25">
      <c r="A671" s="125" t="s">
        <v>25365</v>
      </c>
      <c r="B671" s="125" t="s">
        <v>28354</v>
      </c>
      <c r="C671" s="125">
        <v>1</v>
      </c>
    </row>
    <row r="672" spans="1:3" x14ac:dyDescent="0.25">
      <c r="A672" s="125" t="s">
        <v>107</v>
      </c>
      <c r="B672" s="125" t="s">
        <v>28295</v>
      </c>
      <c r="C672" s="125">
        <v>1</v>
      </c>
    </row>
    <row r="673" spans="1:3" x14ac:dyDescent="0.25">
      <c r="A673" s="125" t="s">
        <v>25377</v>
      </c>
      <c r="B673" s="125" t="s">
        <v>25307</v>
      </c>
      <c r="C673" s="125">
        <v>1</v>
      </c>
    </row>
    <row r="674" spans="1:3" x14ac:dyDescent="0.25">
      <c r="A674" s="125" t="s">
        <v>28392</v>
      </c>
      <c r="B674" s="125" t="s">
        <v>28221</v>
      </c>
      <c r="C674" s="125">
        <v>1</v>
      </c>
    </row>
    <row r="675" spans="1:3" x14ac:dyDescent="0.25">
      <c r="A675" s="125" t="s">
        <v>25497</v>
      </c>
      <c r="B675" s="125" t="s">
        <v>25332</v>
      </c>
      <c r="C675" s="125">
        <v>1</v>
      </c>
    </row>
    <row r="676" spans="1:3" x14ac:dyDescent="0.25">
      <c r="A676" s="125" t="s">
        <v>25410</v>
      </c>
      <c r="B676" s="125" t="s">
        <v>28277</v>
      </c>
      <c r="C676" s="125">
        <v>1</v>
      </c>
    </row>
    <row r="677" spans="1:3" x14ac:dyDescent="0.25">
      <c r="A677" s="125" t="s">
        <v>25409</v>
      </c>
      <c r="B677" s="125" t="s">
        <v>28270</v>
      </c>
      <c r="C677" s="125">
        <v>1</v>
      </c>
    </row>
    <row r="678" spans="1:3" x14ac:dyDescent="0.25">
      <c r="A678" s="125" t="s">
        <v>25468</v>
      </c>
      <c r="B678" s="125" t="s">
        <v>28220</v>
      </c>
      <c r="C678" s="125">
        <v>1</v>
      </c>
    </row>
    <row r="679" spans="1:3" x14ac:dyDescent="0.25">
      <c r="A679" s="125" t="s">
        <v>25471</v>
      </c>
      <c r="B679" s="125" t="s">
        <v>28281</v>
      </c>
      <c r="C679" s="125">
        <v>1</v>
      </c>
    </row>
    <row r="680" spans="1:3" x14ac:dyDescent="0.25">
      <c r="A680" s="125" t="s">
        <v>25362</v>
      </c>
      <c r="B680" s="125" t="s">
        <v>28225</v>
      </c>
      <c r="C680" s="125">
        <v>1</v>
      </c>
    </row>
    <row r="681" spans="1:3" x14ac:dyDescent="0.25">
      <c r="A681" s="125" t="s">
        <v>25370</v>
      </c>
      <c r="B681" s="125" t="s">
        <v>25332</v>
      </c>
      <c r="C681" s="125">
        <v>1</v>
      </c>
    </row>
    <row r="682" spans="1:3" x14ac:dyDescent="0.25">
      <c r="A682" s="125" t="s">
        <v>201</v>
      </c>
      <c r="B682" s="125" t="s">
        <v>25334</v>
      </c>
      <c r="C682" s="125">
        <v>1</v>
      </c>
    </row>
    <row r="683" spans="1:3" x14ac:dyDescent="0.25">
      <c r="A683" s="125" t="s">
        <v>25371</v>
      </c>
      <c r="B683" s="125" t="s">
        <v>28227</v>
      </c>
      <c r="C683" s="125">
        <v>1</v>
      </c>
    </row>
    <row r="684" spans="1:3" x14ac:dyDescent="0.25">
      <c r="A684" s="125" t="s">
        <v>25353</v>
      </c>
      <c r="B684" s="125" t="s">
        <v>28239</v>
      </c>
      <c r="C684" s="125">
        <v>1</v>
      </c>
    </row>
    <row r="685" spans="1:3" x14ac:dyDescent="0.25">
      <c r="A685" s="125" t="s">
        <v>42</v>
      </c>
      <c r="B685" s="125" t="s">
        <v>28233</v>
      </c>
      <c r="C685" s="125">
        <v>1</v>
      </c>
    </row>
    <row r="686" spans="1:3" x14ac:dyDescent="0.25">
      <c r="A686" s="125" t="s">
        <v>215</v>
      </c>
      <c r="B686" s="125" t="s">
        <v>25334</v>
      </c>
      <c r="C686" s="125">
        <v>1</v>
      </c>
    </row>
    <row r="687" spans="1:3" x14ac:dyDescent="0.25">
      <c r="A687" s="125" t="s">
        <v>25353</v>
      </c>
      <c r="B687" s="125" t="s">
        <v>28233</v>
      </c>
      <c r="C687" s="125">
        <v>1</v>
      </c>
    </row>
    <row r="688" spans="1:3" x14ac:dyDescent="0.25">
      <c r="A688" s="125" t="s">
        <v>25345</v>
      </c>
      <c r="B688" s="125" t="s">
        <v>28240</v>
      </c>
      <c r="C688" s="125">
        <v>1</v>
      </c>
    </row>
    <row r="689" spans="1:3" x14ac:dyDescent="0.25">
      <c r="A689" s="125" t="s">
        <v>52</v>
      </c>
      <c r="B689" s="125" t="s">
        <v>28297</v>
      </c>
      <c r="C689" s="125">
        <v>1</v>
      </c>
    </row>
    <row r="690" spans="1:3" x14ac:dyDescent="0.25">
      <c r="A690" s="125" t="s">
        <v>100</v>
      </c>
      <c r="B690" s="125" t="s">
        <v>28281</v>
      </c>
      <c r="C690" s="125">
        <v>1</v>
      </c>
    </row>
    <row r="691" spans="1:3" x14ac:dyDescent="0.25">
      <c r="A691" s="125" t="s">
        <v>43</v>
      </c>
      <c r="B691" s="125" t="s">
        <v>28309</v>
      </c>
      <c r="C691" s="125">
        <v>1</v>
      </c>
    </row>
    <row r="692" spans="1:3" x14ac:dyDescent="0.25">
      <c r="A692" s="125" t="s">
        <v>28393</v>
      </c>
      <c r="B692" s="125" t="s">
        <v>28283</v>
      </c>
      <c r="C692" s="125">
        <v>1</v>
      </c>
    </row>
    <row r="693" spans="1:3" x14ac:dyDescent="0.25">
      <c r="A693" s="125" t="s">
        <v>25353</v>
      </c>
      <c r="B693" s="125" t="s">
        <v>28334</v>
      </c>
      <c r="C693" s="125">
        <v>1</v>
      </c>
    </row>
    <row r="694" spans="1:3" x14ac:dyDescent="0.25">
      <c r="A694" s="125" t="s">
        <v>28271</v>
      </c>
      <c r="B694" s="125" t="s">
        <v>28267</v>
      </c>
      <c r="C694" s="125">
        <v>1</v>
      </c>
    </row>
    <row r="695" spans="1:3" x14ac:dyDescent="0.25">
      <c r="A695" s="125" t="s">
        <v>25340</v>
      </c>
      <c r="B695" s="125" t="s">
        <v>25307</v>
      </c>
      <c r="C695" s="125">
        <v>1</v>
      </c>
    </row>
    <row r="696" spans="1:3" x14ac:dyDescent="0.25">
      <c r="A696" s="125" t="s">
        <v>28266</v>
      </c>
      <c r="B696" s="125" t="s">
        <v>28281</v>
      </c>
      <c r="C696" s="125">
        <v>1</v>
      </c>
    </row>
    <row r="697" spans="1:3" x14ac:dyDescent="0.25">
      <c r="A697" s="125" t="s">
        <v>42</v>
      </c>
      <c r="B697" s="125" t="s">
        <v>25334</v>
      </c>
      <c r="C697" s="125">
        <v>1</v>
      </c>
    </row>
    <row r="698" spans="1:3" x14ac:dyDescent="0.25">
      <c r="A698" s="125" t="s">
        <v>25373</v>
      </c>
      <c r="B698" s="125" t="s">
        <v>28229</v>
      </c>
      <c r="C698" s="125">
        <v>1</v>
      </c>
    </row>
    <row r="699" spans="1:3" x14ac:dyDescent="0.25">
      <c r="A699" s="125" t="s">
        <v>96</v>
      </c>
      <c r="B699" s="125" t="s">
        <v>28237</v>
      </c>
      <c r="C699" s="125">
        <v>1</v>
      </c>
    </row>
    <row r="700" spans="1:3" x14ac:dyDescent="0.25">
      <c r="A700" s="125" t="s">
        <v>28350</v>
      </c>
      <c r="B700" s="125" t="s">
        <v>28299</v>
      </c>
      <c r="C700" s="125">
        <v>1</v>
      </c>
    </row>
    <row r="701" spans="1:3" x14ac:dyDescent="0.25">
      <c r="A701" s="125" t="s">
        <v>25410</v>
      </c>
      <c r="B701" s="125" t="s">
        <v>28236</v>
      </c>
      <c r="C701" s="125">
        <v>1</v>
      </c>
    </row>
    <row r="702" spans="1:3" x14ac:dyDescent="0.25">
      <c r="A702" s="125" t="s">
        <v>28394</v>
      </c>
      <c r="B702" s="125" t="s">
        <v>28369</v>
      </c>
      <c r="C702" s="125">
        <v>1</v>
      </c>
    </row>
    <row r="703" spans="1:3" x14ac:dyDescent="0.25">
      <c r="A703" s="125" t="s">
        <v>197</v>
      </c>
      <c r="B703" s="125" t="s">
        <v>28311</v>
      </c>
      <c r="C703" s="125">
        <v>1</v>
      </c>
    </row>
    <row r="704" spans="1:3" x14ac:dyDescent="0.25">
      <c r="A704" s="125" t="s">
        <v>25468</v>
      </c>
      <c r="B704" s="125" t="s">
        <v>28395</v>
      </c>
      <c r="C704" s="125">
        <v>1</v>
      </c>
    </row>
    <row r="705" spans="1:3" x14ac:dyDescent="0.25">
      <c r="A705" s="125" t="s">
        <v>25503</v>
      </c>
      <c r="B705" s="125" t="s">
        <v>28235</v>
      </c>
      <c r="C705" s="125">
        <v>1</v>
      </c>
    </row>
    <row r="706" spans="1:3" x14ac:dyDescent="0.25">
      <c r="A706" s="125" t="s">
        <v>25504</v>
      </c>
      <c r="B706" s="125" t="s">
        <v>25307</v>
      </c>
      <c r="C706" s="125">
        <v>1</v>
      </c>
    </row>
    <row r="707" spans="1:3" x14ac:dyDescent="0.25">
      <c r="A707" s="125" t="s">
        <v>25519</v>
      </c>
      <c r="B707" s="125" t="s">
        <v>28245</v>
      </c>
      <c r="C707" s="125">
        <v>1</v>
      </c>
    </row>
    <row r="708" spans="1:3" x14ac:dyDescent="0.25">
      <c r="A708" s="125" t="s">
        <v>28396</v>
      </c>
      <c r="B708" s="125" t="s">
        <v>28309</v>
      </c>
      <c r="C708" s="125">
        <v>1</v>
      </c>
    </row>
    <row r="709" spans="1:3" x14ac:dyDescent="0.25">
      <c r="A709" s="125" t="s">
        <v>25408</v>
      </c>
      <c r="B709" s="125" t="s">
        <v>28232</v>
      </c>
      <c r="C709" s="125">
        <v>1</v>
      </c>
    </row>
    <row r="710" spans="1:3" x14ac:dyDescent="0.25">
      <c r="A710" s="125" t="s">
        <v>25409</v>
      </c>
      <c r="B710" s="125" t="s">
        <v>28314</v>
      </c>
      <c r="C710" s="125">
        <v>1</v>
      </c>
    </row>
    <row r="711" spans="1:3" x14ac:dyDescent="0.25">
      <c r="A711" s="125" t="s">
        <v>43</v>
      </c>
      <c r="B711" s="125" t="s">
        <v>28285</v>
      </c>
      <c r="C711" s="125">
        <v>1</v>
      </c>
    </row>
    <row r="712" spans="1:3" x14ac:dyDescent="0.25">
      <c r="A712" s="125" t="s">
        <v>197</v>
      </c>
      <c r="B712" s="125" t="s">
        <v>28254</v>
      </c>
      <c r="C712" s="125">
        <v>1</v>
      </c>
    </row>
    <row r="713" spans="1:3" x14ac:dyDescent="0.25">
      <c r="A713" s="125" t="s">
        <v>1</v>
      </c>
      <c r="B713" s="125" t="s">
        <v>28244</v>
      </c>
      <c r="C713" s="125">
        <v>1</v>
      </c>
    </row>
    <row r="714" spans="1:3" x14ac:dyDescent="0.25">
      <c r="A714" s="125" t="s">
        <v>25468</v>
      </c>
      <c r="B714" s="125" t="s">
        <v>25331</v>
      </c>
      <c r="C714" s="125">
        <v>1</v>
      </c>
    </row>
    <row r="715" spans="1:3" x14ac:dyDescent="0.25">
      <c r="A715" s="125" t="s">
        <v>28397</v>
      </c>
      <c r="B715" s="125" t="s">
        <v>28247</v>
      </c>
      <c r="C715" s="125">
        <v>1</v>
      </c>
    </row>
    <row r="716" spans="1:3" x14ac:dyDescent="0.25">
      <c r="A716" s="125" t="s">
        <v>25410</v>
      </c>
      <c r="B716" s="125" t="s">
        <v>28297</v>
      </c>
      <c r="C716" s="125">
        <v>1</v>
      </c>
    </row>
    <row r="717" spans="1:3" x14ac:dyDescent="0.25">
      <c r="A717" s="125" t="s">
        <v>43</v>
      </c>
      <c r="B717" s="125" t="s">
        <v>28262</v>
      </c>
      <c r="C717" s="125">
        <v>1</v>
      </c>
    </row>
    <row r="718" spans="1:3" x14ac:dyDescent="0.25">
      <c r="A718" s="125" t="s">
        <v>28391</v>
      </c>
      <c r="B718" s="125" t="s">
        <v>28254</v>
      </c>
      <c r="C718" s="125">
        <v>1</v>
      </c>
    </row>
    <row r="719" spans="1:3" x14ac:dyDescent="0.25">
      <c r="A719" s="125" t="s">
        <v>35</v>
      </c>
      <c r="B719" s="125" t="s">
        <v>28243</v>
      </c>
      <c r="C719" s="125">
        <v>1</v>
      </c>
    </row>
    <row r="720" spans="1:3" x14ac:dyDescent="0.25">
      <c r="A720" s="125" t="s">
        <v>25352</v>
      </c>
      <c r="B720" s="125" t="s">
        <v>28281</v>
      </c>
      <c r="C720" s="125">
        <v>1</v>
      </c>
    </row>
    <row r="721" spans="1:3" x14ac:dyDescent="0.25">
      <c r="A721" s="125" t="s">
        <v>197</v>
      </c>
      <c r="B721" s="125" t="s">
        <v>28281</v>
      </c>
      <c r="C721" s="125">
        <v>1</v>
      </c>
    </row>
    <row r="722" spans="1:3" x14ac:dyDescent="0.25">
      <c r="A722" s="125" t="s">
        <v>25484</v>
      </c>
      <c r="B722" s="125" t="s">
        <v>28234</v>
      </c>
      <c r="C722" s="125">
        <v>1</v>
      </c>
    </row>
    <row r="723" spans="1:3" x14ac:dyDescent="0.25">
      <c r="A723" s="125" t="s">
        <v>96</v>
      </c>
      <c r="B723" s="125" t="s">
        <v>28343</v>
      </c>
      <c r="C723" s="125">
        <v>1</v>
      </c>
    </row>
    <row r="724" spans="1:3" x14ac:dyDescent="0.25">
      <c r="A724" s="125" t="s">
        <v>28355</v>
      </c>
      <c r="B724" s="125" t="s">
        <v>28277</v>
      </c>
      <c r="C724" s="125">
        <v>1</v>
      </c>
    </row>
    <row r="725" spans="1:3" x14ac:dyDescent="0.25">
      <c r="A725" s="125" t="s">
        <v>28</v>
      </c>
      <c r="B725" s="125" t="s">
        <v>28281</v>
      </c>
      <c r="C725" s="125">
        <v>1</v>
      </c>
    </row>
    <row r="726" spans="1:3" x14ac:dyDescent="0.25">
      <c r="A726" s="125" t="s">
        <v>25502</v>
      </c>
      <c r="B726" s="125" t="s">
        <v>28297</v>
      </c>
      <c r="C726" s="125">
        <v>1</v>
      </c>
    </row>
    <row r="727" spans="1:3" x14ac:dyDescent="0.25">
      <c r="A727" s="125" t="s">
        <v>28398</v>
      </c>
      <c r="B727" s="125" t="s">
        <v>25307</v>
      </c>
      <c r="C727" s="125">
        <v>1</v>
      </c>
    </row>
    <row r="728" spans="1:3" x14ac:dyDescent="0.25">
      <c r="A728" s="125" t="s">
        <v>25426</v>
      </c>
      <c r="B728" s="125" t="s">
        <v>28343</v>
      </c>
      <c r="C728" s="125">
        <v>1</v>
      </c>
    </row>
    <row r="729" spans="1:3" x14ac:dyDescent="0.25">
      <c r="A729" s="125" t="s">
        <v>147</v>
      </c>
      <c r="B729" s="125" t="s">
        <v>28272</v>
      </c>
      <c r="C729" s="125">
        <v>1</v>
      </c>
    </row>
    <row r="730" spans="1:3" x14ac:dyDescent="0.25">
      <c r="A730" s="125" t="s">
        <v>25432</v>
      </c>
      <c r="B730" s="125" t="s">
        <v>28315</v>
      </c>
      <c r="C730" s="125">
        <v>1</v>
      </c>
    </row>
    <row r="731" spans="1:3" x14ac:dyDescent="0.25">
      <c r="A731" s="125" t="s">
        <v>25486</v>
      </c>
      <c r="B731" s="125" t="s">
        <v>28285</v>
      </c>
      <c r="C731" s="125">
        <v>1</v>
      </c>
    </row>
    <row r="732" spans="1:3" x14ac:dyDescent="0.25">
      <c r="A732" s="125" t="s">
        <v>25493</v>
      </c>
      <c r="B732" s="125" t="s">
        <v>28277</v>
      </c>
      <c r="C732" s="125">
        <v>1</v>
      </c>
    </row>
    <row r="733" spans="1:3" x14ac:dyDescent="0.25">
      <c r="A733" s="125" t="s">
        <v>25523</v>
      </c>
      <c r="B733" s="125" t="s">
        <v>28338</v>
      </c>
      <c r="C733" s="125">
        <v>1</v>
      </c>
    </row>
    <row r="734" spans="1:3" x14ac:dyDescent="0.25">
      <c r="A734" s="125" t="s">
        <v>25433</v>
      </c>
      <c r="B734" s="125" t="s">
        <v>28221</v>
      </c>
      <c r="C734" s="125">
        <v>1</v>
      </c>
    </row>
    <row r="735" spans="1:3" x14ac:dyDescent="0.25">
      <c r="A735" s="125" t="s">
        <v>25485</v>
      </c>
      <c r="B735" s="125" t="s">
        <v>28346</v>
      </c>
      <c r="C735" s="125">
        <v>1</v>
      </c>
    </row>
    <row r="736" spans="1:3" x14ac:dyDescent="0.25">
      <c r="A736" s="125" t="s">
        <v>25462</v>
      </c>
      <c r="B736" s="125" t="s">
        <v>28280</v>
      </c>
      <c r="C736" s="125">
        <v>1</v>
      </c>
    </row>
    <row r="737" spans="1:3" x14ac:dyDescent="0.25">
      <c r="A737" s="125" t="s">
        <v>25471</v>
      </c>
      <c r="B737" s="125" t="s">
        <v>28224</v>
      </c>
      <c r="C737" s="125">
        <v>1</v>
      </c>
    </row>
    <row r="738" spans="1:3" x14ac:dyDescent="0.25">
      <c r="A738" s="125" t="s">
        <v>25410</v>
      </c>
      <c r="B738" s="125" t="s">
        <v>25307</v>
      </c>
      <c r="C738" s="125">
        <v>1</v>
      </c>
    </row>
    <row r="739" spans="1:3" x14ac:dyDescent="0.25">
      <c r="A739" s="125" t="s">
        <v>28373</v>
      </c>
      <c r="B739" s="125" t="s">
        <v>28220</v>
      </c>
      <c r="C739" s="125">
        <v>1</v>
      </c>
    </row>
    <row r="740" spans="1:3" x14ac:dyDescent="0.25">
      <c r="A740" s="125" t="s">
        <v>25339</v>
      </c>
      <c r="B740" s="125" t="s">
        <v>28221</v>
      </c>
      <c r="C740" s="125">
        <v>1</v>
      </c>
    </row>
    <row r="741" spans="1:3" x14ac:dyDescent="0.25">
      <c r="A741" s="125" t="s">
        <v>25526</v>
      </c>
      <c r="B741" s="125" t="s">
        <v>28239</v>
      </c>
      <c r="C741" s="125">
        <v>1</v>
      </c>
    </row>
    <row r="742" spans="1:3" x14ac:dyDescent="0.25">
      <c r="A742" s="125" t="s">
        <v>25462</v>
      </c>
      <c r="B742" s="125" t="s">
        <v>28370</v>
      </c>
      <c r="C742" s="125">
        <v>1</v>
      </c>
    </row>
    <row r="743" spans="1:3" x14ac:dyDescent="0.25">
      <c r="A743" s="125" t="s">
        <v>25526</v>
      </c>
      <c r="B743" s="125" t="s">
        <v>28233</v>
      </c>
      <c r="C743" s="125">
        <v>1</v>
      </c>
    </row>
    <row r="744" spans="1:3" x14ac:dyDescent="0.25">
      <c r="A744" s="125" t="s">
        <v>25346</v>
      </c>
      <c r="B744" s="125" t="s">
        <v>28273</v>
      </c>
      <c r="C744" s="125">
        <v>1</v>
      </c>
    </row>
    <row r="745" spans="1:3" x14ac:dyDescent="0.25">
      <c r="A745" s="125" t="s">
        <v>25359</v>
      </c>
      <c r="B745" s="125" t="s">
        <v>28352</v>
      </c>
      <c r="C745" s="125">
        <v>1</v>
      </c>
    </row>
    <row r="746" spans="1:3" x14ac:dyDescent="0.25">
      <c r="A746" s="125" t="s">
        <v>25363</v>
      </c>
      <c r="B746" s="125" t="s">
        <v>28254</v>
      </c>
      <c r="C746" s="125">
        <v>1</v>
      </c>
    </row>
    <row r="747" spans="1:3" x14ac:dyDescent="0.25">
      <c r="A747" s="125" t="s">
        <v>25485</v>
      </c>
      <c r="B747" s="125" t="s">
        <v>25332</v>
      </c>
      <c r="C747" s="125">
        <v>1</v>
      </c>
    </row>
    <row r="748" spans="1:3" x14ac:dyDescent="0.25">
      <c r="A748" s="125" t="s">
        <v>25362</v>
      </c>
      <c r="B748" s="125" t="s">
        <v>28334</v>
      </c>
      <c r="C748" s="125">
        <v>1</v>
      </c>
    </row>
    <row r="749" spans="1:3" x14ac:dyDescent="0.25">
      <c r="A749" s="125" t="s">
        <v>25486</v>
      </c>
      <c r="B749" s="125" t="s">
        <v>28261</v>
      </c>
      <c r="C749" s="125">
        <v>1</v>
      </c>
    </row>
    <row r="750" spans="1:3" x14ac:dyDescent="0.25">
      <c r="A750" s="125" t="s">
        <v>25532</v>
      </c>
      <c r="B750" s="125" t="s">
        <v>28267</v>
      </c>
      <c r="C750" s="125">
        <v>1</v>
      </c>
    </row>
    <row r="751" spans="1:3" x14ac:dyDescent="0.25">
      <c r="A751" s="125" t="s">
        <v>25359</v>
      </c>
      <c r="B751" s="125" t="s">
        <v>28224</v>
      </c>
      <c r="C751" s="125">
        <v>1</v>
      </c>
    </row>
    <row r="752" spans="1:3" x14ac:dyDescent="0.25">
      <c r="A752" s="125" t="s">
        <v>25409</v>
      </c>
      <c r="B752" s="125" t="s">
        <v>28251</v>
      </c>
      <c r="C752" s="125">
        <v>1</v>
      </c>
    </row>
    <row r="753" spans="1:3" x14ac:dyDescent="0.25">
      <c r="A753" s="125" t="s">
        <v>25498</v>
      </c>
      <c r="B753" s="125" t="s">
        <v>28235</v>
      </c>
      <c r="C753" s="125">
        <v>1</v>
      </c>
    </row>
    <row r="754" spans="1:3" x14ac:dyDescent="0.25">
      <c r="A754" s="125" t="s">
        <v>25342</v>
      </c>
      <c r="B754" s="125" t="s">
        <v>28225</v>
      </c>
      <c r="C754" s="125">
        <v>1</v>
      </c>
    </row>
    <row r="755" spans="1:3" x14ac:dyDescent="0.25">
      <c r="A755" s="125" t="s">
        <v>25359</v>
      </c>
      <c r="B755" s="125" t="s">
        <v>28349</v>
      </c>
      <c r="C755" s="125">
        <v>1</v>
      </c>
    </row>
    <row r="756" spans="1:3" x14ac:dyDescent="0.25">
      <c r="A756" s="125" t="s">
        <v>25369</v>
      </c>
      <c r="B756" s="125" t="s">
        <v>28224</v>
      </c>
      <c r="C756" s="125">
        <v>1</v>
      </c>
    </row>
    <row r="757" spans="1:3" x14ac:dyDescent="0.25">
      <c r="A757" s="125" t="s">
        <v>25368</v>
      </c>
      <c r="B757" s="125" t="s">
        <v>28349</v>
      </c>
      <c r="C757" s="125">
        <v>1</v>
      </c>
    </row>
    <row r="758" spans="1:3" x14ac:dyDescent="0.25">
      <c r="A758" s="125" t="s">
        <v>25369</v>
      </c>
      <c r="B758" s="125" t="s">
        <v>28223</v>
      </c>
      <c r="C758" s="125">
        <v>1</v>
      </c>
    </row>
    <row r="759" spans="1:3" x14ac:dyDescent="0.25">
      <c r="A759" s="125" t="s">
        <v>25377</v>
      </c>
      <c r="B759" s="125" t="s">
        <v>28235</v>
      </c>
      <c r="C759" s="125">
        <v>1</v>
      </c>
    </row>
    <row r="760" spans="1:3" x14ac:dyDescent="0.25">
      <c r="A760" s="125" t="s">
        <v>25393</v>
      </c>
      <c r="B760" s="125" t="s">
        <v>28245</v>
      </c>
      <c r="C760" s="125">
        <v>1</v>
      </c>
    </row>
    <row r="761" spans="1:3" x14ac:dyDescent="0.25">
      <c r="A761" s="125" t="s">
        <v>25462</v>
      </c>
      <c r="B761" s="125" t="s">
        <v>28252</v>
      </c>
      <c r="C761" s="125">
        <v>1</v>
      </c>
    </row>
    <row r="762" spans="1:3" x14ac:dyDescent="0.25">
      <c r="A762" s="125" t="s">
        <v>25470</v>
      </c>
      <c r="B762" s="125" t="s">
        <v>28261</v>
      </c>
      <c r="C762" s="125">
        <v>1</v>
      </c>
    </row>
    <row r="763" spans="1:3" x14ac:dyDescent="0.25">
      <c r="A763" s="125" t="s">
        <v>34</v>
      </c>
      <c r="B763" s="125" t="s">
        <v>28342</v>
      </c>
      <c r="C763" s="125">
        <v>1</v>
      </c>
    </row>
    <row r="764" spans="1:3" x14ac:dyDescent="0.25">
      <c r="A764" s="125" t="s">
        <v>28329</v>
      </c>
      <c r="B764" s="125" t="s">
        <v>28283</v>
      </c>
      <c r="C764" s="125">
        <v>1</v>
      </c>
    </row>
    <row r="765" spans="1:3" x14ac:dyDescent="0.25">
      <c r="A765" s="125" t="s">
        <v>25487</v>
      </c>
      <c r="B765" s="125" t="s">
        <v>28227</v>
      </c>
      <c r="C765" s="125">
        <v>1</v>
      </c>
    </row>
    <row r="766" spans="1:3" x14ac:dyDescent="0.25">
      <c r="A766" s="125" t="s">
        <v>25351</v>
      </c>
      <c r="B766" s="125" t="s">
        <v>25307</v>
      </c>
      <c r="C766" s="125">
        <v>1</v>
      </c>
    </row>
    <row r="767" spans="1:3" x14ac:dyDescent="0.25">
      <c r="A767" s="125" t="s">
        <v>28366</v>
      </c>
      <c r="B767" s="125" t="s">
        <v>28359</v>
      </c>
      <c r="C767" s="125">
        <v>1</v>
      </c>
    </row>
    <row r="768" spans="1:3" x14ac:dyDescent="0.25">
      <c r="A768" s="125" t="s">
        <v>28329</v>
      </c>
      <c r="B768" s="125" t="s">
        <v>28354</v>
      </c>
      <c r="C768" s="125">
        <v>1</v>
      </c>
    </row>
    <row r="769" spans="1:3" x14ac:dyDescent="0.25">
      <c r="A769" s="125" t="s">
        <v>25502</v>
      </c>
      <c r="B769" s="125" t="s">
        <v>28349</v>
      </c>
      <c r="C769" s="125">
        <v>1</v>
      </c>
    </row>
    <row r="770" spans="1:3" x14ac:dyDescent="0.25">
      <c r="A770" s="125" t="s">
        <v>25504</v>
      </c>
      <c r="B770" s="125" t="s">
        <v>28399</v>
      </c>
      <c r="C770" s="125">
        <v>1</v>
      </c>
    </row>
    <row r="771" spans="1:3" x14ac:dyDescent="0.25">
      <c r="A771" s="125" t="s">
        <v>1</v>
      </c>
      <c r="B771" s="125" t="s">
        <v>28233</v>
      </c>
      <c r="C771" s="125">
        <v>1</v>
      </c>
    </row>
    <row r="772" spans="1:3" x14ac:dyDescent="0.25">
      <c r="A772" s="125" t="s">
        <v>25503</v>
      </c>
      <c r="B772" s="125" t="s">
        <v>28285</v>
      </c>
      <c r="C772" s="125">
        <v>1</v>
      </c>
    </row>
    <row r="773" spans="1:3" x14ac:dyDescent="0.25">
      <c r="A773" s="125" t="s">
        <v>25441</v>
      </c>
      <c r="B773" s="125" t="s">
        <v>28220</v>
      </c>
      <c r="C773" s="125">
        <v>1</v>
      </c>
    </row>
    <row r="774" spans="1:3" x14ac:dyDescent="0.25">
      <c r="A774" s="125" t="s">
        <v>25442</v>
      </c>
      <c r="B774" s="125" t="s">
        <v>28245</v>
      </c>
      <c r="C774" s="125">
        <v>1</v>
      </c>
    </row>
    <row r="775" spans="1:3" x14ac:dyDescent="0.25">
      <c r="A775" s="125" t="s">
        <v>25340</v>
      </c>
      <c r="B775" s="125" t="s">
        <v>28281</v>
      </c>
      <c r="C775" s="125">
        <v>1</v>
      </c>
    </row>
    <row r="776" spans="1:3" x14ac:dyDescent="0.25">
      <c r="A776" s="125" t="s">
        <v>25452</v>
      </c>
      <c r="B776" s="125" t="s">
        <v>25307</v>
      </c>
      <c r="C776" s="125">
        <v>1</v>
      </c>
    </row>
    <row r="777" spans="1:3" x14ac:dyDescent="0.25">
      <c r="A777" s="125" t="s">
        <v>28400</v>
      </c>
      <c r="B777" s="125" t="s">
        <v>28227</v>
      </c>
      <c r="C777" s="125">
        <v>1</v>
      </c>
    </row>
    <row r="778" spans="1:3" x14ac:dyDescent="0.25">
      <c r="A778" s="125" t="s">
        <v>28329</v>
      </c>
      <c r="B778" s="125" t="s">
        <v>28296</v>
      </c>
      <c r="C778" s="125">
        <v>1</v>
      </c>
    </row>
    <row r="779" spans="1:3" x14ac:dyDescent="0.25">
      <c r="A779" s="125" t="s">
        <v>25373</v>
      </c>
      <c r="B779" s="125" t="s">
        <v>28219</v>
      </c>
      <c r="C779" s="125">
        <v>1</v>
      </c>
    </row>
    <row r="780" spans="1:3" x14ac:dyDescent="0.25">
      <c r="A780" s="125" t="s">
        <v>25511</v>
      </c>
      <c r="B780" s="125" t="s">
        <v>28356</v>
      </c>
      <c r="C780" s="125">
        <v>1</v>
      </c>
    </row>
    <row r="781" spans="1:3" x14ac:dyDescent="0.25">
      <c r="A781" s="125" t="s">
        <v>28401</v>
      </c>
      <c r="B781" s="125" t="s">
        <v>28229</v>
      </c>
      <c r="C781" s="125">
        <v>1</v>
      </c>
    </row>
    <row r="782" spans="1:3" x14ac:dyDescent="0.25">
      <c r="A782" s="125" t="s">
        <v>25392</v>
      </c>
      <c r="B782" s="125" t="s">
        <v>28245</v>
      </c>
      <c r="C782" s="125">
        <v>1</v>
      </c>
    </row>
    <row r="783" spans="1:3" x14ac:dyDescent="0.25">
      <c r="A783" s="125" t="s">
        <v>197</v>
      </c>
      <c r="B783" s="125" t="s">
        <v>28277</v>
      </c>
      <c r="C783" s="125">
        <v>1</v>
      </c>
    </row>
    <row r="784" spans="1:3" x14ac:dyDescent="0.25">
      <c r="A784" s="125" t="s">
        <v>25359</v>
      </c>
      <c r="B784" s="125" t="s">
        <v>28372</v>
      </c>
      <c r="C784" s="125">
        <v>1</v>
      </c>
    </row>
    <row r="785" spans="1:3" x14ac:dyDescent="0.25">
      <c r="A785" s="125" t="s">
        <v>25359</v>
      </c>
      <c r="B785" s="125" t="s">
        <v>28330</v>
      </c>
      <c r="C785" s="125">
        <v>1</v>
      </c>
    </row>
    <row r="786" spans="1:3" x14ac:dyDescent="0.25">
      <c r="A786" s="125" t="s">
        <v>25526</v>
      </c>
      <c r="B786" s="125" t="s">
        <v>25333</v>
      </c>
      <c r="C786" s="125">
        <v>1</v>
      </c>
    </row>
    <row r="787" spans="1:3" x14ac:dyDescent="0.25">
      <c r="A787" s="125" t="s">
        <v>25462</v>
      </c>
      <c r="B787" s="125" t="s">
        <v>28281</v>
      </c>
      <c r="C787" s="125">
        <v>1</v>
      </c>
    </row>
    <row r="788" spans="1:3" x14ac:dyDescent="0.25">
      <c r="A788" s="125" t="s">
        <v>25526</v>
      </c>
      <c r="B788" s="125" t="s">
        <v>28240</v>
      </c>
      <c r="C788" s="125">
        <v>1</v>
      </c>
    </row>
    <row r="789" spans="1:3" x14ac:dyDescent="0.25">
      <c r="A789" s="125" t="s">
        <v>25340</v>
      </c>
      <c r="B789" s="125" t="s">
        <v>28311</v>
      </c>
      <c r="C789" s="125">
        <v>1</v>
      </c>
    </row>
    <row r="790" spans="1:3" x14ac:dyDescent="0.25">
      <c r="A790" s="125" t="s">
        <v>107</v>
      </c>
      <c r="B790" s="125" t="s">
        <v>28224</v>
      </c>
      <c r="C790" s="125">
        <v>1</v>
      </c>
    </row>
    <row r="791" spans="1:3" x14ac:dyDescent="0.25">
      <c r="A791" s="125" t="s">
        <v>25355</v>
      </c>
      <c r="B791" s="125" t="s">
        <v>25307</v>
      </c>
      <c r="C791" s="125">
        <v>1</v>
      </c>
    </row>
    <row r="792" spans="1:3" x14ac:dyDescent="0.25">
      <c r="A792" s="125" t="s">
        <v>25477</v>
      </c>
      <c r="B792" s="125" t="s">
        <v>28372</v>
      </c>
      <c r="C792" s="125">
        <v>1</v>
      </c>
    </row>
    <row r="793" spans="1:3" x14ac:dyDescent="0.25">
      <c r="A793" s="125" t="s">
        <v>58</v>
      </c>
      <c r="B793" s="125" t="s">
        <v>28281</v>
      </c>
      <c r="C793" s="125">
        <v>1</v>
      </c>
    </row>
    <row r="794" spans="1:3" x14ac:dyDescent="0.25">
      <c r="A794" s="125" t="s">
        <v>107</v>
      </c>
      <c r="B794" s="125" t="s">
        <v>28240</v>
      </c>
      <c r="C794" s="125">
        <v>1</v>
      </c>
    </row>
    <row r="795" spans="1:3" x14ac:dyDescent="0.25">
      <c r="A795" s="125" t="s">
        <v>215</v>
      </c>
      <c r="B795" s="125" t="s">
        <v>25333</v>
      </c>
      <c r="C795" s="125">
        <v>1</v>
      </c>
    </row>
    <row r="796" spans="1:3" x14ac:dyDescent="0.25">
      <c r="A796" s="125" t="s">
        <v>25426</v>
      </c>
      <c r="B796" s="125" t="s">
        <v>28369</v>
      </c>
      <c r="C796" s="125">
        <v>1</v>
      </c>
    </row>
    <row r="797" spans="1:3" x14ac:dyDescent="0.25">
      <c r="A797" s="125" t="s">
        <v>25465</v>
      </c>
      <c r="B797" s="125" t="s">
        <v>28226</v>
      </c>
      <c r="C797" s="125">
        <v>1</v>
      </c>
    </row>
    <row r="798" spans="1:3" x14ac:dyDescent="0.25">
      <c r="A798" s="125" t="s">
        <v>25474</v>
      </c>
      <c r="B798" s="125" t="s">
        <v>28225</v>
      </c>
      <c r="C798" s="125">
        <v>1</v>
      </c>
    </row>
    <row r="799" spans="1:3" x14ac:dyDescent="0.25">
      <c r="A799" s="125" t="s">
        <v>25353</v>
      </c>
      <c r="B799" s="125" t="s">
        <v>28219</v>
      </c>
      <c r="C799" s="125">
        <v>1</v>
      </c>
    </row>
    <row r="800" spans="1:3" x14ac:dyDescent="0.25">
      <c r="A800" s="125" t="s">
        <v>194</v>
      </c>
      <c r="B800" s="125" t="s">
        <v>28284</v>
      </c>
      <c r="C800" s="125">
        <v>1</v>
      </c>
    </row>
    <row r="801" spans="1:3" x14ac:dyDescent="0.25">
      <c r="A801" s="125" t="s">
        <v>25358</v>
      </c>
      <c r="B801" s="125" t="s">
        <v>28281</v>
      </c>
      <c r="C801" s="125">
        <v>1</v>
      </c>
    </row>
    <row r="802" spans="1:3" x14ac:dyDescent="0.25">
      <c r="A802" s="125" t="s">
        <v>52</v>
      </c>
      <c r="B802" s="125" t="s">
        <v>28245</v>
      </c>
      <c r="C802" s="125">
        <v>1</v>
      </c>
    </row>
    <row r="803" spans="1:3" x14ac:dyDescent="0.25">
      <c r="A803" s="125" t="s">
        <v>96</v>
      </c>
      <c r="B803" s="125" t="s">
        <v>28296</v>
      </c>
      <c r="C803" s="125">
        <v>1</v>
      </c>
    </row>
    <row r="804" spans="1:3" x14ac:dyDescent="0.25">
      <c r="A804" s="125" t="s">
        <v>25389</v>
      </c>
      <c r="B804" s="125" t="s">
        <v>28324</v>
      </c>
      <c r="C804" s="125">
        <v>1</v>
      </c>
    </row>
    <row r="805" spans="1:3" x14ac:dyDescent="0.25">
      <c r="A805" s="125" t="s">
        <v>25353</v>
      </c>
      <c r="B805" s="125" t="s">
        <v>28221</v>
      </c>
      <c r="C805" s="125">
        <v>1</v>
      </c>
    </row>
    <row r="806" spans="1:3" x14ac:dyDescent="0.25">
      <c r="A806" s="125" t="s">
        <v>25346</v>
      </c>
      <c r="B806" s="125" t="s">
        <v>28369</v>
      </c>
      <c r="C806" s="125">
        <v>1</v>
      </c>
    </row>
    <row r="807" spans="1:3" x14ac:dyDescent="0.25">
      <c r="A807" s="125" t="s">
        <v>25432</v>
      </c>
      <c r="B807" s="125" t="s">
        <v>28219</v>
      </c>
      <c r="C807" s="125">
        <v>1</v>
      </c>
    </row>
    <row r="808" spans="1:3" x14ac:dyDescent="0.25">
      <c r="A808" s="125" t="s">
        <v>25444</v>
      </c>
      <c r="B808" s="125" t="s">
        <v>28245</v>
      </c>
      <c r="C808" s="125">
        <v>1</v>
      </c>
    </row>
    <row r="809" spans="1:3" x14ac:dyDescent="0.25">
      <c r="A809" s="125" t="s">
        <v>25346</v>
      </c>
      <c r="B809" s="125" t="s">
        <v>28218</v>
      </c>
      <c r="C809" s="125">
        <v>1</v>
      </c>
    </row>
    <row r="810" spans="1:3" x14ac:dyDescent="0.25">
      <c r="A810" s="125" t="s">
        <v>25340</v>
      </c>
      <c r="B810" s="125" t="s">
        <v>28218</v>
      </c>
      <c r="C810" s="125">
        <v>1</v>
      </c>
    </row>
    <row r="811" spans="1:3" x14ac:dyDescent="0.25">
      <c r="A811" s="125" t="s">
        <v>25349</v>
      </c>
      <c r="B811" s="125" t="s">
        <v>25307</v>
      </c>
      <c r="C811" s="125">
        <v>1</v>
      </c>
    </row>
    <row r="812" spans="1:3" x14ac:dyDescent="0.25">
      <c r="A812" s="125" t="s">
        <v>25345</v>
      </c>
      <c r="B812" s="125" t="s">
        <v>28221</v>
      </c>
      <c r="C812" s="125">
        <v>1</v>
      </c>
    </row>
    <row r="813" spans="1:3" x14ac:dyDescent="0.25">
      <c r="A813" s="125" t="s">
        <v>25426</v>
      </c>
      <c r="B813" s="125" t="s">
        <v>28297</v>
      </c>
      <c r="C813" s="125">
        <v>1</v>
      </c>
    </row>
    <row r="814" spans="1:3" x14ac:dyDescent="0.25">
      <c r="A814" s="125" t="s">
        <v>25344</v>
      </c>
      <c r="B814" s="125" t="s">
        <v>28243</v>
      </c>
      <c r="C814" s="125">
        <v>1</v>
      </c>
    </row>
    <row r="815" spans="1:3" x14ac:dyDescent="0.25">
      <c r="A815" s="125" t="s">
        <v>25340</v>
      </c>
      <c r="B815" s="125" t="s">
        <v>28235</v>
      </c>
      <c r="C815" s="125">
        <v>1</v>
      </c>
    </row>
    <row r="816" spans="1:3" x14ac:dyDescent="0.25">
      <c r="A816" s="125" t="s">
        <v>25368</v>
      </c>
      <c r="B816" s="125" t="s">
        <v>25307</v>
      </c>
      <c r="C816" s="125">
        <v>1</v>
      </c>
    </row>
    <row r="817" spans="1:3" x14ac:dyDescent="0.25">
      <c r="A817" s="125" t="s">
        <v>25386</v>
      </c>
      <c r="B817" s="125" t="s">
        <v>28324</v>
      </c>
      <c r="C817" s="125">
        <v>1</v>
      </c>
    </row>
    <row r="818" spans="1:3" x14ac:dyDescent="0.25">
      <c r="A818" s="125" t="s">
        <v>52</v>
      </c>
      <c r="B818" s="125" t="s">
        <v>28224</v>
      </c>
      <c r="C818" s="125">
        <v>1</v>
      </c>
    </row>
    <row r="819" spans="1:3" x14ac:dyDescent="0.25">
      <c r="A819" s="125" t="s">
        <v>42</v>
      </c>
      <c r="B819" s="125" t="s">
        <v>28240</v>
      </c>
      <c r="C819" s="125">
        <v>1</v>
      </c>
    </row>
    <row r="820" spans="1:3" x14ac:dyDescent="0.25">
      <c r="A820" s="125" t="s">
        <v>25360</v>
      </c>
      <c r="B820" s="125" t="s">
        <v>28224</v>
      </c>
      <c r="C820" s="125">
        <v>1</v>
      </c>
    </row>
    <row r="821" spans="1:3" x14ac:dyDescent="0.25">
      <c r="A821" s="125" t="s">
        <v>28402</v>
      </c>
      <c r="B821" s="125" t="s">
        <v>28239</v>
      </c>
      <c r="C821" s="125">
        <v>1</v>
      </c>
    </row>
    <row r="822" spans="1:3" x14ac:dyDescent="0.25">
      <c r="A822" s="125" t="s">
        <v>25350</v>
      </c>
      <c r="B822" s="125" t="s">
        <v>28284</v>
      </c>
      <c r="C822" s="125">
        <v>1</v>
      </c>
    </row>
    <row r="823" spans="1:3" x14ac:dyDescent="0.25">
      <c r="A823" s="125" t="s">
        <v>25349</v>
      </c>
      <c r="B823" s="125" t="s">
        <v>28308</v>
      </c>
      <c r="C823" s="125">
        <v>1</v>
      </c>
    </row>
    <row r="824" spans="1:3" x14ac:dyDescent="0.25">
      <c r="A824" s="125" t="s">
        <v>25351</v>
      </c>
      <c r="B824" s="125" t="s">
        <v>28311</v>
      </c>
      <c r="C824" s="125">
        <v>1</v>
      </c>
    </row>
    <row r="825" spans="1:3" x14ac:dyDescent="0.25">
      <c r="A825" s="125" t="s">
        <v>25339</v>
      </c>
      <c r="B825" s="125" t="s">
        <v>28281</v>
      </c>
      <c r="C825" s="125">
        <v>1</v>
      </c>
    </row>
    <row r="826" spans="1:3" x14ac:dyDescent="0.25">
      <c r="A826" s="125" t="s">
        <v>25428</v>
      </c>
      <c r="B826" s="125" t="s">
        <v>28311</v>
      </c>
      <c r="C826" s="125">
        <v>1</v>
      </c>
    </row>
    <row r="827" spans="1:3" x14ac:dyDescent="0.25">
      <c r="A827" s="125" t="s">
        <v>25368</v>
      </c>
      <c r="B827" s="125" t="s">
        <v>28224</v>
      </c>
      <c r="C827" s="125">
        <v>1</v>
      </c>
    </row>
    <row r="828" spans="1:3" x14ac:dyDescent="0.25">
      <c r="A828" s="125" t="s">
        <v>28520</v>
      </c>
      <c r="B828" s="125" t="s">
        <v>28269</v>
      </c>
      <c r="C828" s="125">
        <v>1</v>
      </c>
    </row>
    <row r="829" spans="1:3" x14ac:dyDescent="0.25">
      <c r="A829" s="125" t="s">
        <v>25479</v>
      </c>
      <c r="B829" s="125" t="s">
        <v>28276</v>
      </c>
      <c r="C829" s="125">
        <v>1</v>
      </c>
    </row>
    <row r="830" spans="1:3" x14ac:dyDescent="0.25">
      <c r="A830" s="125" t="s">
        <v>25355</v>
      </c>
      <c r="B830" s="125" t="s">
        <v>28281</v>
      </c>
      <c r="C830" s="125">
        <v>1</v>
      </c>
    </row>
    <row r="831" spans="1:3" x14ac:dyDescent="0.25">
      <c r="A831" s="125" t="s">
        <v>28521</v>
      </c>
      <c r="B831" s="125" t="s">
        <v>28232</v>
      </c>
      <c r="C831" s="125">
        <v>1</v>
      </c>
    </row>
    <row r="832" spans="1:3" x14ac:dyDescent="0.25">
      <c r="A832" s="125" t="s">
        <v>29568</v>
      </c>
      <c r="B832" s="125" t="s">
        <v>28276</v>
      </c>
      <c r="C832" s="125">
        <v>1</v>
      </c>
    </row>
    <row r="833" spans="1:3" x14ac:dyDescent="0.25">
      <c r="A833" s="125" t="s">
        <v>29569</v>
      </c>
      <c r="B833" s="125" t="s">
        <v>28269</v>
      </c>
      <c r="C833" s="125">
        <v>1</v>
      </c>
    </row>
    <row r="834" spans="1:3" x14ac:dyDescent="0.25">
      <c r="A834" s="125" t="s">
        <v>29570</v>
      </c>
      <c r="B834" s="125" t="s">
        <v>28353</v>
      </c>
      <c r="C834" s="125">
        <v>1</v>
      </c>
    </row>
    <row r="835" spans="1:3" x14ac:dyDescent="0.25">
      <c r="A835" s="125" t="s">
        <v>29571</v>
      </c>
      <c r="B835" s="125" t="s">
        <v>28395</v>
      </c>
      <c r="C835" s="125">
        <v>1</v>
      </c>
    </row>
    <row r="836" spans="1:3" x14ac:dyDescent="0.25">
      <c r="A836" s="125" t="s">
        <v>29572</v>
      </c>
      <c r="B836" s="125" t="s">
        <v>28232</v>
      </c>
      <c r="C836" s="125">
        <v>1</v>
      </c>
    </row>
    <row r="837" spans="1:3" x14ac:dyDescent="0.25">
      <c r="A837" s="125" t="s">
        <v>29573</v>
      </c>
      <c r="B837" s="125" t="s">
        <v>28272</v>
      </c>
      <c r="C837" s="125">
        <v>1</v>
      </c>
    </row>
    <row r="838" spans="1:3" x14ac:dyDescent="0.25">
      <c r="A838" s="125" t="s">
        <v>29574</v>
      </c>
      <c r="B838" s="125" t="s">
        <v>28354</v>
      </c>
      <c r="C838" s="125">
        <v>1</v>
      </c>
    </row>
    <row r="839" spans="1:3" x14ac:dyDescent="0.25">
      <c r="A839" s="125" t="s">
        <v>29575</v>
      </c>
      <c r="B839" s="125" t="s">
        <v>28236</v>
      </c>
      <c r="C839" s="125">
        <v>1</v>
      </c>
    </row>
    <row r="840" spans="1:3" x14ac:dyDescent="0.25">
      <c r="A840" s="125" t="s">
        <v>29576</v>
      </c>
      <c r="B840" s="125" t="s">
        <v>28399</v>
      </c>
      <c r="C840" s="125">
        <v>1</v>
      </c>
    </row>
    <row r="841" spans="1:3" x14ac:dyDescent="0.25">
      <c r="A841" s="125" t="s">
        <v>29577</v>
      </c>
      <c r="B841" s="125" t="s">
        <v>28283</v>
      </c>
      <c r="C841" s="125">
        <v>1</v>
      </c>
    </row>
    <row r="842" spans="1:3" x14ac:dyDescent="0.25">
      <c r="A842" s="125" t="s">
        <v>29578</v>
      </c>
      <c r="B842" s="125" t="s">
        <v>28258</v>
      </c>
      <c r="C842" s="125">
        <v>1</v>
      </c>
    </row>
    <row r="843" spans="1:3" x14ac:dyDescent="0.25">
      <c r="A843" s="125" t="s">
        <v>29579</v>
      </c>
      <c r="B843" s="125" t="s">
        <v>28317</v>
      </c>
      <c r="C843" s="125">
        <v>1</v>
      </c>
    </row>
    <row r="844" spans="1:3" x14ac:dyDescent="0.25">
      <c r="A844" s="125" t="s">
        <v>29580</v>
      </c>
      <c r="B844" s="125" t="s">
        <v>28382</v>
      </c>
      <c r="C844" s="125">
        <v>1</v>
      </c>
    </row>
    <row r="845" spans="1:3" x14ac:dyDescent="0.25">
      <c r="A845" s="125" t="s">
        <v>29581</v>
      </c>
      <c r="B845" s="125" t="s">
        <v>28264</v>
      </c>
      <c r="C845" s="125">
        <v>1</v>
      </c>
    </row>
    <row r="846" spans="1:3" x14ac:dyDescent="0.25">
      <c r="A846" s="125" t="s">
        <v>194</v>
      </c>
      <c r="B846" s="125" t="s">
        <v>28253</v>
      </c>
      <c r="C846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6"/>
  <sheetViews>
    <sheetView showGridLines="0" workbookViewId="0">
      <selection activeCell="E23" sqref="E23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28517</v>
      </c>
      <c r="B23" s="135">
        <v>1</v>
      </c>
    </row>
    <row r="24" spans="1:2" x14ac:dyDescent="0.25">
      <c r="A24" s="136" t="s">
        <v>29583</v>
      </c>
      <c r="B24" s="135">
        <v>1</v>
      </c>
    </row>
    <row r="25" spans="1:2" x14ac:dyDescent="0.25">
      <c r="A25" s="136" t="s">
        <v>29585</v>
      </c>
      <c r="B25" s="135">
        <v>1</v>
      </c>
    </row>
    <row r="26" spans="1:2" x14ac:dyDescent="0.25">
      <c r="A26" s="136" t="s">
        <v>28407</v>
      </c>
      <c r="B26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5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28517</v>
      </c>
      <c r="B22" s="34" t="s">
        <v>28519</v>
      </c>
    </row>
    <row r="23" spans="1:2" x14ac:dyDescent="0.25">
      <c r="A23" s="34" t="s">
        <v>29583</v>
      </c>
      <c r="B23" s="34" t="s">
        <v>29584</v>
      </c>
    </row>
    <row r="24" spans="1:2" x14ac:dyDescent="0.25">
      <c r="A24" s="34" t="s">
        <v>29585</v>
      </c>
      <c r="B24" s="34" t="s">
        <v>29586</v>
      </c>
    </row>
    <row r="25" spans="1:2" x14ac:dyDescent="0.25">
      <c r="A25" s="34" t="s">
        <v>28407</v>
      </c>
      <c r="B25" s="34" t="s">
        <v>28430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N5" sqref="N5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28429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29564</v>
      </c>
      <c r="B2" s="80" t="s">
        <v>29565</v>
      </c>
      <c r="C2" s="80" t="s">
        <v>31</v>
      </c>
      <c r="D2" s="80" t="s">
        <v>39</v>
      </c>
      <c r="E2" s="80" t="s">
        <v>29566</v>
      </c>
      <c r="F2" s="80" t="s">
        <v>91</v>
      </c>
      <c r="G2" s="80" t="s">
        <v>29566</v>
      </c>
      <c r="H2" s="80" t="s">
        <v>29567</v>
      </c>
      <c r="I2" s="80" t="s">
        <v>28228</v>
      </c>
      <c r="J2" s="83" t="s">
        <v>29582</v>
      </c>
      <c r="K2" s="80" t="s">
        <v>264</v>
      </c>
      <c r="L2" s="80" t="s">
        <v>25606</v>
      </c>
      <c r="M2" s="80" t="s">
        <v>26662</v>
      </c>
      <c r="N2" s="80">
        <v>975.8</v>
      </c>
      <c r="O2" s="80"/>
      <c r="P2" s="80"/>
      <c r="Q2" s="80"/>
      <c r="R2" s="146"/>
      <c r="S2" s="103" t="str">
        <f>A2&amp;"-"&amp;T2</f>
        <v>95-008-65-</v>
      </c>
    </row>
    <row r="3" spans="1:45" ht="15" customHeight="1" x14ac:dyDescent="0.2">
      <c r="Q3" s="80"/>
      <c r="R3" s="146"/>
    </row>
    <row r="4" spans="1:45" ht="15" customHeight="1" x14ac:dyDescent="0.2">
      <c r="Q4" s="80"/>
      <c r="R4" s="146"/>
    </row>
    <row r="5" spans="1:45" ht="15" customHeight="1" x14ac:dyDescent="0.2">
      <c r="Q5" s="80"/>
      <c r="R5" s="146"/>
    </row>
    <row r="6" spans="1:45" ht="15" customHeight="1" x14ac:dyDescent="0.2">
      <c r="Q6" s="80"/>
      <c r="R6" s="146"/>
    </row>
    <row r="7" spans="1:45" ht="15" customHeight="1" x14ac:dyDescent="0.2">
      <c r="Q7" s="80"/>
      <c r="R7" s="146"/>
    </row>
    <row r="8" spans="1:45" ht="15" customHeight="1" x14ac:dyDescent="0.2">
      <c r="Q8" s="80"/>
      <c r="R8" s="146"/>
    </row>
    <row r="9" spans="1:45" ht="15" customHeight="1" x14ac:dyDescent="0.2">
      <c r="Q9" s="80"/>
      <c r="R9" s="146"/>
    </row>
    <row r="10" spans="1:45" ht="15" customHeight="1" x14ac:dyDescent="0.2">
      <c r="Q10" s="80"/>
      <c r="R10" s="146"/>
    </row>
    <row r="11" spans="1:45" ht="15" customHeight="1" x14ac:dyDescent="0.2">
      <c r="Q11" s="80"/>
      <c r="R11" s="146"/>
    </row>
    <row r="12" spans="1:45" ht="15" customHeight="1" x14ac:dyDescent="0.2">
      <c r="Q12" s="80"/>
      <c r="R12" s="146"/>
    </row>
    <row r="13" spans="1:45" ht="15" customHeight="1" x14ac:dyDescent="0.2">
      <c r="A13" s="80"/>
      <c r="I13" s="80"/>
      <c r="Q13" s="80"/>
      <c r="R13" s="146"/>
    </row>
    <row r="14" spans="1:45" ht="15" customHeight="1" x14ac:dyDescent="0.2">
      <c r="Q14" s="80"/>
      <c r="R14" s="146"/>
    </row>
    <row r="15" spans="1:45" ht="15" customHeight="1" x14ac:dyDescent="0.2">
      <c r="Q15" s="80"/>
      <c r="R15" s="146"/>
    </row>
    <row r="16" spans="1:45" ht="15" customHeight="1" x14ac:dyDescent="0.2">
      <c r="Q16" s="80"/>
      <c r="R16" s="146"/>
    </row>
    <row r="17" spans="17:18" ht="15" customHeight="1" x14ac:dyDescent="0.2">
      <c r="Q17" s="80"/>
      <c r="R17" s="146"/>
    </row>
    <row r="18" spans="17:18" ht="15" customHeight="1" x14ac:dyDescent="0.2">
      <c r="Q18" s="80"/>
      <c r="R18" s="146"/>
    </row>
    <row r="19" spans="17:18" ht="15" customHeight="1" x14ac:dyDescent="0.2">
      <c r="Q19" s="80"/>
      <c r="R19" s="146"/>
    </row>
    <row r="20" spans="17:18" ht="15" customHeight="1" x14ac:dyDescent="0.2">
      <c r="Q20" s="80"/>
      <c r="R20" s="146"/>
    </row>
    <row r="21" spans="17:18" ht="15" customHeight="1" x14ac:dyDescent="0.2">
      <c r="Q21" s="80"/>
      <c r="R21" s="146"/>
    </row>
    <row r="22" spans="17:18" ht="15" customHeight="1" x14ac:dyDescent="0.2">
      <c r="Q22" s="80"/>
      <c r="R22" s="146"/>
    </row>
    <row r="23" spans="17:18" ht="15" customHeight="1" x14ac:dyDescent="0.2">
      <c r="Q23" s="80"/>
      <c r="R23" s="146"/>
    </row>
    <row r="24" spans="17:18" ht="15" customHeight="1" x14ac:dyDescent="0.2">
      <c r="Q24" s="80"/>
      <c r="R24" s="146"/>
    </row>
    <row r="25" spans="17:18" ht="15" customHeight="1" x14ac:dyDescent="0.2">
      <c r="Q25" s="80"/>
      <c r="R25" s="146"/>
    </row>
    <row r="26" spans="17:18" ht="15" customHeight="1" x14ac:dyDescent="0.2">
      <c r="Q26" s="80"/>
      <c r="R26" s="146"/>
    </row>
    <row r="27" spans="17:18" ht="15" customHeight="1" x14ac:dyDescent="0.2">
      <c r="Q27" s="80"/>
      <c r="R27" s="146"/>
    </row>
    <row r="28" spans="17:18" ht="15" customHeight="1" x14ac:dyDescent="0.2">
      <c r="Q28" s="80"/>
      <c r="R28" s="146"/>
    </row>
    <row r="29" spans="17:18" ht="15" customHeight="1" x14ac:dyDescent="0.2">
      <c r="Q29" s="80"/>
      <c r="R29" s="146"/>
    </row>
    <row r="30" spans="17:18" ht="15" customHeight="1" x14ac:dyDescent="0.2">
      <c r="Q30" s="80"/>
      <c r="R30" s="146"/>
    </row>
    <row r="31" spans="17:18" ht="15" customHeight="1" x14ac:dyDescent="0.2">
      <c r="Q31" s="80"/>
      <c r="R31" s="146"/>
    </row>
    <row r="32" spans="17:18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P1:U1"/>
  <sheetViews>
    <sheetView workbookViewId="0">
      <pane ySplit="1" topLeftCell="A2" activePane="bottomLeft" state="frozen"/>
      <selection activeCell="C1" sqref="C1"/>
      <selection pane="bottomLeft" activeCell="E21" sqref="E21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6.285156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tabSelected="1" workbookViewId="0">
      <selection activeCell="D15" sqref="D15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>
        <f>Строчный!S1</f>
        <v>0</v>
      </c>
    </row>
    <row r="2" spans="1:3" x14ac:dyDescent="0.2">
      <c r="A2" s="67" t="str">
        <f>Форма!G1</f>
        <v>Производитель</v>
      </c>
      <c r="B2" s="67" t="str">
        <f>Форма!$G$2</f>
        <v>ERR</v>
      </c>
      <c r="C2" s="67" t="str">
        <f>_xlfn.LET(_xlpm.Letter,LEFT(ADDRESS(1,COLUMN(Строчный!S1),4,1,)),"Строчный!"&amp;_xlpm.Letter&amp;"1:"&amp;_xlpm.Letter&amp;COUNTA(Строчный!S:S))</f>
        <v>Строчный!S1:S0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tr">
        <f>Форма!N1</f>
        <v>Лига</v>
      </c>
    </row>
    <row r="24" spans="1:1" x14ac:dyDescent="0.2">
      <c r="A24" s="67" t="str">
        <f>Форма!O1</f>
        <v>Команда</v>
      </c>
    </row>
    <row r="25" spans="1:1" x14ac:dyDescent="0.2">
      <c r="A25" s="67" t="e">
        <f ca="1">Форма!AA1</f>
        <v>#REF!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2022-04-01T09:03:20Z</dcterms:modified>
</cp:coreProperties>
</file>