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Fredrikson\"/>
    </mc:Choice>
  </mc:AlternateContent>
  <xr:revisionPtr revIDLastSave="0" documentId="13_ncr:1_{F43469D8-97B2-43B6-901C-CF495B857FC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0" i="1" l="1"/>
  <c r="L70" i="1" s="1"/>
  <c r="K69" i="1"/>
  <c r="L69" i="1" s="1"/>
  <c r="K68" i="1"/>
  <c r="L68" i="1" s="1"/>
  <c r="K67" i="1"/>
  <c r="L67" i="1" s="1"/>
  <c r="K66" i="1"/>
  <c r="L66" i="1" s="1"/>
  <c r="K65" i="1"/>
  <c r="L65" i="1" s="1"/>
  <c r="K64" i="1"/>
  <c r="L64" i="1" s="1"/>
  <c r="K63" i="1"/>
  <c r="L63" i="1" s="1"/>
  <c r="K62" i="1"/>
  <c r="L62" i="1" s="1"/>
  <c r="K61" i="1"/>
  <c r="L61" i="1" s="1"/>
  <c r="K60" i="1"/>
  <c r="L60" i="1" s="1"/>
  <c r="K59" i="1"/>
  <c r="L59" i="1" s="1"/>
  <c r="K58" i="1"/>
  <c r="L58" i="1" s="1"/>
  <c r="K57" i="1"/>
  <c r="L57" i="1" s="1"/>
  <c r="K56" i="1"/>
  <c r="L56" i="1" s="1"/>
  <c r="K55" i="1"/>
  <c r="L55" i="1" s="1"/>
  <c r="K54" i="1"/>
  <c r="L54" i="1" s="1"/>
  <c r="K53" i="1"/>
  <c r="L53" i="1" s="1"/>
  <c r="K52" i="1"/>
  <c r="L52" i="1" s="1"/>
  <c r="K51" i="1"/>
  <c r="L51" i="1" s="1"/>
  <c r="K50" i="1"/>
  <c r="L50" i="1" s="1"/>
  <c r="K49" i="1"/>
  <c r="L49" i="1" s="1"/>
  <c r="K48" i="1"/>
  <c r="L48" i="1" s="1"/>
  <c r="K47" i="1"/>
  <c r="L47" i="1" s="1"/>
  <c r="K46" i="1"/>
  <c r="L46" i="1" s="1"/>
  <c r="K45" i="1"/>
  <c r="L45" i="1" s="1"/>
  <c r="K44" i="1"/>
  <c r="L44" i="1" s="1"/>
  <c r="K43" i="1"/>
  <c r="L43" i="1" s="1"/>
  <c r="K42" i="1"/>
  <c r="L42" i="1" s="1"/>
  <c r="K41" i="1"/>
  <c r="L41" i="1" s="1"/>
  <c r="K40" i="1"/>
  <c r="L40" i="1" s="1"/>
  <c r="K39" i="1"/>
  <c r="L39" i="1" s="1"/>
  <c r="K38" i="1"/>
  <c r="L38" i="1" s="1"/>
  <c r="K37" i="1"/>
  <c r="L37" i="1" s="1"/>
  <c r="K36" i="1"/>
  <c r="L36" i="1" s="1"/>
  <c r="K35" i="1"/>
  <c r="L35" i="1" s="1"/>
  <c r="K34" i="1"/>
  <c r="L34" i="1" s="1"/>
  <c r="K33" i="1"/>
  <c r="L33" i="1" s="1"/>
  <c r="K32" i="1"/>
  <c r="L32" i="1" s="1"/>
  <c r="K31" i="1"/>
  <c r="L31" i="1" s="1"/>
  <c r="K30" i="1"/>
  <c r="L30" i="1" s="1"/>
  <c r="K29" i="1"/>
  <c r="L29" i="1" s="1"/>
  <c r="K28" i="1"/>
  <c r="L28" i="1" s="1"/>
  <c r="K27" i="1"/>
  <c r="L27" i="1" s="1"/>
  <c r="K26" i="1"/>
  <c r="L26" i="1" s="1"/>
  <c r="K25" i="1"/>
  <c r="L25" i="1" s="1"/>
  <c r="K24" i="1"/>
  <c r="L24" i="1" s="1"/>
  <c r="K23" i="1"/>
  <c r="L23" i="1" s="1"/>
  <c r="K22" i="1"/>
  <c r="L22" i="1" s="1"/>
  <c r="K21" i="1"/>
  <c r="L21" i="1" s="1"/>
  <c r="K20" i="1"/>
  <c r="L20" i="1" s="1"/>
  <c r="K19" i="1"/>
  <c r="L19" i="1" s="1"/>
  <c r="K18" i="1"/>
  <c r="L18" i="1" s="1"/>
  <c r="K17" i="1"/>
  <c r="L17" i="1" s="1"/>
  <c r="K16" i="1"/>
  <c r="L16" i="1" s="1"/>
  <c r="K15" i="1"/>
  <c r="L15" i="1" s="1"/>
  <c r="K14" i="1"/>
  <c r="L14" i="1" s="1"/>
  <c r="K13" i="1"/>
  <c r="L13" i="1" s="1"/>
  <c r="K12" i="1"/>
  <c r="L12" i="1" s="1"/>
  <c r="K11" i="1"/>
  <c r="L11" i="1" s="1"/>
  <c r="K10" i="1"/>
  <c r="L10" i="1" s="1"/>
  <c r="K9" i="1"/>
  <c r="L9" i="1" s="1"/>
  <c r="K8" i="1"/>
  <c r="L8" i="1" s="1"/>
  <c r="K7" i="1"/>
  <c r="L7" i="1" s="1"/>
  <c r="K6" i="1"/>
  <c r="L6" i="1" s="1"/>
  <c r="K5" i="1"/>
  <c r="L5" i="1" s="1"/>
  <c r="K4" i="1"/>
  <c r="L4" i="1" s="1"/>
  <c r="K3" i="1"/>
  <c r="L3" i="1" s="1"/>
</calcChain>
</file>

<file path=xl/sharedStrings.xml><?xml version="1.0" encoding="utf-8"?>
<sst xmlns="http://schemas.openxmlformats.org/spreadsheetml/2006/main" count="87" uniqueCount="80">
  <si>
    <t>Фото товара</t>
  </si>
  <si>
    <t>Наименование товара</t>
  </si>
  <si>
    <t>р. 56</t>
  </si>
  <si>
    <t>р. 57</t>
  </si>
  <si>
    <t>р. 58</t>
  </si>
  <si>
    <t>р. 59</t>
  </si>
  <si>
    <t>р. 60</t>
  </si>
  <si>
    <t>р. 61</t>
  </si>
  <si>
    <t>р. 62</t>
  </si>
  <si>
    <t>Кол-во по модели, шт</t>
  </si>
  <si>
    <t>Модель 3215-624/70 Бейсболка м.</t>
  </si>
  <si>
    <t>Модель 3215-630/77 Бейсболка м.</t>
  </si>
  <si>
    <t>Модель 3215-652/72 Бейсболка м.</t>
  </si>
  <si>
    <t>Модель 3215-667/20 Бейсболка м.</t>
  </si>
  <si>
    <t>Модель 3215-707/20 Бейсболка м.</t>
  </si>
  <si>
    <t>Модель 3217-632/20-673/21 Бейсболка м.</t>
  </si>
  <si>
    <t>Модель 3217-685/25 Бейсболка м.</t>
  </si>
  <si>
    <t>Модель 3265-685/55 Бейсболка м.</t>
  </si>
  <si>
    <t>Модель 3276-652/72 Бейсболка м.</t>
  </si>
  <si>
    <t>Модель 3160-665/76 Кепка м.</t>
  </si>
  <si>
    <t>Модель 3160-677/79 Кепка м.</t>
  </si>
  <si>
    <t>Модель 3160-686/55 Кепка м.</t>
  </si>
  <si>
    <t>Модель 3160-698/23 Кепка м.</t>
  </si>
  <si>
    <t>Модель 3030-632/23 Кепка м.</t>
  </si>
  <si>
    <t>Модель 3035-630/23 Кепка м.</t>
  </si>
  <si>
    <t>Модель 3035-707/20 Кепка м.</t>
  </si>
  <si>
    <t>Модель 3080-667/20 Кепка м.</t>
  </si>
  <si>
    <t>Модель 3101-624/25 Кепка м.</t>
  </si>
  <si>
    <t>Модель 3101-684/44 Кепка м.</t>
  </si>
  <si>
    <t>Модель 3101-685/15 Кепка м.</t>
  </si>
  <si>
    <t>Модель 3101-699/79 Кепка м.</t>
  </si>
  <si>
    <t>Модель 3109-646/79 Кепка м.</t>
  </si>
  <si>
    <t>Модель 3142-652/72 Кепка м.</t>
  </si>
  <si>
    <t>Модель 3142-657/27 Кепка м.</t>
  </si>
  <si>
    <t>Модель 3142-707/20 Кепка м.</t>
  </si>
  <si>
    <t>Модель 3147-608/53 Кепка м.</t>
  </si>
  <si>
    <t>Модель 3147-626/78 Кепка м.</t>
  </si>
  <si>
    <t>Модель 3147-641/76 Кепка м.</t>
  </si>
  <si>
    <t>Модель 3147-685/55 Кепка м.</t>
  </si>
  <si>
    <t>Модель 3155-624/70 Кепка м.</t>
  </si>
  <si>
    <t>Модель 3155-657/27 Кепка м.</t>
  </si>
  <si>
    <t>Модель 3190-608/53 Кепка м.</t>
  </si>
  <si>
    <t>Модель 3190-612/29 Кепка м.</t>
  </si>
  <si>
    <t>Модель 3190-630/77 Кепка м.</t>
  </si>
  <si>
    <t>Модель 3190-640/51 Кепка м.</t>
  </si>
  <si>
    <t>Модель 3190-652/72 Кепка м.</t>
  </si>
  <si>
    <t>Модель 3190-657/27 Кепка м.</t>
  </si>
  <si>
    <t>Модель 3190-684/29 Кепка м.</t>
  </si>
  <si>
    <t>Модель 3190-685/15 Кепка м.</t>
  </si>
  <si>
    <t>Модель 3190-685/55 Кепка м.</t>
  </si>
  <si>
    <t>Модель 3190-698/23 Кепка м.</t>
  </si>
  <si>
    <t>Модель 3190-699/51 Кепка м.</t>
  </si>
  <si>
    <t>Модель 3190-709/21 Кепка м.</t>
  </si>
  <si>
    <t>Модель 3190-79 Кепка м.</t>
  </si>
  <si>
    <t>Модель 3192-707/20 Кепка м.</t>
  </si>
  <si>
    <t>Модель 3122-640/79 Кепка м.</t>
  </si>
  <si>
    <t>Модель 3122-684/29 Кепка м.</t>
  </si>
  <si>
    <t>Модель 3122-685/15 Кепка м.</t>
  </si>
  <si>
    <t>Модель 3125-619/23 Кепка м.</t>
  </si>
  <si>
    <t>Модель 3125-624/25 Кепка м.</t>
  </si>
  <si>
    <t>Модель 3125-630/77 Кепка м.</t>
  </si>
  <si>
    <t>Модель 3125-640/71 Кепка м.</t>
  </si>
  <si>
    <t>Модель 3125-657/27 Кепка м.</t>
  </si>
  <si>
    <t>Модель 3125-678/76 Кепка м.</t>
  </si>
  <si>
    <t>Модель 3125-684/44 Кепка м.</t>
  </si>
  <si>
    <t>Модель 3125-699/51 Кепка м.</t>
  </si>
  <si>
    <t>Модель 3260-682/71 Бейсболка м.</t>
  </si>
  <si>
    <t>Модель 3260-685/15 Бейсболка м.</t>
  </si>
  <si>
    <t>Модель 3260-686/55 Бейсболка м.</t>
  </si>
  <si>
    <t>Модель 3260-688/40 Бейсболка м.</t>
  </si>
  <si>
    <t>Модель 3260-688/50 Бейсболка м.</t>
  </si>
  <si>
    <t>Модель 3045-624/91 Кепка м.</t>
  </si>
  <si>
    <t>Модель 3614-624/91 Картуз м.</t>
  </si>
  <si>
    <t>Модель 3363-624/70 Шляпа м.</t>
  </si>
  <si>
    <t>Модель 3363-698/23 Шляпа м.</t>
  </si>
  <si>
    <t>Модель 3363-698/55 Шляпа м.</t>
  </si>
  <si>
    <t>Цена</t>
  </si>
  <si>
    <t>Сумма</t>
  </si>
  <si>
    <t>Модель 3215-684/29 Бейсболка м.</t>
  </si>
  <si>
    <t>Модель 3614-625/91 Картуз 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</si>
</sst>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₽&quot;_-;\-* #,##0.00\ &quot;₽&quot;_-;_-* &quot;-&quot;??\ &quot;₽&quot;_-;_-@_-"/>
    <numFmt numFmtId="164" formatCode="_-* #,##0\ &quot;₽&quot;_-;\-* #,##0\ &quot;₽&quot;_-;_-* &quot;-&quot;??\ &quot;₽&quot;_-;_-@_-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5">
    <xf numFmtId="0" fontId="0" fillId="0" borderId="0" xfId="0"/>
    <xf numFmtId="0" fontId="0" fillId="2" borderId="1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4" fontId="0" fillId="0" borderId="1" xfId="1" applyNumberFormat="1" applyFon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164" fontId="0" fillId="2" borderId="2" xfId="1" applyNumberFormat="1" applyFont="1" applyFill="1" applyBorder="1" applyAlignment="1">
      <alignment horizontal="center" vertical="center" wrapText="1"/>
    </xf>
    <xf numFmtId="164" fontId="0" fillId="2" borderId="3" xfId="1" applyNumberFormat="1" applyFont="1" applyFill="1" applyBorder="1" applyAlignment="1">
      <alignment horizontal="center" vertical="center" wrapText="1"/>
    </xf>
  </cellXfs>
  <cellStyles count="2">
    <cellStyle name="Денежный" xfId="1" builtinId="4"/>
    <cellStyle name="Обычный" xfId="0" builtinId="0"/>
  </cellStyles>
  <dxfs count="2">
    <dxf>
      <font>
        <color rgb="FF006100"/>
      </font>
      <fill>
        <patternFill>
          <bgColor rgb="FFC6EFCE"/>
        </patternFill>
      </fill>
    </dxf>
    <dxf>
      <fill>
        <patternFill>
          <bgColor theme="5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26" Type="http://schemas.openxmlformats.org/officeDocument/2006/relationships/image" Target="../media/image26.JPG"/><Relationship Id="rId39" Type="http://schemas.openxmlformats.org/officeDocument/2006/relationships/image" Target="../media/image39.JPG"/><Relationship Id="rId21" Type="http://schemas.openxmlformats.org/officeDocument/2006/relationships/image" Target="../media/image21.JPG"/><Relationship Id="rId34" Type="http://schemas.openxmlformats.org/officeDocument/2006/relationships/image" Target="../media/image34.JPG"/><Relationship Id="rId42" Type="http://schemas.openxmlformats.org/officeDocument/2006/relationships/image" Target="../media/image42.JPG"/><Relationship Id="rId47" Type="http://schemas.openxmlformats.org/officeDocument/2006/relationships/image" Target="../media/image47.JPG"/><Relationship Id="rId50" Type="http://schemas.openxmlformats.org/officeDocument/2006/relationships/image" Target="../media/image50.JPG"/><Relationship Id="rId55" Type="http://schemas.openxmlformats.org/officeDocument/2006/relationships/image" Target="../media/image55.JPG"/><Relationship Id="rId7" Type="http://schemas.openxmlformats.org/officeDocument/2006/relationships/image" Target="../media/image7.JPG"/><Relationship Id="rId2" Type="http://schemas.openxmlformats.org/officeDocument/2006/relationships/image" Target="../media/image2.JPG"/><Relationship Id="rId16" Type="http://schemas.openxmlformats.org/officeDocument/2006/relationships/image" Target="../media/image16.JPG"/><Relationship Id="rId29" Type="http://schemas.openxmlformats.org/officeDocument/2006/relationships/image" Target="../media/image29.JPG"/><Relationship Id="rId11" Type="http://schemas.openxmlformats.org/officeDocument/2006/relationships/image" Target="../media/image11.JPG"/><Relationship Id="rId24" Type="http://schemas.openxmlformats.org/officeDocument/2006/relationships/image" Target="../media/image24.JPG"/><Relationship Id="rId32" Type="http://schemas.openxmlformats.org/officeDocument/2006/relationships/image" Target="../media/image32.JPG"/><Relationship Id="rId37" Type="http://schemas.openxmlformats.org/officeDocument/2006/relationships/image" Target="../media/image37.JPG"/><Relationship Id="rId40" Type="http://schemas.openxmlformats.org/officeDocument/2006/relationships/image" Target="../media/image40.JPG"/><Relationship Id="rId45" Type="http://schemas.openxmlformats.org/officeDocument/2006/relationships/image" Target="../media/image45.JPG"/><Relationship Id="rId53" Type="http://schemas.openxmlformats.org/officeDocument/2006/relationships/image" Target="../media/image53.jpg"/><Relationship Id="rId58" Type="http://schemas.openxmlformats.org/officeDocument/2006/relationships/image" Target="../media/image58.JPG"/><Relationship Id="rId5" Type="http://schemas.openxmlformats.org/officeDocument/2006/relationships/image" Target="../media/image5.JPG"/><Relationship Id="rId61" Type="http://schemas.openxmlformats.org/officeDocument/2006/relationships/image" Target="../media/image61.JPG"/><Relationship Id="rId19" Type="http://schemas.openxmlformats.org/officeDocument/2006/relationships/image" Target="../media/image19.JPG"/><Relationship Id="rId14" Type="http://schemas.openxmlformats.org/officeDocument/2006/relationships/image" Target="../media/image14.JPG"/><Relationship Id="rId22" Type="http://schemas.openxmlformats.org/officeDocument/2006/relationships/image" Target="../media/image22.JPG"/><Relationship Id="rId27" Type="http://schemas.openxmlformats.org/officeDocument/2006/relationships/image" Target="../media/image27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43" Type="http://schemas.openxmlformats.org/officeDocument/2006/relationships/image" Target="../media/image43.JPG"/><Relationship Id="rId48" Type="http://schemas.openxmlformats.org/officeDocument/2006/relationships/image" Target="../media/image48.JPG"/><Relationship Id="rId56" Type="http://schemas.openxmlformats.org/officeDocument/2006/relationships/image" Target="../media/image56.JPG"/><Relationship Id="rId8" Type="http://schemas.openxmlformats.org/officeDocument/2006/relationships/image" Target="../media/image8.JPG"/><Relationship Id="rId51" Type="http://schemas.openxmlformats.org/officeDocument/2006/relationships/image" Target="../media/image51.JPG"/><Relationship Id="rId3" Type="http://schemas.openxmlformats.org/officeDocument/2006/relationships/image" Target="../media/image3.JPG"/><Relationship Id="rId12" Type="http://schemas.openxmlformats.org/officeDocument/2006/relationships/image" Target="../media/image12.JPG"/><Relationship Id="rId17" Type="http://schemas.openxmlformats.org/officeDocument/2006/relationships/image" Target="../media/image17.JPG"/><Relationship Id="rId25" Type="http://schemas.openxmlformats.org/officeDocument/2006/relationships/image" Target="../media/image25.JPG"/><Relationship Id="rId33" Type="http://schemas.openxmlformats.org/officeDocument/2006/relationships/image" Target="../media/image33.JPG"/><Relationship Id="rId38" Type="http://schemas.openxmlformats.org/officeDocument/2006/relationships/image" Target="../media/image38.JPG"/><Relationship Id="rId46" Type="http://schemas.openxmlformats.org/officeDocument/2006/relationships/image" Target="../media/image46.JPG"/><Relationship Id="rId59" Type="http://schemas.openxmlformats.org/officeDocument/2006/relationships/image" Target="../media/image59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54" Type="http://schemas.openxmlformats.org/officeDocument/2006/relationships/image" Target="../media/image54.JPG"/><Relationship Id="rId62" Type="http://schemas.openxmlformats.org/officeDocument/2006/relationships/image" Target="../media/image6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15" Type="http://schemas.openxmlformats.org/officeDocument/2006/relationships/image" Target="../media/image15.JPG"/><Relationship Id="rId23" Type="http://schemas.openxmlformats.org/officeDocument/2006/relationships/image" Target="../media/image23.JPG"/><Relationship Id="rId28" Type="http://schemas.openxmlformats.org/officeDocument/2006/relationships/image" Target="../media/image28.JPG"/><Relationship Id="rId36" Type="http://schemas.openxmlformats.org/officeDocument/2006/relationships/image" Target="../media/image36.JPG"/><Relationship Id="rId49" Type="http://schemas.openxmlformats.org/officeDocument/2006/relationships/image" Target="../media/image49.JPG"/><Relationship Id="rId57" Type="http://schemas.openxmlformats.org/officeDocument/2006/relationships/image" Target="../media/image57.JPG"/><Relationship Id="rId10" Type="http://schemas.openxmlformats.org/officeDocument/2006/relationships/image" Target="../media/image10.JPG"/><Relationship Id="rId31" Type="http://schemas.openxmlformats.org/officeDocument/2006/relationships/image" Target="../media/image31.JPG"/><Relationship Id="rId44" Type="http://schemas.openxmlformats.org/officeDocument/2006/relationships/image" Target="../media/image44.JPG"/><Relationship Id="rId52" Type="http://schemas.openxmlformats.org/officeDocument/2006/relationships/image" Target="../media/image52.JPG"/><Relationship Id="rId60" Type="http://schemas.openxmlformats.org/officeDocument/2006/relationships/image" Target="../media/image60.JPG"/><Relationship Id="rId4" Type="http://schemas.openxmlformats.org/officeDocument/2006/relationships/image" Target="../media/image4.JPG"/><Relationship Id="rId9" Type="http://schemas.openxmlformats.org/officeDocument/2006/relationships/image" Target="../media/image9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25400</xdr:rowOff>
    </xdr:from>
    <xdr:to>
      <xdr:col>0</xdr:col>
      <xdr:colOff>1778000</xdr:colOff>
      <xdr:row>2</xdr:row>
      <xdr:rowOff>1803400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6AE15E4-8315-45C4-954E-8C51E4396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3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25400</xdr:rowOff>
    </xdr:from>
    <xdr:to>
      <xdr:col>0</xdr:col>
      <xdr:colOff>1778000</xdr:colOff>
      <xdr:row>3</xdr:row>
      <xdr:rowOff>1803400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7BD3F59D-51CB-4E45-AECA-2065CFE42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01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25400</xdr:rowOff>
    </xdr:from>
    <xdr:to>
      <xdr:col>0</xdr:col>
      <xdr:colOff>1778000</xdr:colOff>
      <xdr:row>4</xdr:row>
      <xdr:rowOff>1803400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3ED825C4-A8D3-487F-8DC8-5A2F65E2F9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130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25400</xdr:rowOff>
    </xdr:from>
    <xdr:to>
      <xdr:col>0</xdr:col>
      <xdr:colOff>1778000</xdr:colOff>
      <xdr:row>5</xdr:row>
      <xdr:rowOff>1803400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97E569C-19E3-4DF7-B9B0-2FFD1FCF6C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959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25400</xdr:rowOff>
    </xdr:from>
    <xdr:to>
      <xdr:col>0</xdr:col>
      <xdr:colOff>1778000</xdr:colOff>
      <xdr:row>9</xdr:row>
      <xdr:rowOff>1803400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41B9FD5F-3EB1-48B3-962B-FEEA1F5E0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998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25400</xdr:rowOff>
    </xdr:from>
    <xdr:to>
      <xdr:col>0</xdr:col>
      <xdr:colOff>1778000</xdr:colOff>
      <xdr:row>10</xdr:row>
      <xdr:rowOff>1803400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46B00D2B-D80B-4180-9857-0E8F576BA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826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25400</xdr:rowOff>
    </xdr:from>
    <xdr:to>
      <xdr:col>0</xdr:col>
      <xdr:colOff>1778000</xdr:colOff>
      <xdr:row>11</xdr:row>
      <xdr:rowOff>1803400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402BF59D-7F2E-4BF1-BFA2-D2DA1841B1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655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25400</xdr:rowOff>
    </xdr:from>
    <xdr:to>
      <xdr:col>0</xdr:col>
      <xdr:colOff>1778000</xdr:colOff>
      <xdr:row>12</xdr:row>
      <xdr:rowOff>1803400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F29C7C9-308B-4899-BA0F-ADA9D7E968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484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25400</xdr:rowOff>
    </xdr:from>
    <xdr:to>
      <xdr:col>0</xdr:col>
      <xdr:colOff>1778000</xdr:colOff>
      <xdr:row>13</xdr:row>
      <xdr:rowOff>1803400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F6F68777-D6FB-4AAB-92A7-9E176D5A2C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313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25400</xdr:rowOff>
    </xdr:from>
    <xdr:to>
      <xdr:col>0</xdr:col>
      <xdr:colOff>1778000</xdr:colOff>
      <xdr:row>14</xdr:row>
      <xdr:rowOff>1803400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128104B5-2DAF-4BD8-821E-5CFF17C94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142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25400</xdr:rowOff>
    </xdr:from>
    <xdr:to>
      <xdr:col>0</xdr:col>
      <xdr:colOff>1778000</xdr:colOff>
      <xdr:row>15</xdr:row>
      <xdr:rowOff>1803400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99C2D34C-9ACD-40F4-8C39-251C3B99DB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70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25400</xdr:rowOff>
    </xdr:from>
    <xdr:to>
      <xdr:col>0</xdr:col>
      <xdr:colOff>1778000</xdr:colOff>
      <xdr:row>16</xdr:row>
      <xdr:rowOff>1803400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72847E5A-7250-41E0-8A27-B8F01321B5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799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25400</xdr:rowOff>
    </xdr:from>
    <xdr:to>
      <xdr:col>0</xdr:col>
      <xdr:colOff>1778000</xdr:colOff>
      <xdr:row>17</xdr:row>
      <xdr:rowOff>1803400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3FCBD384-8661-47BF-A4B5-CB611042A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628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25400</xdr:rowOff>
    </xdr:from>
    <xdr:to>
      <xdr:col>0</xdr:col>
      <xdr:colOff>1778000</xdr:colOff>
      <xdr:row>19</xdr:row>
      <xdr:rowOff>1803400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6FC36520-553B-459D-9EF6-49935D4E9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6477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25400</xdr:rowOff>
    </xdr:from>
    <xdr:to>
      <xdr:col>0</xdr:col>
      <xdr:colOff>1778000</xdr:colOff>
      <xdr:row>20</xdr:row>
      <xdr:rowOff>1803400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2AEEE9C7-12EE-45BD-B4BD-8475D3B61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4765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25400</xdr:rowOff>
    </xdr:from>
    <xdr:to>
      <xdr:col>0</xdr:col>
      <xdr:colOff>1778000</xdr:colOff>
      <xdr:row>21</xdr:row>
      <xdr:rowOff>1803400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5A5BE2A1-7B11-4D44-9EE3-8AE548FA74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3053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25400</xdr:rowOff>
    </xdr:from>
    <xdr:to>
      <xdr:col>0</xdr:col>
      <xdr:colOff>1778000</xdr:colOff>
      <xdr:row>22</xdr:row>
      <xdr:rowOff>1803400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D36A161-73FF-47DA-9008-C6FC51D32A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21341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25400</xdr:rowOff>
    </xdr:from>
    <xdr:to>
      <xdr:col>0</xdr:col>
      <xdr:colOff>1778000</xdr:colOff>
      <xdr:row>23</xdr:row>
      <xdr:rowOff>1803400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4D0FFDE3-5E18-41EF-91B2-B0DE1A99FB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9629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25400</xdr:rowOff>
    </xdr:from>
    <xdr:to>
      <xdr:col>0</xdr:col>
      <xdr:colOff>1778000</xdr:colOff>
      <xdr:row>25</xdr:row>
      <xdr:rowOff>1803400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B79EF5B4-39C8-405F-BE18-2345AB797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5982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25400</xdr:rowOff>
    </xdr:from>
    <xdr:to>
      <xdr:col>0</xdr:col>
      <xdr:colOff>1778000</xdr:colOff>
      <xdr:row>26</xdr:row>
      <xdr:rowOff>1803400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B4219E05-6B99-46B2-A730-05AE2279D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7811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25400</xdr:rowOff>
    </xdr:from>
    <xdr:to>
      <xdr:col>0</xdr:col>
      <xdr:colOff>1778000</xdr:colOff>
      <xdr:row>27</xdr:row>
      <xdr:rowOff>1803400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17744F77-C853-49BA-BF16-99F874C8AE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639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25400</xdr:rowOff>
    </xdr:from>
    <xdr:to>
      <xdr:col>0</xdr:col>
      <xdr:colOff>1778000</xdr:colOff>
      <xdr:row>28</xdr:row>
      <xdr:rowOff>1803400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B0AD7B4B-2790-40DF-93F4-240B018E89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1468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25400</xdr:rowOff>
    </xdr:from>
    <xdr:to>
      <xdr:col>0</xdr:col>
      <xdr:colOff>1778000</xdr:colOff>
      <xdr:row>29</xdr:row>
      <xdr:rowOff>1803400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22505CF7-28C6-4048-AACB-752345BB8A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3297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25400</xdr:rowOff>
    </xdr:from>
    <xdr:to>
      <xdr:col>0</xdr:col>
      <xdr:colOff>1778000</xdr:colOff>
      <xdr:row>30</xdr:row>
      <xdr:rowOff>1803400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1E9F97CA-0ADE-452B-B790-AB0E7047A0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126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25400</xdr:rowOff>
    </xdr:from>
    <xdr:to>
      <xdr:col>0</xdr:col>
      <xdr:colOff>1778000</xdr:colOff>
      <xdr:row>33</xdr:row>
      <xdr:rowOff>1803400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84323536-E94A-49CB-9781-352FFBCE8F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336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25400</xdr:rowOff>
    </xdr:from>
    <xdr:to>
      <xdr:col>0</xdr:col>
      <xdr:colOff>1778000</xdr:colOff>
      <xdr:row>34</xdr:row>
      <xdr:rowOff>1803400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29F02A38-A823-4045-B832-58D5872BD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9164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25400</xdr:rowOff>
    </xdr:from>
    <xdr:to>
      <xdr:col>0</xdr:col>
      <xdr:colOff>1778000</xdr:colOff>
      <xdr:row>35</xdr:row>
      <xdr:rowOff>1803400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92E995D6-19E2-475B-A532-9E82B0EE1C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993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25400</xdr:rowOff>
    </xdr:from>
    <xdr:to>
      <xdr:col>0</xdr:col>
      <xdr:colOff>1778000</xdr:colOff>
      <xdr:row>36</xdr:row>
      <xdr:rowOff>1803400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A1B48A5F-27E7-4904-BDB2-B068EEC5A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2822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25400</xdr:rowOff>
    </xdr:from>
    <xdr:to>
      <xdr:col>0</xdr:col>
      <xdr:colOff>1778000</xdr:colOff>
      <xdr:row>37</xdr:row>
      <xdr:rowOff>1803400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1B665175-A1F8-4463-A12E-44013AF669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4651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25400</xdr:rowOff>
    </xdr:from>
    <xdr:to>
      <xdr:col>0</xdr:col>
      <xdr:colOff>1778000</xdr:colOff>
      <xdr:row>38</xdr:row>
      <xdr:rowOff>1803400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4530B7A-5343-48C8-B1EA-E09D0BC51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6480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25400</xdr:rowOff>
    </xdr:from>
    <xdr:to>
      <xdr:col>0</xdr:col>
      <xdr:colOff>1778000</xdr:colOff>
      <xdr:row>39</xdr:row>
      <xdr:rowOff>1803400</xdr:rowOff>
    </xdr:to>
    <xdr:pic>
      <xdr:nvPicPr>
        <xdr:cNvPr id="65" name="Рисунок 64">
          <a:extLst>
            <a:ext uri="{FF2B5EF4-FFF2-40B4-BE49-F238E27FC236}">
              <a16:creationId xmlns:a16="http://schemas.microsoft.com/office/drawing/2014/main" id="{80681707-8BE1-4D59-815C-09C3B1DC1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8308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</xdr:row>
      <xdr:rowOff>25400</xdr:rowOff>
    </xdr:from>
    <xdr:to>
      <xdr:col>0</xdr:col>
      <xdr:colOff>1778000</xdr:colOff>
      <xdr:row>40</xdr:row>
      <xdr:rowOff>1803400</xdr:rowOff>
    </xdr:to>
    <xdr:pic>
      <xdr:nvPicPr>
        <xdr:cNvPr id="67" name="Рисунок 66">
          <a:extLst>
            <a:ext uri="{FF2B5EF4-FFF2-40B4-BE49-F238E27FC236}">
              <a16:creationId xmlns:a16="http://schemas.microsoft.com/office/drawing/2014/main" id="{1E14E44A-075E-4A02-8F2E-166614DCF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137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</xdr:row>
      <xdr:rowOff>25400</xdr:rowOff>
    </xdr:from>
    <xdr:to>
      <xdr:col>0</xdr:col>
      <xdr:colOff>1778000</xdr:colOff>
      <xdr:row>41</xdr:row>
      <xdr:rowOff>1803400</xdr:rowOff>
    </xdr:to>
    <xdr:pic>
      <xdr:nvPicPr>
        <xdr:cNvPr id="69" name="Рисунок 68">
          <a:extLst>
            <a:ext uri="{FF2B5EF4-FFF2-40B4-BE49-F238E27FC236}">
              <a16:creationId xmlns:a16="http://schemas.microsoft.com/office/drawing/2014/main" id="{42D52381-B5D8-49FE-A70B-DA67E767BB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1966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</xdr:row>
      <xdr:rowOff>25400</xdr:rowOff>
    </xdr:from>
    <xdr:to>
      <xdr:col>0</xdr:col>
      <xdr:colOff>1778000</xdr:colOff>
      <xdr:row>42</xdr:row>
      <xdr:rowOff>1803400</xdr:rowOff>
    </xdr:to>
    <xdr:pic>
      <xdr:nvPicPr>
        <xdr:cNvPr id="71" name="Рисунок 70">
          <a:extLst>
            <a:ext uri="{FF2B5EF4-FFF2-40B4-BE49-F238E27FC236}">
              <a16:creationId xmlns:a16="http://schemas.microsoft.com/office/drawing/2014/main" id="{43132087-209C-4645-A231-AA6FD963F4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3795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25400</xdr:rowOff>
    </xdr:from>
    <xdr:to>
      <xdr:col>0</xdr:col>
      <xdr:colOff>1778000</xdr:colOff>
      <xdr:row>43</xdr:row>
      <xdr:rowOff>1803400</xdr:rowOff>
    </xdr:to>
    <xdr:pic>
      <xdr:nvPicPr>
        <xdr:cNvPr id="73" name="Рисунок 72">
          <a:extLst>
            <a:ext uri="{FF2B5EF4-FFF2-40B4-BE49-F238E27FC236}">
              <a16:creationId xmlns:a16="http://schemas.microsoft.com/office/drawing/2014/main" id="{780BC886-6B6F-4A0A-97D1-449699104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5624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44</xdr:row>
      <xdr:rowOff>25400</xdr:rowOff>
    </xdr:from>
    <xdr:to>
      <xdr:col>0</xdr:col>
      <xdr:colOff>1778000</xdr:colOff>
      <xdr:row>44</xdr:row>
      <xdr:rowOff>1803400</xdr:rowOff>
    </xdr:to>
    <xdr:pic>
      <xdr:nvPicPr>
        <xdr:cNvPr id="75" name="Рисунок 74">
          <a:extLst>
            <a:ext uri="{FF2B5EF4-FFF2-40B4-BE49-F238E27FC236}">
              <a16:creationId xmlns:a16="http://schemas.microsoft.com/office/drawing/2014/main" id="{67C0728A-2E75-4DD3-9B9C-465FCEB360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7452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45</xdr:row>
      <xdr:rowOff>25400</xdr:rowOff>
    </xdr:from>
    <xdr:to>
      <xdr:col>0</xdr:col>
      <xdr:colOff>1778000</xdr:colOff>
      <xdr:row>45</xdr:row>
      <xdr:rowOff>1803400</xdr:rowOff>
    </xdr:to>
    <xdr:pic>
      <xdr:nvPicPr>
        <xdr:cNvPr id="77" name="Рисунок 76">
          <a:extLst>
            <a:ext uri="{FF2B5EF4-FFF2-40B4-BE49-F238E27FC236}">
              <a16:creationId xmlns:a16="http://schemas.microsoft.com/office/drawing/2014/main" id="{B268105D-FCCA-4DA6-9171-3AC3F34975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9281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</xdr:row>
      <xdr:rowOff>25400</xdr:rowOff>
    </xdr:from>
    <xdr:to>
      <xdr:col>0</xdr:col>
      <xdr:colOff>1778000</xdr:colOff>
      <xdr:row>50</xdr:row>
      <xdr:rowOff>1803400</xdr:rowOff>
    </xdr:to>
    <xdr:pic>
      <xdr:nvPicPr>
        <xdr:cNvPr id="83" name="Рисунок 82">
          <a:extLst>
            <a:ext uri="{FF2B5EF4-FFF2-40B4-BE49-F238E27FC236}">
              <a16:creationId xmlns:a16="http://schemas.microsoft.com/office/drawing/2014/main" id="{F26B3710-90DD-4CC9-8AAB-632D0CBEE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5149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51</xdr:row>
      <xdr:rowOff>25400</xdr:rowOff>
    </xdr:from>
    <xdr:to>
      <xdr:col>0</xdr:col>
      <xdr:colOff>1778000</xdr:colOff>
      <xdr:row>51</xdr:row>
      <xdr:rowOff>1803400</xdr:rowOff>
    </xdr:to>
    <xdr:pic>
      <xdr:nvPicPr>
        <xdr:cNvPr id="85" name="Рисунок 84">
          <a:extLst>
            <a:ext uri="{FF2B5EF4-FFF2-40B4-BE49-F238E27FC236}">
              <a16:creationId xmlns:a16="http://schemas.microsoft.com/office/drawing/2014/main" id="{E71ED157-AE37-40CB-9D35-C2FC6587A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977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25400</xdr:rowOff>
    </xdr:from>
    <xdr:to>
      <xdr:col>0</xdr:col>
      <xdr:colOff>1778000</xdr:colOff>
      <xdr:row>52</xdr:row>
      <xdr:rowOff>1803400</xdr:rowOff>
    </xdr:to>
    <xdr:pic>
      <xdr:nvPicPr>
        <xdr:cNvPr id="87" name="Рисунок 86">
          <a:extLst>
            <a:ext uri="{FF2B5EF4-FFF2-40B4-BE49-F238E27FC236}">
              <a16:creationId xmlns:a16="http://schemas.microsoft.com/office/drawing/2014/main" id="{AE6A476D-3B53-424C-BEEE-35641F720A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8806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25400</xdr:rowOff>
    </xdr:from>
    <xdr:to>
      <xdr:col>0</xdr:col>
      <xdr:colOff>1778000</xdr:colOff>
      <xdr:row>53</xdr:row>
      <xdr:rowOff>1803400</xdr:rowOff>
    </xdr:to>
    <xdr:pic>
      <xdr:nvPicPr>
        <xdr:cNvPr id="89" name="Рисунок 88">
          <a:extLst>
            <a:ext uri="{FF2B5EF4-FFF2-40B4-BE49-F238E27FC236}">
              <a16:creationId xmlns:a16="http://schemas.microsoft.com/office/drawing/2014/main" id="{08AC49E8-6F56-4A66-8C27-8CAD5C6B6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0635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54</xdr:row>
      <xdr:rowOff>25400</xdr:rowOff>
    </xdr:from>
    <xdr:to>
      <xdr:col>0</xdr:col>
      <xdr:colOff>1778000</xdr:colOff>
      <xdr:row>54</xdr:row>
      <xdr:rowOff>1803400</xdr:rowOff>
    </xdr:to>
    <xdr:pic>
      <xdr:nvPicPr>
        <xdr:cNvPr id="91" name="Рисунок 90">
          <a:extLst>
            <a:ext uri="{FF2B5EF4-FFF2-40B4-BE49-F238E27FC236}">
              <a16:creationId xmlns:a16="http://schemas.microsoft.com/office/drawing/2014/main" id="{63D3BCA2-F79E-4974-8F2D-EDC61734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2464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55</xdr:row>
      <xdr:rowOff>25400</xdr:rowOff>
    </xdr:from>
    <xdr:to>
      <xdr:col>0</xdr:col>
      <xdr:colOff>1778000</xdr:colOff>
      <xdr:row>55</xdr:row>
      <xdr:rowOff>1803400</xdr:rowOff>
    </xdr:to>
    <xdr:pic>
      <xdr:nvPicPr>
        <xdr:cNvPr id="93" name="Рисунок 92">
          <a:extLst>
            <a:ext uri="{FF2B5EF4-FFF2-40B4-BE49-F238E27FC236}">
              <a16:creationId xmlns:a16="http://schemas.microsoft.com/office/drawing/2014/main" id="{0EA802E4-7352-4D60-9AA7-12A13300D0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4293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56</xdr:row>
      <xdr:rowOff>25400</xdr:rowOff>
    </xdr:from>
    <xdr:to>
      <xdr:col>0</xdr:col>
      <xdr:colOff>1778000</xdr:colOff>
      <xdr:row>56</xdr:row>
      <xdr:rowOff>1803400</xdr:rowOff>
    </xdr:to>
    <xdr:pic>
      <xdr:nvPicPr>
        <xdr:cNvPr id="95" name="Рисунок 94">
          <a:extLst>
            <a:ext uri="{FF2B5EF4-FFF2-40B4-BE49-F238E27FC236}">
              <a16:creationId xmlns:a16="http://schemas.microsoft.com/office/drawing/2014/main" id="{CCFD0209-D383-4EE2-816A-75809EC54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6121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57</xdr:row>
      <xdr:rowOff>25400</xdr:rowOff>
    </xdr:from>
    <xdr:to>
      <xdr:col>0</xdr:col>
      <xdr:colOff>1778000</xdr:colOff>
      <xdr:row>57</xdr:row>
      <xdr:rowOff>1803400</xdr:rowOff>
    </xdr:to>
    <xdr:pic>
      <xdr:nvPicPr>
        <xdr:cNvPr id="97" name="Рисунок 96">
          <a:extLst>
            <a:ext uri="{FF2B5EF4-FFF2-40B4-BE49-F238E27FC236}">
              <a16:creationId xmlns:a16="http://schemas.microsoft.com/office/drawing/2014/main" id="{2F5D042E-29BC-48D4-97DF-DAA5AF6D8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7950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25400</xdr:rowOff>
    </xdr:from>
    <xdr:to>
      <xdr:col>0</xdr:col>
      <xdr:colOff>1778000</xdr:colOff>
      <xdr:row>58</xdr:row>
      <xdr:rowOff>1803400</xdr:rowOff>
    </xdr:to>
    <xdr:pic>
      <xdr:nvPicPr>
        <xdr:cNvPr id="99" name="Рисунок 98">
          <a:extLst>
            <a:ext uri="{FF2B5EF4-FFF2-40B4-BE49-F238E27FC236}">
              <a16:creationId xmlns:a16="http://schemas.microsoft.com/office/drawing/2014/main" id="{37B20AD6-85D3-4F63-BD8B-24185D68F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779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25400</xdr:rowOff>
    </xdr:from>
    <xdr:to>
      <xdr:col>0</xdr:col>
      <xdr:colOff>1778000</xdr:colOff>
      <xdr:row>59</xdr:row>
      <xdr:rowOff>1803400</xdr:rowOff>
    </xdr:to>
    <xdr:pic>
      <xdr:nvPicPr>
        <xdr:cNvPr id="101" name="Рисунок 100">
          <a:extLst>
            <a:ext uri="{FF2B5EF4-FFF2-40B4-BE49-F238E27FC236}">
              <a16:creationId xmlns:a16="http://schemas.microsoft.com/office/drawing/2014/main" id="{EE8C2100-3407-4DD2-AAF3-325378BE5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1608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60</xdr:row>
      <xdr:rowOff>25400</xdr:rowOff>
    </xdr:from>
    <xdr:to>
      <xdr:col>0</xdr:col>
      <xdr:colOff>1778000</xdr:colOff>
      <xdr:row>60</xdr:row>
      <xdr:rowOff>1803400</xdr:rowOff>
    </xdr:to>
    <xdr:pic>
      <xdr:nvPicPr>
        <xdr:cNvPr id="103" name="Рисунок 102">
          <a:extLst>
            <a:ext uri="{FF2B5EF4-FFF2-40B4-BE49-F238E27FC236}">
              <a16:creationId xmlns:a16="http://schemas.microsoft.com/office/drawing/2014/main" id="{F53EAC26-B27F-4245-85C9-141A6CC47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3437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61</xdr:row>
      <xdr:rowOff>25400</xdr:rowOff>
    </xdr:from>
    <xdr:to>
      <xdr:col>0</xdr:col>
      <xdr:colOff>1778000</xdr:colOff>
      <xdr:row>61</xdr:row>
      <xdr:rowOff>1803400</xdr:rowOff>
    </xdr:to>
    <xdr:pic>
      <xdr:nvPicPr>
        <xdr:cNvPr id="105" name="Рисунок 104">
          <a:extLst>
            <a:ext uri="{FF2B5EF4-FFF2-40B4-BE49-F238E27FC236}">
              <a16:creationId xmlns:a16="http://schemas.microsoft.com/office/drawing/2014/main" id="{A21E5055-6190-4A37-B6CC-5708B19049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65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</xdr:row>
      <xdr:rowOff>25400</xdr:rowOff>
    </xdr:from>
    <xdr:to>
      <xdr:col>0</xdr:col>
      <xdr:colOff>1778000</xdr:colOff>
      <xdr:row>62</xdr:row>
      <xdr:rowOff>1803400</xdr:rowOff>
    </xdr:to>
    <xdr:pic>
      <xdr:nvPicPr>
        <xdr:cNvPr id="107" name="Рисунок 106">
          <a:extLst>
            <a:ext uri="{FF2B5EF4-FFF2-40B4-BE49-F238E27FC236}">
              <a16:creationId xmlns:a16="http://schemas.microsoft.com/office/drawing/2014/main" id="{D13D5626-B51E-43B8-A18C-4FA54572E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7094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25400</xdr:rowOff>
    </xdr:from>
    <xdr:to>
      <xdr:col>0</xdr:col>
      <xdr:colOff>1778000</xdr:colOff>
      <xdr:row>63</xdr:row>
      <xdr:rowOff>1803400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CABE49AC-6FFD-4DE3-8FA9-747F34164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8923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25400</xdr:rowOff>
    </xdr:from>
    <xdr:to>
      <xdr:col>0</xdr:col>
      <xdr:colOff>1778000</xdr:colOff>
      <xdr:row>64</xdr:row>
      <xdr:rowOff>1803400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DB656A13-D5EA-4FFC-8BAF-DA94077C27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0752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66</xdr:row>
      <xdr:rowOff>25400</xdr:rowOff>
    </xdr:from>
    <xdr:to>
      <xdr:col>0</xdr:col>
      <xdr:colOff>1778000</xdr:colOff>
      <xdr:row>66</xdr:row>
      <xdr:rowOff>1803400</xdr:rowOff>
    </xdr:to>
    <xdr:pic>
      <xdr:nvPicPr>
        <xdr:cNvPr id="113" name="Рисунок 112">
          <a:extLst>
            <a:ext uri="{FF2B5EF4-FFF2-40B4-BE49-F238E27FC236}">
              <a16:creationId xmlns:a16="http://schemas.microsoft.com/office/drawing/2014/main" id="{2D9EF81A-D756-416F-ABA1-CB5D688531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27715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25400</xdr:rowOff>
    </xdr:from>
    <xdr:to>
      <xdr:col>0</xdr:col>
      <xdr:colOff>1778000</xdr:colOff>
      <xdr:row>67</xdr:row>
      <xdr:rowOff>1803400</xdr:rowOff>
    </xdr:to>
    <xdr:pic>
      <xdr:nvPicPr>
        <xdr:cNvPr id="115" name="Рисунок 114">
          <a:extLst>
            <a:ext uri="{FF2B5EF4-FFF2-40B4-BE49-F238E27FC236}">
              <a16:creationId xmlns:a16="http://schemas.microsoft.com/office/drawing/2014/main" id="{54DF18E2-16F7-4440-9E27-46A1A88CE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46003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25400</xdr:rowOff>
    </xdr:from>
    <xdr:to>
      <xdr:col>0</xdr:col>
      <xdr:colOff>1778000</xdr:colOff>
      <xdr:row>68</xdr:row>
      <xdr:rowOff>1803400</xdr:rowOff>
    </xdr:to>
    <xdr:pic>
      <xdr:nvPicPr>
        <xdr:cNvPr id="117" name="Рисунок 116">
          <a:extLst>
            <a:ext uri="{FF2B5EF4-FFF2-40B4-BE49-F238E27FC236}">
              <a16:creationId xmlns:a16="http://schemas.microsoft.com/office/drawing/2014/main" id="{DEDB1F6F-7D6A-4913-A7B9-64D444415E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64291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25400</xdr:rowOff>
    </xdr:from>
    <xdr:to>
      <xdr:col>0</xdr:col>
      <xdr:colOff>1778000</xdr:colOff>
      <xdr:row>69</xdr:row>
      <xdr:rowOff>1803400</xdr:rowOff>
    </xdr:to>
    <xdr:pic>
      <xdr:nvPicPr>
        <xdr:cNvPr id="119" name="Рисунок 118">
          <a:extLst>
            <a:ext uri="{FF2B5EF4-FFF2-40B4-BE49-F238E27FC236}">
              <a16:creationId xmlns:a16="http://schemas.microsoft.com/office/drawing/2014/main" id="{EE347867-3209-4DF7-A021-9E54188447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82579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49213</xdr:colOff>
      <xdr:row>6</xdr:row>
      <xdr:rowOff>25400</xdr:rowOff>
    </xdr:from>
    <xdr:to>
      <xdr:col>0</xdr:col>
      <xdr:colOff>1827213</xdr:colOff>
      <xdr:row>6</xdr:row>
      <xdr:rowOff>1803400</xdr:rowOff>
    </xdr:to>
    <xdr:pic>
      <xdr:nvPicPr>
        <xdr:cNvPr id="121" name="Рисунок 120">
          <a:extLst>
            <a:ext uri="{FF2B5EF4-FFF2-40B4-BE49-F238E27FC236}">
              <a16:creationId xmlns:a16="http://schemas.microsoft.com/office/drawing/2014/main" id="{24443B63-91C9-4F57-8FB7-EB80B6E1E9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13" y="7788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49213</xdr:colOff>
      <xdr:row>7</xdr:row>
      <xdr:rowOff>25400</xdr:rowOff>
    </xdr:from>
    <xdr:to>
      <xdr:col>0</xdr:col>
      <xdr:colOff>1827213</xdr:colOff>
      <xdr:row>7</xdr:row>
      <xdr:rowOff>1803400</xdr:rowOff>
    </xdr:to>
    <xdr:pic>
      <xdr:nvPicPr>
        <xdr:cNvPr id="125" name="Рисунок 124">
          <a:extLst>
            <a:ext uri="{FF2B5EF4-FFF2-40B4-BE49-F238E27FC236}">
              <a16:creationId xmlns:a16="http://schemas.microsoft.com/office/drawing/2014/main" id="{D2D165FA-814E-4C0F-952C-7CAC787B02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13" y="9617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49213</xdr:colOff>
      <xdr:row>8</xdr:row>
      <xdr:rowOff>25400</xdr:rowOff>
    </xdr:from>
    <xdr:to>
      <xdr:col>0</xdr:col>
      <xdr:colOff>1827213</xdr:colOff>
      <xdr:row>8</xdr:row>
      <xdr:rowOff>1803400</xdr:rowOff>
    </xdr:to>
    <xdr:pic>
      <xdr:nvPicPr>
        <xdr:cNvPr id="127" name="Рисунок 126">
          <a:extLst>
            <a:ext uri="{FF2B5EF4-FFF2-40B4-BE49-F238E27FC236}">
              <a16:creationId xmlns:a16="http://schemas.microsoft.com/office/drawing/2014/main" id="{35D53B20-C17D-45AE-AA30-37C3A05E31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13" y="11445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49213</xdr:colOff>
      <xdr:row>46</xdr:row>
      <xdr:rowOff>25400</xdr:rowOff>
    </xdr:from>
    <xdr:to>
      <xdr:col>0</xdr:col>
      <xdr:colOff>1827213</xdr:colOff>
      <xdr:row>46</xdr:row>
      <xdr:rowOff>1803400</xdr:rowOff>
    </xdr:to>
    <xdr:pic>
      <xdr:nvPicPr>
        <xdr:cNvPr id="129" name="Рисунок 128">
          <a:extLst>
            <a:ext uri="{FF2B5EF4-FFF2-40B4-BE49-F238E27FC236}">
              <a16:creationId xmlns:a16="http://schemas.microsoft.com/office/drawing/2014/main" id="{5AB163ED-4ADC-44EB-8190-645D7C6027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13" y="74387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49213</xdr:colOff>
      <xdr:row>47</xdr:row>
      <xdr:rowOff>25400</xdr:rowOff>
    </xdr:from>
    <xdr:to>
      <xdr:col>0</xdr:col>
      <xdr:colOff>1827213</xdr:colOff>
      <xdr:row>47</xdr:row>
      <xdr:rowOff>1803400</xdr:rowOff>
    </xdr:to>
    <xdr:pic>
      <xdr:nvPicPr>
        <xdr:cNvPr id="131" name="Рисунок 130">
          <a:extLst>
            <a:ext uri="{FF2B5EF4-FFF2-40B4-BE49-F238E27FC236}">
              <a16:creationId xmlns:a16="http://schemas.microsoft.com/office/drawing/2014/main" id="{5977B003-23A0-4B50-AC0D-D1717ED4EA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13" y="76215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49213</xdr:colOff>
      <xdr:row>48</xdr:row>
      <xdr:rowOff>25400</xdr:rowOff>
    </xdr:from>
    <xdr:to>
      <xdr:col>0</xdr:col>
      <xdr:colOff>1827213</xdr:colOff>
      <xdr:row>48</xdr:row>
      <xdr:rowOff>1803400</xdr:rowOff>
    </xdr:to>
    <xdr:pic>
      <xdr:nvPicPr>
        <xdr:cNvPr id="133" name="Рисунок 132">
          <a:extLst>
            <a:ext uri="{FF2B5EF4-FFF2-40B4-BE49-F238E27FC236}">
              <a16:creationId xmlns:a16="http://schemas.microsoft.com/office/drawing/2014/main" id="{FB1D4F5C-2DEF-407D-B94A-B0B9AC3A11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13" y="78044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49213</xdr:colOff>
      <xdr:row>49</xdr:row>
      <xdr:rowOff>25400</xdr:rowOff>
    </xdr:from>
    <xdr:to>
      <xdr:col>0</xdr:col>
      <xdr:colOff>1827213</xdr:colOff>
      <xdr:row>49</xdr:row>
      <xdr:rowOff>1803400</xdr:rowOff>
    </xdr:to>
    <xdr:pic>
      <xdr:nvPicPr>
        <xdr:cNvPr id="135" name="Рисунок 134">
          <a:extLst>
            <a:ext uri="{FF2B5EF4-FFF2-40B4-BE49-F238E27FC236}">
              <a16:creationId xmlns:a16="http://schemas.microsoft.com/office/drawing/2014/main" id="{8075AE60-D6CB-4248-AC47-5B0BE013FF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13" y="79873475"/>
          <a:ext cx="1778000" cy="1778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S70"/>
  <sheetViews>
    <sheetView tabSelected="1" workbookViewId="0">
      <pane ySplit="2" topLeftCell="A3" activePane="bottomLeft" state="frozen"/>
      <selection pane="bottomLeft" activeCell="D3" sqref="D3"/>
    </sheetView>
  </sheetViews>
  <sheetFormatPr defaultRowHeight="15" outlineLevelCol="1" x14ac:dyDescent="0.25"/>
  <cols>
    <col min="1" max="1" width="28.140625" style="2" customWidth="1"/>
    <col min="2" max="2" width="44.5703125" style="2" customWidth="1"/>
    <col min="3" max="3" width="8.28515625" style="7" bestFit="1" customWidth="1"/>
    <col min="4" max="10" width="5.7109375" style="2" customWidth="1"/>
    <col min="11" max="12" width="10.7109375" style="2" customWidth="1"/>
    <col min="13" max="19" width="5.7109375" style="2" customWidth="1" outlineLevel="1"/>
    <col min="20" max="16384" width="9.140625" style="2"/>
  </cols>
  <sheetData>
    <row r="1" spans="1:19" ht="15.95" customHeight="1" x14ac:dyDescent="0.25">
      <c r="A1" s="12" t="s">
        <v>0</v>
      </c>
      <c r="B1" s="12" t="s">
        <v>1</v>
      </c>
      <c r="C1" s="13" t="s">
        <v>76</v>
      </c>
      <c r="D1" s="9"/>
      <c r="E1" s="9"/>
      <c r="F1" s="9"/>
      <c r="G1" s="9"/>
      <c r="H1" s="9"/>
      <c r="I1" s="9"/>
      <c r="J1" s="9"/>
      <c r="K1" s="12" t="s">
        <v>9</v>
      </c>
      <c r="L1" s="10" t="s">
        <v>77</v>
      </c>
      <c r="M1" s="8"/>
      <c r="N1" s="9"/>
      <c r="O1" s="9"/>
      <c r="P1" s="9"/>
      <c r="Q1" s="9"/>
      <c r="R1" s="9"/>
      <c r="S1" s="9"/>
    </row>
    <row r="2" spans="1:19" ht="20.100000000000001" customHeight="1" x14ac:dyDescent="0.25">
      <c r="A2" s="11"/>
      <c r="B2" s="11"/>
      <c r="C2" s="14"/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1"/>
      <c r="L2" s="11"/>
      <c r="M2" s="1" t="s">
        <v>2</v>
      </c>
      <c r="N2" s="1" t="s">
        <v>3</v>
      </c>
      <c r="O2" s="1" t="s">
        <v>4</v>
      </c>
      <c r="P2" s="1" t="s">
        <v>5</v>
      </c>
      <c r="Q2" s="1" t="s">
        <v>6</v>
      </c>
      <c r="R2" s="1" t="s">
        <v>7</v>
      </c>
      <c r="S2" s="1" t="s">
        <v>8</v>
      </c>
    </row>
    <row r="3" spans="1:19" ht="144" customHeight="1" x14ac:dyDescent="0.25">
      <c r="A3" s="3"/>
      <c r="B3" s="4" t="s">
        <v>10</v>
      </c>
      <c r="C3" s="5">
        <v>1090</v>
      </c>
      <c r="D3" s="3"/>
      <c r="E3" s="3"/>
      <c r="F3" s="3"/>
      <c r="G3" s="3"/>
      <c r="H3" s="3"/>
      <c r="I3" s="3"/>
      <c r="J3" s="3"/>
      <c r="K3" s="3">
        <f t="shared" ref="K3:K33" si="0">SUM(D3:J3)</f>
        <v>0</v>
      </c>
      <c r="L3" s="6">
        <f>K3*C3</f>
        <v>0</v>
      </c>
      <c r="M3" s="3">
        <v>1</v>
      </c>
      <c r="N3" s="3">
        <v>6</v>
      </c>
      <c r="O3" s="3">
        <v>13</v>
      </c>
      <c r="P3" s="3">
        <v>17</v>
      </c>
      <c r="Q3" s="3">
        <v>17</v>
      </c>
      <c r="R3" s="3">
        <v>9</v>
      </c>
      <c r="S3" s="3"/>
    </row>
    <row r="4" spans="1:19" ht="144" customHeight="1" x14ac:dyDescent="0.25">
      <c r="A4" s="3"/>
      <c r="B4" s="4" t="s">
        <v>11</v>
      </c>
      <c r="C4" s="5">
        <v>1090</v>
      </c>
      <c r="D4" s="3"/>
      <c r="E4" s="3"/>
      <c r="F4" s="3"/>
      <c r="G4" s="3"/>
      <c r="H4" s="3"/>
      <c r="I4" s="3"/>
      <c r="J4" s="3"/>
      <c r="K4" s="3">
        <f t="shared" si="0"/>
        <v>0</v>
      </c>
      <c r="L4" s="6">
        <f t="shared" ref="L4:L67" si="1">K4*C4</f>
        <v>0</v>
      </c>
      <c r="M4" s="3">
        <v>27</v>
      </c>
      <c r="N4" s="3">
        <v>52</v>
      </c>
      <c r="O4" s="3">
        <v>82</v>
      </c>
      <c r="P4" s="3">
        <v>87</v>
      </c>
      <c r="Q4" s="3">
        <v>66</v>
      </c>
      <c r="R4" s="3">
        <v>19</v>
      </c>
      <c r="S4" s="3">
        <v>7</v>
      </c>
    </row>
    <row r="5" spans="1:19" ht="144" customHeight="1" x14ac:dyDescent="0.25">
      <c r="A5" s="3"/>
      <c r="B5" s="4" t="s">
        <v>12</v>
      </c>
      <c r="C5" s="5">
        <v>1090</v>
      </c>
      <c r="D5" s="3"/>
      <c r="E5" s="3"/>
      <c r="F5" s="3"/>
      <c r="G5" s="3"/>
      <c r="H5" s="3"/>
      <c r="I5" s="3"/>
      <c r="J5" s="3"/>
      <c r="K5" s="3">
        <f t="shared" si="0"/>
        <v>0</v>
      </c>
      <c r="L5" s="6">
        <f t="shared" si="1"/>
        <v>0</v>
      </c>
      <c r="M5" s="3">
        <v>9</v>
      </c>
      <c r="N5" s="3">
        <v>63</v>
      </c>
      <c r="O5" s="3">
        <v>96</v>
      </c>
      <c r="P5" s="3">
        <v>108</v>
      </c>
      <c r="Q5" s="3">
        <v>40</v>
      </c>
      <c r="R5" s="3">
        <v>38</v>
      </c>
      <c r="S5" s="3">
        <v>11</v>
      </c>
    </row>
    <row r="6" spans="1:19" ht="144" customHeight="1" x14ac:dyDescent="0.25">
      <c r="A6" s="3"/>
      <c r="B6" s="4" t="s">
        <v>13</v>
      </c>
      <c r="C6" s="5">
        <v>1090</v>
      </c>
      <c r="D6" s="3"/>
      <c r="E6" s="3"/>
      <c r="F6" s="3"/>
      <c r="G6" s="3"/>
      <c r="H6" s="3"/>
      <c r="I6" s="3"/>
      <c r="J6" s="3"/>
      <c r="K6" s="3">
        <f t="shared" si="0"/>
        <v>0</v>
      </c>
      <c r="L6" s="6">
        <f t="shared" si="1"/>
        <v>0</v>
      </c>
      <c r="M6" s="3">
        <v>6</v>
      </c>
      <c r="N6" s="3">
        <v>15</v>
      </c>
      <c r="O6" s="3">
        <v>16</v>
      </c>
      <c r="P6" s="3">
        <v>20</v>
      </c>
      <c r="Q6" s="3">
        <v>27</v>
      </c>
      <c r="R6" s="3"/>
      <c r="S6" s="3"/>
    </row>
    <row r="7" spans="1:19" ht="144" customHeight="1" x14ac:dyDescent="0.25">
      <c r="A7" s="3"/>
      <c r="B7" s="4" t="s">
        <v>78</v>
      </c>
      <c r="C7" s="5">
        <v>1090</v>
      </c>
      <c r="D7" s="3"/>
      <c r="E7" s="3"/>
      <c r="F7" s="3"/>
      <c r="G7" s="3"/>
      <c r="H7" s="3"/>
      <c r="I7" s="3"/>
      <c r="J7" s="3"/>
      <c r="K7" s="3">
        <f t="shared" si="0"/>
        <v>0</v>
      </c>
      <c r="L7" s="6">
        <f t="shared" si="1"/>
        <v>0</v>
      </c>
      <c r="M7" s="3"/>
      <c r="N7" s="3">
        <v>30</v>
      </c>
      <c r="O7" s="3">
        <v>40</v>
      </c>
      <c r="P7" s="3">
        <v>41</v>
      </c>
      <c r="Q7" s="3">
        <v>23</v>
      </c>
      <c r="R7" s="3">
        <v>11</v>
      </c>
      <c r="S7" s="3"/>
    </row>
    <row r="8" spans="1:19" ht="144" customHeight="1" x14ac:dyDescent="0.25">
      <c r="A8" s="3"/>
      <c r="B8" s="4" t="s">
        <v>14</v>
      </c>
      <c r="C8" s="5">
        <v>1090</v>
      </c>
      <c r="D8" s="3"/>
      <c r="E8" s="3"/>
      <c r="F8" s="3"/>
      <c r="G8" s="3"/>
      <c r="H8" s="3"/>
      <c r="I8" s="3"/>
      <c r="J8" s="3"/>
      <c r="K8" s="3">
        <f t="shared" si="0"/>
        <v>0</v>
      </c>
      <c r="L8" s="6">
        <f t="shared" si="1"/>
        <v>0</v>
      </c>
      <c r="M8" s="3"/>
      <c r="N8" s="3">
        <v>1</v>
      </c>
      <c r="O8" s="3">
        <v>19</v>
      </c>
      <c r="P8" s="3">
        <v>33</v>
      </c>
      <c r="Q8" s="3">
        <v>27</v>
      </c>
      <c r="R8" s="3">
        <v>10</v>
      </c>
      <c r="S8" s="3">
        <v>10</v>
      </c>
    </row>
    <row r="9" spans="1:19" ht="144" customHeight="1" x14ac:dyDescent="0.25">
      <c r="A9" s="3"/>
      <c r="B9" s="4" t="s">
        <v>15</v>
      </c>
      <c r="C9" s="5">
        <v>1090</v>
      </c>
      <c r="D9" s="3"/>
      <c r="E9" s="3"/>
      <c r="F9" s="3"/>
      <c r="G9" s="3"/>
      <c r="H9" s="3"/>
      <c r="I9" s="3"/>
      <c r="J9" s="3"/>
      <c r="K9" s="3">
        <f t="shared" si="0"/>
        <v>0</v>
      </c>
      <c r="L9" s="6">
        <f t="shared" si="1"/>
        <v>0</v>
      </c>
      <c r="M9" s="3">
        <v>18</v>
      </c>
      <c r="N9" s="3">
        <v>54</v>
      </c>
      <c r="O9" s="3">
        <v>69</v>
      </c>
      <c r="P9" s="3">
        <v>72</v>
      </c>
      <c r="Q9" s="3">
        <v>51</v>
      </c>
      <c r="R9" s="3">
        <v>23</v>
      </c>
      <c r="S9" s="3"/>
    </row>
    <row r="10" spans="1:19" ht="144" customHeight="1" x14ac:dyDescent="0.25">
      <c r="A10" s="3"/>
      <c r="B10" s="4" t="s">
        <v>16</v>
      </c>
      <c r="C10" s="5">
        <v>1090</v>
      </c>
      <c r="D10" s="3"/>
      <c r="E10" s="3"/>
      <c r="F10" s="3"/>
      <c r="G10" s="3"/>
      <c r="H10" s="3"/>
      <c r="I10" s="3"/>
      <c r="J10" s="3"/>
      <c r="K10" s="3">
        <f t="shared" si="0"/>
        <v>0</v>
      </c>
      <c r="L10" s="6">
        <f t="shared" si="1"/>
        <v>0</v>
      </c>
      <c r="M10" s="3">
        <v>5</v>
      </c>
      <c r="N10" s="3">
        <v>18</v>
      </c>
      <c r="O10" s="3">
        <v>29</v>
      </c>
      <c r="P10" s="3">
        <v>30</v>
      </c>
      <c r="Q10" s="3">
        <v>15</v>
      </c>
      <c r="R10" s="3"/>
      <c r="S10" s="3">
        <v>2</v>
      </c>
    </row>
    <row r="11" spans="1:19" ht="144" customHeight="1" x14ac:dyDescent="0.25">
      <c r="A11" s="3"/>
      <c r="B11" s="4" t="s">
        <v>17</v>
      </c>
      <c r="C11" s="5">
        <v>1090</v>
      </c>
      <c r="D11" s="3"/>
      <c r="E11" s="3"/>
      <c r="F11" s="3"/>
      <c r="G11" s="3"/>
      <c r="H11" s="3"/>
      <c r="I11" s="3"/>
      <c r="J11" s="3"/>
      <c r="K11" s="3">
        <f t="shared" si="0"/>
        <v>0</v>
      </c>
      <c r="L11" s="6">
        <f t="shared" si="1"/>
        <v>0</v>
      </c>
      <c r="M11" s="3">
        <v>7</v>
      </c>
      <c r="N11" s="3">
        <v>23</v>
      </c>
      <c r="O11" s="3">
        <v>23</v>
      </c>
      <c r="P11" s="3">
        <v>26</v>
      </c>
      <c r="Q11" s="3">
        <v>23</v>
      </c>
      <c r="R11" s="3">
        <v>6</v>
      </c>
      <c r="S11" s="3">
        <v>2</v>
      </c>
    </row>
    <row r="12" spans="1:19" ht="144" customHeight="1" x14ac:dyDescent="0.25">
      <c r="A12" s="3"/>
      <c r="B12" s="4" t="s">
        <v>18</v>
      </c>
      <c r="C12" s="5">
        <v>1090</v>
      </c>
      <c r="D12" s="3"/>
      <c r="E12" s="3"/>
      <c r="F12" s="3"/>
      <c r="G12" s="3"/>
      <c r="H12" s="3"/>
      <c r="I12" s="3"/>
      <c r="J12" s="3"/>
      <c r="K12" s="3">
        <f t="shared" si="0"/>
        <v>0</v>
      </c>
      <c r="L12" s="6">
        <f t="shared" si="1"/>
        <v>0</v>
      </c>
      <c r="M12" s="3"/>
      <c r="N12" s="3">
        <v>16</v>
      </c>
      <c r="O12" s="3">
        <v>24</v>
      </c>
      <c r="P12" s="3">
        <v>28</v>
      </c>
      <c r="Q12" s="3">
        <v>18</v>
      </c>
      <c r="R12" s="3">
        <v>2</v>
      </c>
      <c r="S12" s="3"/>
    </row>
    <row r="13" spans="1:19" ht="144" customHeight="1" x14ac:dyDescent="0.25">
      <c r="A13" s="3"/>
      <c r="B13" s="4" t="s">
        <v>19</v>
      </c>
      <c r="C13" s="5">
        <v>1090</v>
      </c>
      <c r="D13" s="3"/>
      <c r="E13" s="3"/>
      <c r="F13" s="3"/>
      <c r="G13" s="3"/>
      <c r="H13" s="3"/>
      <c r="I13" s="3"/>
      <c r="J13" s="3"/>
      <c r="K13" s="3">
        <f t="shared" si="0"/>
        <v>0</v>
      </c>
      <c r="L13" s="6">
        <f t="shared" si="1"/>
        <v>0</v>
      </c>
      <c r="M13" s="3">
        <v>8</v>
      </c>
      <c r="N13" s="3">
        <v>20</v>
      </c>
      <c r="O13" s="3">
        <v>2</v>
      </c>
      <c r="P13" s="3">
        <v>3</v>
      </c>
      <c r="Q13" s="3"/>
      <c r="R13" s="3">
        <v>5</v>
      </c>
      <c r="S13" s="3"/>
    </row>
    <row r="14" spans="1:19" ht="144" customHeight="1" x14ac:dyDescent="0.25">
      <c r="A14" s="3"/>
      <c r="B14" s="4" t="s">
        <v>20</v>
      </c>
      <c r="C14" s="5">
        <v>1090</v>
      </c>
      <c r="D14" s="3"/>
      <c r="E14" s="3"/>
      <c r="F14" s="3"/>
      <c r="G14" s="3"/>
      <c r="H14" s="3"/>
      <c r="I14" s="3"/>
      <c r="J14" s="3"/>
      <c r="K14" s="3">
        <f t="shared" si="0"/>
        <v>0</v>
      </c>
      <c r="L14" s="6">
        <f t="shared" si="1"/>
        <v>0</v>
      </c>
      <c r="M14" s="3">
        <v>7</v>
      </c>
      <c r="N14" s="3">
        <v>6</v>
      </c>
      <c r="O14" s="3">
        <v>25</v>
      </c>
      <c r="P14" s="3">
        <v>30</v>
      </c>
      <c r="Q14" s="3">
        <v>7</v>
      </c>
      <c r="R14" s="3">
        <v>8</v>
      </c>
      <c r="S14" s="3">
        <v>1</v>
      </c>
    </row>
    <row r="15" spans="1:19" ht="144" customHeight="1" x14ac:dyDescent="0.25">
      <c r="A15" s="3"/>
      <c r="B15" s="4" t="s">
        <v>21</v>
      </c>
      <c r="C15" s="5">
        <v>1090</v>
      </c>
      <c r="D15" s="3"/>
      <c r="E15" s="3"/>
      <c r="F15" s="3"/>
      <c r="G15" s="3"/>
      <c r="H15" s="3"/>
      <c r="I15" s="3"/>
      <c r="J15" s="3"/>
      <c r="K15" s="3">
        <f t="shared" si="0"/>
        <v>0</v>
      </c>
      <c r="L15" s="6">
        <f t="shared" si="1"/>
        <v>0</v>
      </c>
      <c r="M15" s="3">
        <v>3</v>
      </c>
      <c r="N15" s="3">
        <v>1</v>
      </c>
      <c r="O15" s="3">
        <v>12</v>
      </c>
      <c r="P15" s="3">
        <v>18</v>
      </c>
      <c r="Q15" s="3">
        <v>9</v>
      </c>
      <c r="R15" s="3"/>
      <c r="S15" s="3"/>
    </row>
    <row r="16" spans="1:19" ht="144" customHeight="1" x14ac:dyDescent="0.25">
      <c r="A16" s="3"/>
      <c r="B16" s="4" t="s">
        <v>22</v>
      </c>
      <c r="C16" s="5">
        <v>1090</v>
      </c>
      <c r="D16" s="3"/>
      <c r="E16" s="3"/>
      <c r="F16" s="3"/>
      <c r="G16" s="3"/>
      <c r="H16" s="3"/>
      <c r="I16" s="3"/>
      <c r="J16" s="3"/>
      <c r="K16" s="3">
        <f t="shared" si="0"/>
        <v>0</v>
      </c>
      <c r="L16" s="6">
        <f t="shared" si="1"/>
        <v>0</v>
      </c>
      <c r="M16" s="3">
        <v>2</v>
      </c>
      <c r="N16" s="3">
        <v>11</v>
      </c>
      <c r="O16" s="3">
        <v>5</v>
      </c>
      <c r="P16" s="3">
        <v>7</v>
      </c>
      <c r="Q16" s="3">
        <v>7</v>
      </c>
      <c r="R16" s="3">
        <v>4</v>
      </c>
      <c r="S16" s="3">
        <v>1</v>
      </c>
    </row>
    <row r="17" spans="1:19" ht="144" customHeight="1" x14ac:dyDescent="0.25">
      <c r="A17" s="3"/>
      <c r="B17" s="4" t="s">
        <v>23</v>
      </c>
      <c r="C17" s="5">
        <v>1090</v>
      </c>
      <c r="D17" s="3"/>
      <c r="E17" s="3"/>
      <c r="F17" s="3"/>
      <c r="G17" s="3"/>
      <c r="H17" s="3"/>
      <c r="I17" s="3"/>
      <c r="J17" s="3"/>
      <c r="K17" s="3">
        <f t="shared" si="0"/>
        <v>0</v>
      </c>
      <c r="L17" s="6">
        <f t="shared" si="1"/>
        <v>0</v>
      </c>
      <c r="M17" s="3"/>
      <c r="N17" s="3">
        <v>4</v>
      </c>
      <c r="O17" s="3">
        <v>2</v>
      </c>
      <c r="P17" s="3">
        <v>2</v>
      </c>
      <c r="Q17" s="3">
        <v>4</v>
      </c>
      <c r="R17" s="3">
        <v>3</v>
      </c>
      <c r="S17" s="3">
        <v>7</v>
      </c>
    </row>
    <row r="18" spans="1:19" ht="144" customHeight="1" x14ac:dyDescent="0.25">
      <c r="A18" s="3"/>
      <c r="B18" s="4" t="s">
        <v>24</v>
      </c>
      <c r="C18" s="5">
        <v>1090</v>
      </c>
      <c r="D18" s="3"/>
      <c r="E18" s="3"/>
      <c r="F18" s="3"/>
      <c r="G18" s="3"/>
      <c r="H18" s="3"/>
      <c r="I18" s="3"/>
      <c r="J18" s="3"/>
      <c r="K18" s="3">
        <f t="shared" si="0"/>
        <v>0</v>
      </c>
      <c r="L18" s="6">
        <f t="shared" si="1"/>
        <v>0</v>
      </c>
      <c r="M18" s="3"/>
      <c r="N18" s="3">
        <v>6</v>
      </c>
      <c r="O18" s="3">
        <v>3</v>
      </c>
      <c r="P18" s="3">
        <v>8</v>
      </c>
      <c r="Q18" s="3">
        <v>6</v>
      </c>
      <c r="R18" s="3">
        <v>1</v>
      </c>
      <c r="S18" s="3"/>
    </row>
    <row r="19" spans="1:19" x14ac:dyDescent="0.25">
      <c r="A19" s="3"/>
      <c r="B19" s="4" t="s">
        <v>25</v>
      </c>
      <c r="C19" s="5">
        <v>1090</v>
      </c>
      <c r="D19" s="3"/>
      <c r="E19" s="3"/>
      <c r="F19" s="3"/>
      <c r="G19" s="3"/>
      <c r="H19" s="3"/>
      <c r="I19" s="3"/>
      <c r="J19" s="3"/>
      <c r="K19" s="3">
        <f t="shared" si="0"/>
        <v>0</v>
      </c>
      <c r="L19" s="6">
        <f t="shared" si="1"/>
        <v>0</v>
      </c>
      <c r="M19" s="3">
        <v>4</v>
      </c>
      <c r="N19" s="3">
        <v>12</v>
      </c>
      <c r="O19" s="3">
        <v>26</v>
      </c>
      <c r="P19" s="3">
        <v>20</v>
      </c>
      <c r="Q19" s="3">
        <v>27</v>
      </c>
      <c r="R19" s="3">
        <v>6</v>
      </c>
      <c r="S19" s="3">
        <v>4</v>
      </c>
    </row>
    <row r="20" spans="1:19" ht="144" customHeight="1" x14ac:dyDescent="0.25">
      <c r="A20" s="3"/>
      <c r="B20" s="4" t="s">
        <v>26</v>
      </c>
      <c r="C20" s="5">
        <v>1090</v>
      </c>
      <c r="D20" s="3"/>
      <c r="E20" s="3"/>
      <c r="F20" s="3"/>
      <c r="G20" s="3"/>
      <c r="H20" s="3"/>
      <c r="I20" s="3"/>
      <c r="J20" s="3"/>
      <c r="K20" s="3">
        <f t="shared" si="0"/>
        <v>0</v>
      </c>
      <c r="L20" s="6">
        <f t="shared" si="1"/>
        <v>0</v>
      </c>
      <c r="M20" s="3"/>
      <c r="N20" s="3">
        <v>36</v>
      </c>
      <c r="O20" s="3"/>
      <c r="P20" s="3">
        <v>49</v>
      </c>
      <c r="Q20" s="3"/>
      <c r="R20" s="3"/>
      <c r="S20" s="3"/>
    </row>
    <row r="21" spans="1:19" ht="144" customHeight="1" x14ac:dyDescent="0.25">
      <c r="A21" s="3"/>
      <c r="B21" s="4" t="s">
        <v>27</v>
      </c>
      <c r="C21" s="5">
        <v>1090</v>
      </c>
      <c r="D21" s="3"/>
      <c r="E21" s="3"/>
      <c r="F21" s="3"/>
      <c r="G21" s="3"/>
      <c r="H21" s="3"/>
      <c r="I21" s="3"/>
      <c r="J21" s="3"/>
      <c r="K21" s="3">
        <f t="shared" si="0"/>
        <v>0</v>
      </c>
      <c r="L21" s="6">
        <f t="shared" si="1"/>
        <v>0</v>
      </c>
      <c r="M21" s="3">
        <v>8</v>
      </c>
      <c r="N21" s="3">
        <v>23</v>
      </c>
      <c r="O21" s="3">
        <v>33</v>
      </c>
      <c r="P21" s="3">
        <v>28</v>
      </c>
      <c r="Q21" s="3">
        <v>19</v>
      </c>
      <c r="R21" s="3">
        <v>7</v>
      </c>
      <c r="S21" s="3">
        <v>4</v>
      </c>
    </row>
    <row r="22" spans="1:19" ht="144" customHeight="1" x14ac:dyDescent="0.25">
      <c r="A22" s="3"/>
      <c r="B22" s="4" t="s">
        <v>28</v>
      </c>
      <c r="C22" s="5">
        <v>1090</v>
      </c>
      <c r="D22" s="3"/>
      <c r="E22" s="3"/>
      <c r="F22" s="3"/>
      <c r="G22" s="3"/>
      <c r="H22" s="3"/>
      <c r="I22" s="3"/>
      <c r="J22" s="3"/>
      <c r="K22" s="3">
        <f t="shared" si="0"/>
        <v>0</v>
      </c>
      <c r="L22" s="6">
        <f t="shared" si="1"/>
        <v>0</v>
      </c>
      <c r="M22" s="3"/>
      <c r="N22" s="3"/>
      <c r="O22" s="3">
        <v>14</v>
      </c>
      <c r="P22" s="3">
        <v>18</v>
      </c>
      <c r="Q22" s="3">
        <v>3</v>
      </c>
      <c r="R22" s="3">
        <v>3</v>
      </c>
      <c r="S22" s="3">
        <v>3</v>
      </c>
    </row>
    <row r="23" spans="1:19" ht="144" customHeight="1" x14ac:dyDescent="0.25">
      <c r="A23" s="3"/>
      <c r="B23" s="4" t="s">
        <v>29</v>
      </c>
      <c r="C23" s="5">
        <v>1090</v>
      </c>
      <c r="D23" s="3"/>
      <c r="E23" s="3"/>
      <c r="F23" s="3"/>
      <c r="G23" s="3"/>
      <c r="H23" s="3"/>
      <c r="I23" s="3"/>
      <c r="J23" s="3"/>
      <c r="K23" s="3">
        <f t="shared" si="0"/>
        <v>0</v>
      </c>
      <c r="L23" s="6">
        <f t="shared" si="1"/>
        <v>0</v>
      </c>
      <c r="M23" s="3">
        <v>10</v>
      </c>
      <c r="N23" s="3">
        <v>7</v>
      </c>
      <c r="O23" s="3">
        <v>13</v>
      </c>
      <c r="P23" s="3">
        <v>14</v>
      </c>
      <c r="Q23" s="3">
        <v>9</v>
      </c>
      <c r="R23" s="3">
        <v>5</v>
      </c>
      <c r="S23" s="3">
        <v>3</v>
      </c>
    </row>
    <row r="24" spans="1:19" ht="144" customHeight="1" x14ac:dyDescent="0.25">
      <c r="A24" s="3"/>
      <c r="B24" s="4" t="s">
        <v>30</v>
      </c>
      <c r="C24" s="5">
        <v>1090</v>
      </c>
      <c r="D24" s="3"/>
      <c r="E24" s="3"/>
      <c r="F24" s="3"/>
      <c r="G24" s="3"/>
      <c r="H24" s="3"/>
      <c r="I24" s="3"/>
      <c r="J24" s="3"/>
      <c r="K24" s="3">
        <f t="shared" si="0"/>
        <v>0</v>
      </c>
      <c r="L24" s="6">
        <f t="shared" si="1"/>
        <v>0</v>
      </c>
      <c r="M24" s="3">
        <v>5</v>
      </c>
      <c r="N24" s="3">
        <v>25</v>
      </c>
      <c r="O24" s="3">
        <v>35</v>
      </c>
      <c r="P24" s="3">
        <v>33</v>
      </c>
      <c r="Q24" s="3">
        <v>33</v>
      </c>
      <c r="R24" s="3">
        <v>6</v>
      </c>
      <c r="S24" s="3">
        <v>1</v>
      </c>
    </row>
    <row r="25" spans="1:19" x14ac:dyDescent="0.25">
      <c r="A25" s="3"/>
      <c r="B25" s="4" t="s">
        <v>31</v>
      </c>
      <c r="C25" s="5">
        <v>1090</v>
      </c>
      <c r="D25" s="3"/>
      <c r="E25" s="3"/>
      <c r="F25" s="3"/>
      <c r="G25" s="3"/>
      <c r="H25" s="3"/>
      <c r="I25" s="3"/>
      <c r="J25" s="3"/>
      <c r="K25" s="3">
        <f t="shared" si="0"/>
        <v>0</v>
      </c>
      <c r="L25" s="6">
        <f t="shared" si="1"/>
        <v>0</v>
      </c>
      <c r="M25" s="3">
        <v>10</v>
      </c>
      <c r="N25" s="3">
        <v>16</v>
      </c>
      <c r="O25" s="3">
        <v>15</v>
      </c>
      <c r="P25" s="3">
        <v>19</v>
      </c>
      <c r="Q25" s="3">
        <v>12</v>
      </c>
      <c r="R25" s="3">
        <v>5</v>
      </c>
      <c r="S25" s="3"/>
    </row>
    <row r="26" spans="1:19" ht="144" customHeight="1" x14ac:dyDescent="0.25">
      <c r="A26" s="3"/>
      <c r="B26" s="4" t="s">
        <v>32</v>
      </c>
      <c r="C26" s="5">
        <v>1090</v>
      </c>
      <c r="D26" s="3"/>
      <c r="E26" s="3"/>
      <c r="F26" s="3"/>
      <c r="G26" s="3"/>
      <c r="H26" s="3"/>
      <c r="I26" s="3"/>
      <c r="J26" s="3"/>
      <c r="K26" s="3">
        <f t="shared" si="0"/>
        <v>0</v>
      </c>
      <c r="L26" s="6">
        <f t="shared" si="1"/>
        <v>0</v>
      </c>
      <c r="M26" s="3">
        <v>14</v>
      </c>
      <c r="N26" s="3">
        <v>27</v>
      </c>
      <c r="O26" s="3">
        <v>40</v>
      </c>
      <c r="P26" s="3">
        <v>42</v>
      </c>
      <c r="Q26" s="3">
        <v>19</v>
      </c>
      <c r="R26" s="3">
        <v>14</v>
      </c>
      <c r="S26" s="3">
        <v>4</v>
      </c>
    </row>
    <row r="27" spans="1:19" ht="144" customHeight="1" x14ac:dyDescent="0.25">
      <c r="A27" s="3"/>
      <c r="B27" s="4" t="s">
        <v>33</v>
      </c>
      <c r="C27" s="5">
        <v>1090</v>
      </c>
      <c r="D27" s="3"/>
      <c r="E27" s="3"/>
      <c r="F27" s="3"/>
      <c r="G27" s="3"/>
      <c r="H27" s="3"/>
      <c r="I27" s="3"/>
      <c r="J27" s="3"/>
      <c r="K27" s="3">
        <f t="shared" si="0"/>
        <v>0</v>
      </c>
      <c r="L27" s="6">
        <f t="shared" si="1"/>
        <v>0</v>
      </c>
      <c r="M27" s="3"/>
      <c r="N27" s="3">
        <v>2</v>
      </c>
      <c r="O27" s="3">
        <v>2</v>
      </c>
      <c r="P27" s="3">
        <v>3</v>
      </c>
      <c r="Q27" s="3">
        <v>3</v>
      </c>
      <c r="R27" s="3"/>
      <c r="S27" s="3"/>
    </row>
    <row r="28" spans="1:19" ht="144" customHeight="1" x14ac:dyDescent="0.25">
      <c r="A28" s="3"/>
      <c r="B28" s="4" t="s">
        <v>34</v>
      </c>
      <c r="C28" s="5">
        <v>1090</v>
      </c>
      <c r="D28" s="3"/>
      <c r="E28" s="3"/>
      <c r="F28" s="3"/>
      <c r="G28" s="3"/>
      <c r="H28" s="3"/>
      <c r="I28" s="3"/>
      <c r="J28" s="3"/>
      <c r="K28" s="3">
        <f t="shared" si="0"/>
        <v>0</v>
      </c>
      <c r="L28" s="6">
        <f t="shared" si="1"/>
        <v>0</v>
      </c>
      <c r="M28" s="3"/>
      <c r="N28" s="3"/>
      <c r="O28" s="3">
        <v>2</v>
      </c>
      <c r="P28" s="3">
        <v>2</v>
      </c>
      <c r="Q28" s="3">
        <v>5</v>
      </c>
      <c r="R28" s="3">
        <v>4</v>
      </c>
      <c r="S28" s="3">
        <v>3</v>
      </c>
    </row>
    <row r="29" spans="1:19" ht="144" customHeight="1" x14ac:dyDescent="0.25">
      <c r="A29" s="3"/>
      <c r="B29" s="4" t="s">
        <v>35</v>
      </c>
      <c r="C29" s="5">
        <v>1090</v>
      </c>
      <c r="D29" s="3"/>
      <c r="E29" s="3"/>
      <c r="F29" s="3"/>
      <c r="G29" s="3"/>
      <c r="H29" s="3"/>
      <c r="I29" s="3"/>
      <c r="J29" s="3"/>
      <c r="K29" s="3">
        <f t="shared" si="0"/>
        <v>0</v>
      </c>
      <c r="L29" s="6">
        <f t="shared" si="1"/>
        <v>0</v>
      </c>
      <c r="M29" s="3">
        <v>3</v>
      </c>
      <c r="N29" s="3">
        <v>14</v>
      </c>
      <c r="O29" s="3">
        <v>13</v>
      </c>
      <c r="P29" s="3">
        <v>16</v>
      </c>
      <c r="Q29" s="3">
        <v>14</v>
      </c>
      <c r="R29" s="3">
        <v>3</v>
      </c>
      <c r="S29" s="3">
        <v>1</v>
      </c>
    </row>
    <row r="30" spans="1:19" ht="144" customHeight="1" x14ac:dyDescent="0.25">
      <c r="A30" s="3"/>
      <c r="B30" s="4" t="s">
        <v>36</v>
      </c>
      <c r="C30" s="5">
        <v>1090</v>
      </c>
      <c r="D30" s="3"/>
      <c r="E30" s="3"/>
      <c r="F30" s="3"/>
      <c r="G30" s="3"/>
      <c r="H30" s="3"/>
      <c r="I30" s="3"/>
      <c r="J30" s="3"/>
      <c r="K30" s="3">
        <f t="shared" si="0"/>
        <v>0</v>
      </c>
      <c r="L30" s="6">
        <f t="shared" si="1"/>
        <v>0</v>
      </c>
      <c r="M30" s="3"/>
      <c r="N30" s="3">
        <v>8</v>
      </c>
      <c r="O30" s="3">
        <v>12</v>
      </c>
      <c r="P30" s="3">
        <v>12</v>
      </c>
      <c r="Q30" s="3">
        <v>9</v>
      </c>
      <c r="R30" s="3"/>
      <c r="S30" s="3"/>
    </row>
    <row r="31" spans="1:19" ht="144" customHeight="1" x14ac:dyDescent="0.25">
      <c r="A31" s="3"/>
      <c r="B31" s="4" t="s">
        <v>37</v>
      </c>
      <c r="C31" s="5">
        <v>1090</v>
      </c>
      <c r="D31" s="3"/>
      <c r="E31" s="3"/>
      <c r="F31" s="3"/>
      <c r="G31" s="3"/>
      <c r="H31" s="3"/>
      <c r="I31" s="3"/>
      <c r="J31" s="3"/>
      <c r="K31" s="3">
        <f t="shared" si="0"/>
        <v>0</v>
      </c>
      <c r="L31" s="6">
        <f t="shared" si="1"/>
        <v>0</v>
      </c>
      <c r="M31" s="3">
        <v>3</v>
      </c>
      <c r="N31" s="3">
        <v>6</v>
      </c>
      <c r="O31" s="3">
        <v>5</v>
      </c>
      <c r="P31" s="3">
        <v>4</v>
      </c>
      <c r="Q31" s="3">
        <v>12</v>
      </c>
      <c r="R31" s="3"/>
      <c r="S31" s="3"/>
    </row>
    <row r="32" spans="1:19" x14ac:dyDescent="0.25">
      <c r="A32" s="3"/>
      <c r="B32" s="4" t="s">
        <v>38</v>
      </c>
      <c r="C32" s="5">
        <v>1090</v>
      </c>
      <c r="D32" s="3"/>
      <c r="E32" s="3"/>
      <c r="F32" s="3"/>
      <c r="G32" s="3"/>
      <c r="H32" s="3"/>
      <c r="I32" s="3"/>
      <c r="J32" s="3"/>
      <c r="K32" s="3">
        <f t="shared" si="0"/>
        <v>0</v>
      </c>
      <c r="L32" s="6">
        <f t="shared" si="1"/>
        <v>0</v>
      </c>
      <c r="M32" s="3">
        <v>13</v>
      </c>
      <c r="N32" s="3">
        <v>36</v>
      </c>
      <c r="O32" s="3">
        <v>38</v>
      </c>
      <c r="P32" s="3">
        <v>40</v>
      </c>
      <c r="Q32" s="3">
        <v>33</v>
      </c>
      <c r="R32" s="3">
        <v>15</v>
      </c>
      <c r="S32" s="3">
        <v>5</v>
      </c>
    </row>
    <row r="33" spans="1:19" x14ac:dyDescent="0.25">
      <c r="A33" s="3"/>
      <c r="B33" s="4" t="s">
        <v>39</v>
      </c>
      <c r="C33" s="5">
        <v>1090</v>
      </c>
      <c r="D33" s="3"/>
      <c r="E33" s="3"/>
      <c r="F33" s="3"/>
      <c r="G33" s="3"/>
      <c r="H33" s="3"/>
      <c r="I33" s="3"/>
      <c r="J33" s="3"/>
      <c r="K33" s="3">
        <f t="shared" si="0"/>
        <v>0</v>
      </c>
      <c r="L33" s="6">
        <f t="shared" si="1"/>
        <v>0</v>
      </c>
      <c r="M33" s="3">
        <v>12</v>
      </c>
      <c r="N33" s="3">
        <v>15</v>
      </c>
      <c r="O33" s="3">
        <v>31</v>
      </c>
      <c r="P33" s="3">
        <v>32</v>
      </c>
      <c r="Q33" s="3">
        <v>24</v>
      </c>
      <c r="R33" s="3">
        <v>9</v>
      </c>
      <c r="S33" s="3">
        <v>1</v>
      </c>
    </row>
    <row r="34" spans="1:19" ht="144" customHeight="1" x14ac:dyDescent="0.25">
      <c r="A34" s="3"/>
      <c r="B34" s="4" t="s">
        <v>40</v>
      </c>
      <c r="C34" s="5">
        <v>1090</v>
      </c>
      <c r="D34" s="3"/>
      <c r="E34" s="3"/>
      <c r="F34" s="3"/>
      <c r="G34" s="3"/>
      <c r="H34" s="3"/>
      <c r="I34" s="3"/>
      <c r="J34" s="3"/>
      <c r="K34" s="3">
        <f t="shared" ref="K34:K65" si="2">SUM(D34:J34)</f>
        <v>0</v>
      </c>
      <c r="L34" s="6">
        <f t="shared" si="1"/>
        <v>0</v>
      </c>
      <c r="M34" s="3">
        <v>8</v>
      </c>
      <c r="N34" s="3">
        <v>19</v>
      </c>
      <c r="O34" s="3">
        <v>19</v>
      </c>
      <c r="P34" s="3">
        <v>20</v>
      </c>
      <c r="Q34" s="3">
        <v>14</v>
      </c>
      <c r="R34" s="3">
        <v>3</v>
      </c>
      <c r="S34" s="3">
        <v>2</v>
      </c>
    </row>
    <row r="35" spans="1:19" ht="144" customHeight="1" x14ac:dyDescent="0.25">
      <c r="A35" s="3"/>
      <c r="B35" s="4" t="s">
        <v>41</v>
      </c>
      <c r="C35" s="5">
        <v>1090</v>
      </c>
      <c r="D35" s="3"/>
      <c r="E35" s="3"/>
      <c r="F35" s="3"/>
      <c r="G35" s="3"/>
      <c r="H35" s="3"/>
      <c r="I35" s="3"/>
      <c r="J35" s="3"/>
      <c r="K35" s="3">
        <f t="shared" si="2"/>
        <v>0</v>
      </c>
      <c r="L35" s="6">
        <f t="shared" si="1"/>
        <v>0</v>
      </c>
      <c r="M35" s="3">
        <v>8</v>
      </c>
      <c r="N35" s="3">
        <v>18</v>
      </c>
      <c r="O35" s="3">
        <v>17</v>
      </c>
      <c r="P35" s="3">
        <v>18</v>
      </c>
      <c r="Q35" s="3">
        <v>20</v>
      </c>
      <c r="R35" s="3">
        <v>9</v>
      </c>
      <c r="S35" s="3"/>
    </row>
    <row r="36" spans="1:19" ht="144" customHeight="1" x14ac:dyDescent="0.25">
      <c r="A36" s="3"/>
      <c r="B36" s="4" t="s">
        <v>42</v>
      </c>
      <c r="C36" s="5">
        <v>1090</v>
      </c>
      <c r="D36" s="3"/>
      <c r="E36" s="3"/>
      <c r="F36" s="3"/>
      <c r="G36" s="3"/>
      <c r="H36" s="3"/>
      <c r="I36" s="3"/>
      <c r="J36" s="3"/>
      <c r="K36" s="3">
        <f t="shared" si="2"/>
        <v>0</v>
      </c>
      <c r="L36" s="6">
        <f t="shared" si="1"/>
        <v>0</v>
      </c>
      <c r="M36" s="3">
        <v>8</v>
      </c>
      <c r="N36" s="3">
        <v>9</v>
      </c>
      <c r="O36" s="3">
        <v>2</v>
      </c>
      <c r="P36" s="3">
        <v>1</v>
      </c>
      <c r="Q36" s="3">
        <v>10</v>
      </c>
      <c r="R36" s="3"/>
      <c r="S36" s="3"/>
    </row>
    <row r="37" spans="1:19" ht="144" customHeight="1" x14ac:dyDescent="0.25">
      <c r="A37" s="3"/>
      <c r="B37" s="4" t="s">
        <v>43</v>
      </c>
      <c r="C37" s="5">
        <v>1090</v>
      </c>
      <c r="D37" s="3"/>
      <c r="E37" s="3"/>
      <c r="F37" s="3"/>
      <c r="G37" s="3"/>
      <c r="H37" s="3"/>
      <c r="I37" s="3"/>
      <c r="J37" s="3"/>
      <c r="K37" s="3">
        <f t="shared" si="2"/>
        <v>0</v>
      </c>
      <c r="L37" s="6">
        <f t="shared" si="1"/>
        <v>0</v>
      </c>
      <c r="M37" s="3"/>
      <c r="N37" s="3">
        <v>11</v>
      </c>
      <c r="O37" s="3">
        <v>61</v>
      </c>
      <c r="P37" s="3">
        <v>67</v>
      </c>
      <c r="Q37" s="3">
        <v>24</v>
      </c>
      <c r="R37" s="3">
        <v>22</v>
      </c>
      <c r="S37" s="3">
        <v>2</v>
      </c>
    </row>
    <row r="38" spans="1:19" ht="144" customHeight="1" x14ac:dyDescent="0.25">
      <c r="A38" s="3"/>
      <c r="B38" s="4" t="s">
        <v>44</v>
      </c>
      <c r="C38" s="5">
        <v>1090</v>
      </c>
      <c r="D38" s="3"/>
      <c r="E38" s="3"/>
      <c r="F38" s="3"/>
      <c r="G38" s="3"/>
      <c r="H38" s="3"/>
      <c r="I38" s="3"/>
      <c r="J38" s="3"/>
      <c r="K38" s="3">
        <f t="shared" si="2"/>
        <v>0</v>
      </c>
      <c r="L38" s="6">
        <f t="shared" si="1"/>
        <v>0</v>
      </c>
      <c r="M38" s="3">
        <v>17</v>
      </c>
      <c r="N38" s="3">
        <v>68</v>
      </c>
      <c r="O38" s="3">
        <v>73</v>
      </c>
      <c r="P38" s="3">
        <v>69</v>
      </c>
      <c r="Q38" s="3">
        <v>53</v>
      </c>
      <c r="R38" s="3">
        <v>4</v>
      </c>
      <c r="S38" s="3"/>
    </row>
    <row r="39" spans="1:19" ht="144" customHeight="1" x14ac:dyDescent="0.25">
      <c r="A39" s="3"/>
      <c r="B39" s="4" t="s">
        <v>45</v>
      </c>
      <c r="C39" s="5">
        <v>1090</v>
      </c>
      <c r="D39" s="3"/>
      <c r="E39" s="3"/>
      <c r="F39" s="3"/>
      <c r="G39" s="3"/>
      <c r="H39" s="3"/>
      <c r="I39" s="3"/>
      <c r="J39" s="3"/>
      <c r="K39" s="3">
        <f t="shared" si="2"/>
        <v>0</v>
      </c>
      <c r="L39" s="6">
        <f t="shared" si="1"/>
        <v>0</v>
      </c>
      <c r="M39" s="3"/>
      <c r="N39" s="3"/>
      <c r="O39" s="3">
        <v>20</v>
      </c>
      <c r="P39" s="3">
        <v>27</v>
      </c>
      <c r="Q39" s="3"/>
      <c r="R39" s="3"/>
      <c r="S39" s="3"/>
    </row>
    <row r="40" spans="1:19" ht="144" customHeight="1" x14ac:dyDescent="0.25">
      <c r="A40" s="3"/>
      <c r="B40" s="4" t="s">
        <v>46</v>
      </c>
      <c r="C40" s="5">
        <v>1090</v>
      </c>
      <c r="D40" s="3"/>
      <c r="E40" s="3"/>
      <c r="F40" s="3"/>
      <c r="G40" s="3"/>
      <c r="H40" s="3"/>
      <c r="I40" s="3"/>
      <c r="J40" s="3"/>
      <c r="K40" s="3">
        <f t="shared" si="2"/>
        <v>0</v>
      </c>
      <c r="L40" s="6">
        <f t="shared" si="1"/>
        <v>0</v>
      </c>
      <c r="M40" s="3">
        <v>10</v>
      </c>
      <c r="N40" s="3">
        <v>15</v>
      </c>
      <c r="O40" s="3">
        <v>23</v>
      </c>
      <c r="P40" s="3">
        <v>24</v>
      </c>
      <c r="Q40" s="3">
        <v>17</v>
      </c>
      <c r="R40" s="3">
        <v>3</v>
      </c>
      <c r="S40" s="3">
        <v>5</v>
      </c>
    </row>
    <row r="41" spans="1:19" ht="144" customHeight="1" x14ac:dyDescent="0.25">
      <c r="A41" s="3"/>
      <c r="B41" s="4" t="s">
        <v>47</v>
      </c>
      <c r="C41" s="5">
        <v>1090</v>
      </c>
      <c r="D41" s="3"/>
      <c r="E41" s="3"/>
      <c r="F41" s="3"/>
      <c r="G41" s="3"/>
      <c r="H41" s="3"/>
      <c r="I41" s="3"/>
      <c r="J41" s="3"/>
      <c r="K41" s="3">
        <f t="shared" si="2"/>
        <v>0</v>
      </c>
      <c r="L41" s="6">
        <f t="shared" si="1"/>
        <v>0</v>
      </c>
      <c r="M41" s="3">
        <v>18</v>
      </c>
      <c r="N41" s="3">
        <v>48</v>
      </c>
      <c r="O41" s="3">
        <v>37</v>
      </c>
      <c r="P41" s="3">
        <v>34</v>
      </c>
      <c r="Q41" s="3">
        <v>38</v>
      </c>
      <c r="R41" s="3">
        <v>6</v>
      </c>
      <c r="S41" s="3">
        <v>4</v>
      </c>
    </row>
    <row r="42" spans="1:19" ht="144" customHeight="1" x14ac:dyDescent="0.25">
      <c r="A42" s="3"/>
      <c r="B42" s="4" t="s">
        <v>48</v>
      </c>
      <c r="C42" s="5">
        <v>1090</v>
      </c>
      <c r="D42" s="3"/>
      <c r="E42" s="3"/>
      <c r="F42" s="3"/>
      <c r="G42" s="3"/>
      <c r="H42" s="3"/>
      <c r="I42" s="3"/>
      <c r="J42" s="3"/>
      <c r="K42" s="3">
        <f t="shared" si="2"/>
        <v>0</v>
      </c>
      <c r="L42" s="6">
        <f t="shared" si="1"/>
        <v>0</v>
      </c>
      <c r="M42" s="3">
        <v>6</v>
      </c>
      <c r="N42" s="3">
        <v>29</v>
      </c>
      <c r="O42" s="3">
        <v>24</v>
      </c>
      <c r="P42" s="3">
        <v>26</v>
      </c>
      <c r="Q42" s="3">
        <v>24</v>
      </c>
      <c r="R42" s="3"/>
      <c r="S42" s="3"/>
    </row>
    <row r="43" spans="1:19" ht="144" customHeight="1" x14ac:dyDescent="0.25">
      <c r="A43" s="3"/>
      <c r="B43" s="4" t="s">
        <v>49</v>
      </c>
      <c r="C43" s="5">
        <v>1090</v>
      </c>
      <c r="D43" s="3"/>
      <c r="E43" s="3"/>
      <c r="F43" s="3"/>
      <c r="G43" s="3"/>
      <c r="H43" s="3"/>
      <c r="I43" s="3"/>
      <c r="J43" s="3"/>
      <c r="K43" s="3">
        <f t="shared" si="2"/>
        <v>0</v>
      </c>
      <c r="L43" s="6">
        <f t="shared" si="1"/>
        <v>0</v>
      </c>
      <c r="M43" s="3">
        <v>5</v>
      </c>
      <c r="N43" s="3">
        <v>22</v>
      </c>
      <c r="O43" s="3">
        <v>19</v>
      </c>
      <c r="P43" s="3">
        <v>20</v>
      </c>
      <c r="Q43" s="3">
        <v>37</v>
      </c>
      <c r="R43" s="3">
        <v>5</v>
      </c>
      <c r="S43" s="3"/>
    </row>
    <row r="44" spans="1:19" ht="144" customHeight="1" x14ac:dyDescent="0.25">
      <c r="A44" s="3"/>
      <c r="B44" s="4" t="s">
        <v>50</v>
      </c>
      <c r="C44" s="5">
        <v>1090</v>
      </c>
      <c r="D44" s="3"/>
      <c r="E44" s="3"/>
      <c r="F44" s="3"/>
      <c r="G44" s="3"/>
      <c r="H44" s="3"/>
      <c r="I44" s="3"/>
      <c r="J44" s="3"/>
      <c r="K44" s="3">
        <f t="shared" si="2"/>
        <v>0</v>
      </c>
      <c r="L44" s="6">
        <f t="shared" si="1"/>
        <v>0</v>
      </c>
      <c r="M44" s="3"/>
      <c r="N44" s="3">
        <v>12</v>
      </c>
      <c r="O44" s="3">
        <v>4</v>
      </c>
      <c r="P44" s="3">
        <v>1</v>
      </c>
      <c r="Q44" s="3">
        <v>16</v>
      </c>
      <c r="R44" s="3">
        <v>1</v>
      </c>
      <c r="S44" s="3"/>
    </row>
    <row r="45" spans="1:19" ht="144" customHeight="1" x14ac:dyDescent="0.25">
      <c r="A45" s="3"/>
      <c r="B45" s="4" t="s">
        <v>51</v>
      </c>
      <c r="C45" s="5">
        <v>1090</v>
      </c>
      <c r="D45" s="3"/>
      <c r="E45" s="3"/>
      <c r="F45" s="3"/>
      <c r="G45" s="3"/>
      <c r="H45" s="3"/>
      <c r="I45" s="3"/>
      <c r="J45" s="3"/>
      <c r="K45" s="3">
        <f t="shared" si="2"/>
        <v>0</v>
      </c>
      <c r="L45" s="6">
        <f t="shared" si="1"/>
        <v>0</v>
      </c>
      <c r="M45" s="3"/>
      <c r="N45" s="3">
        <v>7</v>
      </c>
      <c r="O45" s="3">
        <v>1</v>
      </c>
      <c r="P45" s="3">
        <v>10</v>
      </c>
      <c r="Q45" s="3">
        <v>12</v>
      </c>
      <c r="R45" s="3"/>
      <c r="S45" s="3"/>
    </row>
    <row r="46" spans="1:19" ht="144" customHeight="1" x14ac:dyDescent="0.25">
      <c r="A46" s="3"/>
      <c r="B46" s="4" t="s">
        <v>52</v>
      </c>
      <c r="C46" s="5">
        <v>1090</v>
      </c>
      <c r="D46" s="3"/>
      <c r="E46" s="3"/>
      <c r="F46" s="3"/>
      <c r="G46" s="3"/>
      <c r="H46" s="3"/>
      <c r="I46" s="3"/>
      <c r="J46" s="3"/>
      <c r="K46" s="3">
        <f t="shared" si="2"/>
        <v>0</v>
      </c>
      <c r="L46" s="6">
        <f t="shared" si="1"/>
        <v>0</v>
      </c>
      <c r="M46" s="3"/>
      <c r="N46" s="3"/>
      <c r="O46" s="3">
        <v>23</v>
      </c>
      <c r="P46" s="3">
        <v>23</v>
      </c>
      <c r="Q46" s="3">
        <v>15</v>
      </c>
      <c r="R46" s="3">
        <v>5</v>
      </c>
      <c r="S46" s="3"/>
    </row>
    <row r="47" spans="1:19" ht="144" customHeight="1" x14ac:dyDescent="0.25">
      <c r="A47" s="3"/>
      <c r="B47" s="4" t="s">
        <v>53</v>
      </c>
      <c r="C47" s="5">
        <v>1090</v>
      </c>
      <c r="D47" s="3"/>
      <c r="E47" s="3"/>
      <c r="F47" s="3"/>
      <c r="G47" s="3"/>
      <c r="H47" s="3"/>
      <c r="I47" s="3"/>
      <c r="J47" s="3"/>
      <c r="K47" s="3">
        <f t="shared" si="2"/>
        <v>0</v>
      </c>
      <c r="L47" s="6">
        <f t="shared" si="1"/>
        <v>0</v>
      </c>
      <c r="M47" s="3"/>
      <c r="N47" s="3">
        <v>12</v>
      </c>
      <c r="O47" s="3">
        <v>25</v>
      </c>
      <c r="P47" s="3">
        <v>29</v>
      </c>
      <c r="Q47" s="3">
        <v>24</v>
      </c>
      <c r="R47" s="3">
        <v>7</v>
      </c>
      <c r="S47" s="3">
        <v>7</v>
      </c>
    </row>
    <row r="48" spans="1:19" ht="144" customHeight="1" x14ac:dyDescent="0.25">
      <c r="A48" s="3"/>
      <c r="B48" s="4" t="s">
        <v>54</v>
      </c>
      <c r="C48" s="5">
        <v>1090</v>
      </c>
      <c r="D48" s="3"/>
      <c r="E48" s="3"/>
      <c r="F48" s="3"/>
      <c r="G48" s="3"/>
      <c r="H48" s="3"/>
      <c r="I48" s="3"/>
      <c r="J48" s="3"/>
      <c r="K48" s="3">
        <f t="shared" si="2"/>
        <v>0</v>
      </c>
      <c r="L48" s="6">
        <f t="shared" si="1"/>
        <v>0</v>
      </c>
      <c r="M48" s="3">
        <v>8</v>
      </c>
      <c r="N48" s="3">
        <v>51</v>
      </c>
      <c r="O48" s="3">
        <v>53</v>
      </c>
      <c r="P48" s="3">
        <v>50</v>
      </c>
      <c r="Q48" s="3">
        <v>50</v>
      </c>
      <c r="R48" s="3">
        <v>18</v>
      </c>
      <c r="S48" s="3">
        <v>9</v>
      </c>
    </row>
    <row r="49" spans="1:19" ht="144" customHeight="1" x14ac:dyDescent="0.25">
      <c r="A49" s="3"/>
      <c r="B49" s="4" t="s">
        <v>79</v>
      </c>
      <c r="C49" s="5">
        <v>1090</v>
      </c>
      <c r="D49" s="3"/>
      <c r="E49" s="3"/>
      <c r="F49" s="3"/>
      <c r="G49" s="3"/>
      <c r="H49" s="3"/>
      <c r="I49" s="3"/>
      <c r="J49" s="3"/>
      <c r="K49" s="3">
        <f t="shared" si="2"/>
        <v>0</v>
      </c>
      <c r="L49" s="6">
        <f t="shared" si="1"/>
        <v>0</v>
      </c>
      <c r="M49" s="3">
        <v>4</v>
      </c>
      <c r="N49" s="3">
        <v>11</v>
      </c>
      <c r="O49" s="3">
        <v>20</v>
      </c>
      <c r="P49" s="3">
        <v>21</v>
      </c>
      <c r="Q49" s="3">
        <v>12</v>
      </c>
      <c r="R49" s="3">
        <v>8</v>
      </c>
      <c r="S49" s="3">
        <v>4</v>
      </c>
    </row>
    <row r="50" spans="1:19" ht="144" customHeight="1" x14ac:dyDescent="0.25">
      <c r="A50" s="3"/>
      <c r="B50" s="4" t="s">
        <v>55</v>
      </c>
      <c r="C50" s="5">
        <v>1090</v>
      </c>
      <c r="D50" s="3"/>
      <c r="E50" s="3"/>
      <c r="F50" s="3"/>
      <c r="G50" s="3"/>
      <c r="H50" s="3"/>
      <c r="I50" s="3"/>
      <c r="J50" s="3"/>
      <c r="K50" s="3">
        <f t="shared" si="2"/>
        <v>0</v>
      </c>
      <c r="L50" s="6">
        <f t="shared" si="1"/>
        <v>0</v>
      </c>
      <c r="M50" s="3"/>
      <c r="N50" s="3">
        <v>5</v>
      </c>
      <c r="O50" s="3">
        <v>13</v>
      </c>
      <c r="P50" s="3">
        <v>14</v>
      </c>
      <c r="Q50" s="3">
        <v>4</v>
      </c>
      <c r="R50" s="3">
        <v>4</v>
      </c>
      <c r="S50" s="3">
        <v>2</v>
      </c>
    </row>
    <row r="51" spans="1:19" ht="144" customHeight="1" x14ac:dyDescent="0.25">
      <c r="A51" s="3"/>
      <c r="B51" s="4" t="s">
        <v>56</v>
      </c>
      <c r="C51" s="5">
        <v>1090</v>
      </c>
      <c r="D51" s="3"/>
      <c r="E51" s="3"/>
      <c r="F51" s="3"/>
      <c r="G51" s="3"/>
      <c r="H51" s="3"/>
      <c r="I51" s="3"/>
      <c r="J51" s="3"/>
      <c r="K51" s="3">
        <f t="shared" si="2"/>
        <v>0</v>
      </c>
      <c r="L51" s="6">
        <f t="shared" si="1"/>
        <v>0</v>
      </c>
      <c r="M51" s="3"/>
      <c r="N51" s="3">
        <v>28</v>
      </c>
      <c r="O51" s="3">
        <v>42</v>
      </c>
      <c r="P51" s="3">
        <v>42</v>
      </c>
      <c r="Q51" s="3">
        <v>26</v>
      </c>
      <c r="R51" s="3">
        <v>12</v>
      </c>
      <c r="S51" s="3"/>
    </row>
    <row r="52" spans="1:19" ht="144" customHeight="1" x14ac:dyDescent="0.25">
      <c r="A52" s="3"/>
      <c r="B52" s="4" t="s">
        <v>57</v>
      </c>
      <c r="C52" s="5">
        <v>1090</v>
      </c>
      <c r="D52" s="3"/>
      <c r="E52" s="3"/>
      <c r="F52" s="3"/>
      <c r="G52" s="3"/>
      <c r="H52" s="3"/>
      <c r="I52" s="3"/>
      <c r="J52" s="3"/>
      <c r="K52" s="3">
        <f t="shared" si="2"/>
        <v>0</v>
      </c>
      <c r="L52" s="6">
        <f t="shared" si="1"/>
        <v>0</v>
      </c>
      <c r="M52" s="3">
        <v>3</v>
      </c>
      <c r="N52" s="3">
        <v>16</v>
      </c>
      <c r="O52" s="3">
        <v>23</v>
      </c>
      <c r="P52" s="3">
        <v>18</v>
      </c>
      <c r="Q52" s="3">
        <v>6</v>
      </c>
      <c r="R52" s="3">
        <v>2</v>
      </c>
      <c r="S52" s="3">
        <v>2</v>
      </c>
    </row>
    <row r="53" spans="1:19" ht="144" customHeight="1" x14ac:dyDescent="0.25">
      <c r="A53" s="3"/>
      <c r="B53" s="4" t="s">
        <v>58</v>
      </c>
      <c r="C53" s="5">
        <v>1090</v>
      </c>
      <c r="D53" s="3"/>
      <c r="E53" s="3"/>
      <c r="F53" s="3"/>
      <c r="G53" s="3"/>
      <c r="H53" s="3"/>
      <c r="I53" s="3"/>
      <c r="J53" s="3"/>
      <c r="K53" s="3">
        <f t="shared" si="2"/>
        <v>0</v>
      </c>
      <c r="L53" s="6">
        <f t="shared" si="1"/>
        <v>0</v>
      </c>
      <c r="M53" s="3">
        <v>28</v>
      </c>
      <c r="N53" s="3">
        <v>24</v>
      </c>
      <c r="O53" s="3">
        <v>30</v>
      </c>
      <c r="P53" s="3">
        <v>31</v>
      </c>
      <c r="Q53" s="3">
        <v>38</v>
      </c>
      <c r="R53" s="3">
        <v>25</v>
      </c>
      <c r="S53" s="3">
        <v>9</v>
      </c>
    </row>
    <row r="54" spans="1:19" ht="144" customHeight="1" x14ac:dyDescent="0.25">
      <c r="A54" s="3"/>
      <c r="B54" s="4" t="s">
        <v>59</v>
      </c>
      <c r="C54" s="5">
        <v>1090</v>
      </c>
      <c r="D54" s="3"/>
      <c r="E54" s="3"/>
      <c r="F54" s="3"/>
      <c r="G54" s="3"/>
      <c r="H54" s="3"/>
      <c r="I54" s="3"/>
      <c r="J54" s="3"/>
      <c r="K54" s="3">
        <f t="shared" si="2"/>
        <v>0</v>
      </c>
      <c r="L54" s="6">
        <f t="shared" si="1"/>
        <v>0</v>
      </c>
      <c r="M54" s="3"/>
      <c r="N54" s="3">
        <v>33</v>
      </c>
      <c r="O54" s="3">
        <v>60</v>
      </c>
      <c r="P54" s="3">
        <v>58</v>
      </c>
      <c r="Q54" s="3">
        <v>32</v>
      </c>
      <c r="R54" s="3">
        <v>33</v>
      </c>
      <c r="S54" s="3">
        <v>12</v>
      </c>
    </row>
    <row r="55" spans="1:19" ht="144" customHeight="1" x14ac:dyDescent="0.25">
      <c r="A55" s="3"/>
      <c r="B55" s="4" t="s">
        <v>60</v>
      </c>
      <c r="C55" s="5">
        <v>1090</v>
      </c>
      <c r="D55" s="3"/>
      <c r="E55" s="3"/>
      <c r="F55" s="3"/>
      <c r="G55" s="3"/>
      <c r="H55" s="3"/>
      <c r="I55" s="3"/>
      <c r="J55" s="3"/>
      <c r="K55" s="3">
        <f t="shared" si="2"/>
        <v>0</v>
      </c>
      <c r="L55" s="6">
        <f t="shared" si="1"/>
        <v>0</v>
      </c>
      <c r="M55" s="3"/>
      <c r="N55" s="3">
        <v>15</v>
      </c>
      <c r="O55" s="3">
        <v>30</v>
      </c>
      <c r="P55" s="3">
        <v>31</v>
      </c>
      <c r="Q55" s="3">
        <v>16</v>
      </c>
      <c r="R55" s="3">
        <v>14</v>
      </c>
      <c r="S55" s="3">
        <v>7</v>
      </c>
    </row>
    <row r="56" spans="1:19" ht="144" customHeight="1" x14ac:dyDescent="0.25">
      <c r="A56" s="3"/>
      <c r="B56" s="4" t="s">
        <v>61</v>
      </c>
      <c r="C56" s="5">
        <v>1090</v>
      </c>
      <c r="D56" s="3"/>
      <c r="E56" s="3"/>
      <c r="F56" s="3"/>
      <c r="G56" s="3"/>
      <c r="H56" s="3"/>
      <c r="I56" s="3"/>
      <c r="J56" s="3"/>
      <c r="K56" s="3">
        <f t="shared" si="2"/>
        <v>0</v>
      </c>
      <c r="L56" s="6">
        <f t="shared" si="1"/>
        <v>0</v>
      </c>
      <c r="M56" s="3">
        <v>10</v>
      </c>
      <c r="N56" s="3">
        <v>5</v>
      </c>
      <c r="O56" s="3">
        <v>12</v>
      </c>
      <c r="P56" s="3">
        <v>14</v>
      </c>
      <c r="Q56" s="3">
        <v>16</v>
      </c>
      <c r="R56" s="3">
        <v>8</v>
      </c>
      <c r="S56" s="3">
        <v>2</v>
      </c>
    </row>
    <row r="57" spans="1:19" ht="144" customHeight="1" x14ac:dyDescent="0.25">
      <c r="A57" s="3"/>
      <c r="B57" s="4" t="s">
        <v>62</v>
      </c>
      <c r="C57" s="5">
        <v>1090</v>
      </c>
      <c r="D57" s="3"/>
      <c r="E57" s="3"/>
      <c r="F57" s="3"/>
      <c r="G57" s="3"/>
      <c r="H57" s="3"/>
      <c r="I57" s="3"/>
      <c r="J57" s="3"/>
      <c r="K57" s="3">
        <f t="shared" si="2"/>
        <v>0</v>
      </c>
      <c r="L57" s="6">
        <f t="shared" si="1"/>
        <v>0</v>
      </c>
      <c r="M57" s="3">
        <v>13</v>
      </c>
      <c r="N57" s="3">
        <v>27</v>
      </c>
      <c r="O57" s="3">
        <v>42</v>
      </c>
      <c r="P57" s="3">
        <v>44</v>
      </c>
      <c r="Q57" s="3">
        <v>34</v>
      </c>
      <c r="R57" s="3">
        <v>26</v>
      </c>
      <c r="S57" s="3">
        <v>11</v>
      </c>
    </row>
    <row r="58" spans="1:19" ht="144" customHeight="1" x14ac:dyDescent="0.25">
      <c r="A58" s="3"/>
      <c r="B58" s="4" t="s">
        <v>63</v>
      </c>
      <c r="C58" s="5">
        <v>1090</v>
      </c>
      <c r="D58" s="3"/>
      <c r="E58" s="3"/>
      <c r="F58" s="3"/>
      <c r="G58" s="3"/>
      <c r="H58" s="3"/>
      <c r="I58" s="3"/>
      <c r="J58" s="3"/>
      <c r="K58" s="3">
        <f t="shared" si="2"/>
        <v>0</v>
      </c>
      <c r="L58" s="6">
        <f t="shared" si="1"/>
        <v>0</v>
      </c>
      <c r="M58" s="3">
        <v>7</v>
      </c>
      <c r="N58" s="3">
        <v>5</v>
      </c>
      <c r="O58" s="3">
        <v>3</v>
      </c>
      <c r="P58" s="3">
        <v>4</v>
      </c>
      <c r="Q58" s="3">
        <v>3</v>
      </c>
      <c r="R58" s="3"/>
      <c r="S58" s="3"/>
    </row>
    <row r="59" spans="1:19" ht="144" customHeight="1" x14ac:dyDescent="0.25">
      <c r="A59" s="3"/>
      <c r="B59" s="4" t="s">
        <v>64</v>
      </c>
      <c r="C59" s="5">
        <v>1090</v>
      </c>
      <c r="D59" s="3"/>
      <c r="E59" s="3"/>
      <c r="F59" s="3"/>
      <c r="G59" s="3"/>
      <c r="H59" s="3"/>
      <c r="I59" s="3"/>
      <c r="J59" s="3"/>
      <c r="K59" s="3">
        <f t="shared" si="2"/>
        <v>0</v>
      </c>
      <c r="L59" s="6">
        <f t="shared" si="1"/>
        <v>0</v>
      </c>
      <c r="M59" s="3">
        <v>1</v>
      </c>
      <c r="N59" s="3">
        <v>13</v>
      </c>
      <c r="O59" s="3">
        <v>24</v>
      </c>
      <c r="P59" s="3">
        <v>21</v>
      </c>
      <c r="Q59" s="3">
        <v>5</v>
      </c>
      <c r="R59" s="3">
        <v>8</v>
      </c>
      <c r="S59" s="3"/>
    </row>
    <row r="60" spans="1:19" ht="144" customHeight="1" x14ac:dyDescent="0.25">
      <c r="A60" s="3"/>
      <c r="B60" s="4" t="s">
        <v>65</v>
      </c>
      <c r="C60" s="5">
        <v>1090</v>
      </c>
      <c r="D60" s="3"/>
      <c r="E60" s="3"/>
      <c r="F60" s="3"/>
      <c r="G60" s="3"/>
      <c r="H60" s="3"/>
      <c r="I60" s="3"/>
      <c r="J60" s="3"/>
      <c r="K60" s="3">
        <f t="shared" si="2"/>
        <v>0</v>
      </c>
      <c r="L60" s="6">
        <f t="shared" si="1"/>
        <v>0</v>
      </c>
      <c r="M60" s="3"/>
      <c r="N60" s="3">
        <v>6</v>
      </c>
      <c r="O60" s="3">
        <v>20</v>
      </c>
      <c r="P60" s="3">
        <v>24</v>
      </c>
      <c r="Q60" s="3">
        <v>9</v>
      </c>
      <c r="R60" s="3">
        <v>9</v>
      </c>
      <c r="S60" s="3">
        <v>5</v>
      </c>
    </row>
    <row r="61" spans="1:19" ht="144" customHeight="1" x14ac:dyDescent="0.25">
      <c r="A61" s="3"/>
      <c r="B61" s="4" t="s">
        <v>66</v>
      </c>
      <c r="C61" s="5">
        <v>1090</v>
      </c>
      <c r="D61" s="3"/>
      <c r="E61" s="3"/>
      <c r="F61" s="3"/>
      <c r="G61" s="3"/>
      <c r="H61" s="3"/>
      <c r="I61" s="3"/>
      <c r="J61" s="3"/>
      <c r="K61" s="3">
        <f t="shared" si="2"/>
        <v>0</v>
      </c>
      <c r="L61" s="6">
        <f t="shared" si="1"/>
        <v>0</v>
      </c>
      <c r="M61" s="3">
        <v>3</v>
      </c>
      <c r="N61" s="3">
        <v>9</v>
      </c>
      <c r="O61" s="3">
        <v>9</v>
      </c>
      <c r="P61" s="3">
        <v>9</v>
      </c>
      <c r="Q61" s="3">
        <v>1</v>
      </c>
      <c r="R61" s="3">
        <v>2</v>
      </c>
      <c r="S61" s="3">
        <v>4</v>
      </c>
    </row>
    <row r="62" spans="1:19" ht="144" customHeight="1" x14ac:dyDescent="0.25">
      <c r="A62" s="3"/>
      <c r="B62" s="4" t="s">
        <v>67</v>
      </c>
      <c r="C62" s="5">
        <v>1090</v>
      </c>
      <c r="D62" s="3"/>
      <c r="E62" s="3"/>
      <c r="F62" s="3"/>
      <c r="G62" s="3"/>
      <c r="H62" s="3"/>
      <c r="I62" s="3"/>
      <c r="J62" s="3"/>
      <c r="K62" s="3">
        <f t="shared" si="2"/>
        <v>0</v>
      </c>
      <c r="L62" s="6">
        <f t="shared" si="1"/>
        <v>0</v>
      </c>
      <c r="M62" s="3">
        <v>2</v>
      </c>
      <c r="N62" s="3">
        <v>12</v>
      </c>
      <c r="O62" s="3">
        <v>19</v>
      </c>
      <c r="P62" s="3">
        <v>16</v>
      </c>
      <c r="Q62" s="3">
        <v>4</v>
      </c>
      <c r="R62" s="3">
        <v>4</v>
      </c>
      <c r="S62" s="3">
        <v>4</v>
      </c>
    </row>
    <row r="63" spans="1:19" ht="144" customHeight="1" x14ac:dyDescent="0.25">
      <c r="A63" s="3"/>
      <c r="B63" s="4" t="s">
        <v>68</v>
      </c>
      <c r="C63" s="5">
        <v>1090</v>
      </c>
      <c r="D63" s="3"/>
      <c r="E63" s="3"/>
      <c r="F63" s="3"/>
      <c r="G63" s="3"/>
      <c r="H63" s="3"/>
      <c r="I63" s="3"/>
      <c r="J63" s="3"/>
      <c r="K63" s="3">
        <f t="shared" si="2"/>
        <v>0</v>
      </c>
      <c r="L63" s="6">
        <f t="shared" si="1"/>
        <v>0</v>
      </c>
      <c r="M63" s="3"/>
      <c r="N63" s="3">
        <v>6</v>
      </c>
      <c r="O63" s="3">
        <v>8</v>
      </c>
      <c r="P63" s="3">
        <v>11</v>
      </c>
      <c r="Q63" s="3"/>
      <c r="R63" s="3"/>
      <c r="S63" s="3">
        <v>2</v>
      </c>
    </row>
    <row r="64" spans="1:19" ht="144" customHeight="1" x14ac:dyDescent="0.25">
      <c r="A64" s="3"/>
      <c r="B64" s="4" t="s">
        <v>69</v>
      </c>
      <c r="C64" s="5">
        <v>1090</v>
      </c>
      <c r="D64" s="3"/>
      <c r="E64" s="3"/>
      <c r="F64" s="3"/>
      <c r="G64" s="3"/>
      <c r="H64" s="3"/>
      <c r="I64" s="3"/>
      <c r="J64" s="3"/>
      <c r="K64" s="3">
        <f t="shared" si="2"/>
        <v>0</v>
      </c>
      <c r="L64" s="6">
        <f t="shared" si="1"/>
        <v>0</v>
      </c>
      <c r="M64" s="3"/>
      <c r="N64" s="3">
        <v>1</v>
      </c>
      <c r="O64" s="3">
        <v>6</v>
      </c>
      <c r="P64" s="3">
        <v>8</v>
      </c>
      <c r="Q64" s="3">
        <v>2</v>
      </c>
      <c r="R64" s="3"/>
      <c r="S64" s="3"/>
    </row>
    <row r="65" spans="1:19" ht="144" customHeight="1" x14ac:dyDescent="0.25">
      <c r="A65" s="3"/>
      <c r="B65" s="4" t="s">
        <v>70</v>
      </c>
      <c r="C65" s="5">
        <v>1090</v>
      </c>
      <c r="D65" s="3"/>
      <c r="E65" s="3"/>
      <c r="F65" s="3"/>
      <c r="G65" s="3"/>
      <c r="H65" s="3"/>
      <c r="I65" s="3"/>
      <c r="J65" s="3"/>
      <c r="K65" s="3">
        <f t="shared" si="2"/>
        <v>0</v>
      </c>
      <c r="L65" s="6">
        <f t="shared" si="1"/>
        <v>0</v>
      </c>
      <c r="M65" s="3">
        <v>3</v>
      </c>
      <c r="N65" s="3">
        <v>3</v>
      </c>
      <c r="O65" s="3">
        <v>13</v>
      </c>
      <c r="P65" s="3">
        <v>11</v>
      </c>
      <c r="Q65" s="3">
        <v>7</v>
      </c>
      <c r="R65" s="3">
        <v>4</v>
      </c>
      <c r="S65" s="3"/>
    </row>
    <row r="66" spans="1:19" x14ac:dyDescent="0.25">
      <c r="A66" s="3"/>
      <c r="B66" s="4" t="s">
        <v>71</v>
      </c>
      <c r="C66" s="5">
        <v>1090</v>
      </c>
      <c r="D66" s="3"/>
      <c r="E66" s="3"/>
      <c r="F66" s="3"/>
      <c r="G66" s="3"/>
      <c r="H66" s="3"/>
      <c r="I66" s="3"/>
      <c r="J66" s="3"/>
      <c r="K66" s="3">
        <f t="shared" ref="K66:K68" si="3">SUM(D66:J66)</f>
        <v>0</v>
      </c>
      <c r="L66" s="6">
        <f t="shared" si="1"/>
        <v>0</v>
      </c>
      <c r="M66" s="3"/>
      <c r="N66" s="3">
        <v>9</v>
      </c>
      <c r="O66" s="3">
        <v>13</v>
      </c>
      <c r="P66" s="3">
        <v>20</v>
      </c>
      <c r="Q66" s="3">
        <v>15</v>
      </c>
      <c r="R66" s="3">
        <v>10</v>
      </c>
      <c r="S66" s="3">
        <v>2</v>
      </c>
    </row>
    <row r="67" spans="1:19" ht="144" customHeight="1" x14ac:dyDescent="0.25">
      <c r="A67" s="3"/>
      <c r="B67" s="4" t="s">
        <v>72</v>
      </c>
      <c r="C67" s="5">
        <v>1090</v>
      </c>
      <c r="D67" s="3"/>
      <c r="E67" s="3"/>
      <c r="F67" s="3"/>
      <c r="G67" s="3"/>
      <c r="H67" s="3"/>
      <c r="I67" s="3"/>
      <c r="J67" s="3"/>
      <c r="K67" s="3">
        <f t="shared" si="3"/>
        <v>0</v>
      </c>
      <c r="L67" s="6">
        <f t="shared" si="1"/>
        <v>0</v>
      </c>
      <c r="M67" s="3"/>
      <c r="N67" s="3">
        <v>14</v>
      </c>
      <c r="O67" s="3">
        <v>37</v>
      </c>
      <c r="P67" s="3">
        <v>42</v>
      </c>
      <c r="Q67" s="3">
        <v>14</v>
      </c>
      <c r="R67" s="3">
        <v>11</v>
      </c>
      <c r="S67" s="3">
        <v>1</v>
      </c>
    </row>
    <row r="68" spans="1:19" ht="144" customHeight="1" x14ac:dyDescent="0.25">
      <c r="A68" s="3"/>
      <c r="B68" s="4" t="s">
        <v>73</v>
      </c>
      <c r="C68" s="5">
        <v>1090</v>
      </c>
      <c r="D68" s="3"/>
      <c r="E68" s="3"/>
      <c r="F68" s="3"/>
      <c r="G68" s="3"/>
      <c r="H68" s="3"/>
      <c r="I68" s="3"/>
      <c r="J68" s="3"/>
      <c r="K68" s="3">
        <f t="shared" si="3"/>
        <v>0</v>
      </c>
      <c r="L68" s="6">
        <f t="shared" ref="L68:L70" si="4">K68*C68</f>
        <v>0</v>
      </c>
      <c r="M68" s="3">
        <v>4</v>
      </c>
      <c r="N68" s="3">
        <v>11</v>
      </c>
      <c r="O68" s="3">
        <v>21</v>
      </c>
      <c r="P68" s="3">
        <v>21</v>
      </c>
      <c r="Q68" s="3">
        <v>12</v>
      </c>
      <c r="R68" s="3">
        <v>8</v>
      </c>
      <c r="S68" s="3">
        <v>4</v>
      </c>
    </row>
    <row r="69" spans="1:19" ht="144" customHeight="1" x14ac:dyDescent="0.25">
      <c r="A69" s="3"/>
      <c r="B69" s="4" t="s">
        <v>74</v>
      </c>
      <c r="C69" s="5">
        <v>1090</v>
      </c>
      <c r="D69" s="3"/>
      <c r="E69" s="3"/>
      <c r="F69" s="3"/>
      <c r="G69" s="3"/>
      <c r="H69" s="3"/>
      <c r="I69" s="3"/>
      <c r="J69" s="3"/>
      <c r="K69" s="3">
        <f t="shared" ref="K69:K70" si="5">SUM(D69:J69)</f>
        <v>0</v>
      </c>
      <c r="L69" s="6">
        <f t="shared" si="4"/>
        <v>0</v>
      </c>
      <c r="M69" s="3">
        <v>4</v>
      </c>
      <c r="N69" s="3">
        <v>13</v>
      </c>
      <c r="O69" s="3">
        <v>11</v>
      </c>
      <c r="P69" s="3">
        <v>12</v>
      </c>
      <c r="Q69" s="3">
        <v>6</v>
      </c>
      <c r="R69" s="3"/>
      <c r="S69" s="3">
        <v>3</v>
      </c>
    </row>
    <row r="70" spans="1:19" ht="144" customHeight="1" x14ac:dyDescent="0.25">
      <c r="A70" s="3"/>
      <c r="B70" s="4" t="s">
        <v>75</v>
      </c>
      <c r="C70" s="5">
        <v>1090</v>
      </c>
      <c r="D70" s="3"/>
      <c r="E70" s="3"/>
      <c r="F70" s="3"/>
      <c r="G70" s="3"/>
      <c r="H70" s="3"/>
      <c r="I70" s="3"/>
      <c r="J70" s="3"/>
      <c r="K70" s="3">
        <f t="shared" si="5"/>
        <v>0</v>
      </c>
      <c r="L70" s="6">
        <f t="shared" si="4"/>
        <v>0</v>
      </c>
      <c r="M70" s="3">
        <v>8</v>
      </c>
      <c r="N70" s="3">
        <v>3</v>
      </c>
      <c r="O70" s="3">
        <v>5</v>
      </c>
      <c r="P70" s="3">
        <v>3</v>
      </c>
      <c r="Q70" s="3"/>
      <c r="R70" s="3"/>
      <c r="S70" s="3"/>
    </row>
  </sheetData>
  <mergeCells count="7">
    <mergeCell ref="M1:S1"/>
    <mergeCell ref="L1:L2"/>
    <mergeCell ref="A1:A2"/>
    <mergeCell ref="B1:B2"/>
    <mergeCell ref="C1:C2"/>
    <mergeCell ref="D1:J1"/>
    <mergeCell ref="K1:K2"/>
  </mergeCells>
  <conditionalFormatting sqref="D3:J70">
    <cfRule type="expression" dxfId="1" priority="2">
      <formula>OR(D3&gt;M3,M3="")</formula>
    </cfRule>
  </conditionalFormatting>
  <conditionalFormatting sqref="K3:K1048576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olga</dc:creator>
  <cp:lastModifiedBy>BUH</cp:lastModifiedBy>
  <dcterms:created xsi:type="dcterms:W3CDTF">2022-03-11T14:51:14Z</dcterms:created>
  <dcterms:modified xsi:type="dcterms:W3CDTF">2022-03-14T07:58:28Z</dcterms:modified>
</cp:coreProperties>
</file>